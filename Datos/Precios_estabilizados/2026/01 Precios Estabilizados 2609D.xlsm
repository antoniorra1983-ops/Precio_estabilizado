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nas-cen1\D. Transferencias\Facturacion\Plabacom\2026\2609\02 Definitivo\02 Detalles Pncp Estabilizado\homologación pncp_pe (carga)\"/>
    </mc:Choice>
  </mc:AlternateContent>
  <xr:revisionPtr revIDLastSave="0" documentId="13_ncr:1_{954997C3-AB11-4846-81F0-BCCF703EEBFB}" xr6:coauthVersionLast="47" xr6:coauthVersionMax="47" xr10:uidLastSave="{00000000-0000-0000-0000-000000000000}"/>
  <bookViews>
    <workbookView xWindow="-120" yWindow="-120" windowWidth="29040" windowHeight="15720" tabRatio="922" xr2:uid="{00000000-000D-0000-FFFF-FFFF00000000}"/>
  </bookViews>
  <sheets>
    <sheet name="PMG(D) segun remuneracion" sheetId="10" r:id="rId1"/>
    <sheet name="PNCP_HOMOLOGADO" sheetId="4" r:id="rId2"/>
    <sheet name="DECRETOS PNCP" sheetId="2" r:id="rId3"/>
    <sheet name="DECRETOS PESTABILIZADO" sheetId="7" r:id="rId4"/>
    <sheet name="FACTORES DE REFERENCIACION" sheetId="9" r:id="rId5"/>
    <sheet name="FACTORES DE PERDIDAS" sheetId="14" r:id="rId6"/>
    <sheet name="PRECIOS ESTABILIZADOS" sheetId="15" r:id="rId7"/>
    <sheet name="ZONA_TRANSMISIÓN" sheetId="16" r:id="rId8"/>
    <sheet name="DECRETOS" sheetId="17" r:id="rId9"/>
  </sheets>
  <definedNames>
    <definedName name="_xlnm._FilterDatabase" localSheetId="3" hidden="1">'DECRETOS PESTABILIZADO'!$A$1:$L$193</definedName>
    <definedName name="_xlnm._FilterDatabase" localSheetId="2" hidden="1">'DECRETOS PNCP'!$A$1:$F$51</definedName>
    <definedName name="_xlnm._FilterDatabase" localSheetId="4" hidden="1">'FACTORES DE REFERENCIACION'!$N$1:$O$59</definedName>
    <definedName name="_xlnm._FilterDatabase" localSheetId="1" hidden="1">PNCP_HOMOLOGADO!#REF!</definedName>
    <definedName name="_xlnm._FilterDatabase" localSheetId="6" hidden="1">'PRECIOS ESTABILIZADOS'!$H$3:$S$465</definedName>
    <definedName name="_xleta.COUNT" hidden="1" xlm="1">#NAME?</definedName>
    <definedName name="_xleta.OR" hidden="1" xlm="1">#NAME?</definedName>
    <definedName name="DatosExternos_1" localSheetId="0" hidden="1">'PMG(D) segun remuneracion'!$A$1:$F$706</definedName>
    <definedName name="DatosExternos_1" localSheetId="7" hidden="1">ZONA_TRANSMISIÓN!$A$1:$O$1449</definedName>
  </definedNames>
  <calcPr calcId="191029"/>
  <pivotCaches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9" i="9" l="1"/>
  <c r="O109" i="9"/>
  <c r="N110" i="9"/>
  <c r="O110" i="9"/>
  <c r="N111" i="9"/>
  <c r="O111" i="9"/>
  <c r="N112" i="9"/>
  <c r="H271" i="10" s="1"/>
  <c r="O112" i="9"/>
  <c r="N113" i="9"/>
  <c r="O113" i="9"/>
  <c r="N114" i="9"/>
  <c r="O114" i="9"/>
  <c r="G109" i="9"/>
  <c r="H109" i="9"/>
  <c r="I109" i="9"/>
  <c r="J109" i="9"/>
  <c r="G110" i="9"/>
  <c r="H110" i="9"/>
  <c r="I110" i="9"/>
  <c r="J110" i="9"/>
  <c r="G111" i="9"/>
  <c r="H111" i="9"/>
  <c r="I111" i="9"/>
  <c r="J111" i="9"/>
  <c r="G112" i="9"/>
  <c r="H112" i="9"/>
  <c r="I112" i="9"/>
  <c r="J112" i="9"/>
  <c r="G113" i="9"/>
  <c r="H113" i="9"/>
  <c r="I113" i="9"/>
  <c r="J113" i="9"/>
  <c r="G114" i="9"/>
  <c r="H114" i="9"/>
  <c r="I114" i="9"/>
  <c r="J114" i="9"/>
  <c r="P2" i="16"/>
  <c r="P3" i="16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P314" i="16"/>
  <c r="P315" i="16"/>
  <c r="P316" i="16"/>
  <c r="P317" i="16"/>
  <c r="P318" i="16"/>
  <c r="P319" i="16"/>
  <c r="P320" i="16"/>
  <c r="P321" i="16"/>
  <c r="P322" i="16"/>
  <c r="P323" i="16"/>
  <c r="P324" i="16"/>
  <c r="P325" i="16"/>
  <c r="P326" i="16"/>
  <c r="P327" i="16"/>
  <c r="P328" i="16"/>
  <c r="P329" i="16"/>
  <c r="P330" i="16"/>
  <c r="P331" i="16"/>
  <c r="P332" i="16"/>
  <c r="P333" i="16"/>
  <c r="P334" i="16"/>
  <c r="P335" i="16"/>
  <c r="P336" i="16"/>
  <c r="P337" i="16"/>
  <c r="P338" i="16"/>
  <c r="P339" i="16"/>
  <c r="P340" i="16"/>
  <c r="P341" i="16"/>
  <c r="P342" i="16"/>
  <c r="P343" i="16"/>
  <c r="P344" i="16"/>
  <c r="P345" i="16"/>
  <c r="P346" i="16"/>
  <c r="P347" i="16"/>
  <c r="P348" i="16"/>
  <c r="P349" i="16"/>
  <c r="P350" i="16"/>
  <c r="P351" i="16"/>
  <c r="P352" i="16"/>
  <c r="P353" i="16"/>
  <c r="P354" i="16"/>
  <c r="P355" i="16"/>
  <c r="P356" i="16"/>
  <c r="P357" i="16"/>
  <c r="P358" i="16"/>
  <c r="P359" i="16"/>
  <c r="P360" i="16"/>
  <c r="P361" i="16"/>
  <c r="P362" i="16"/>
  <c r="P363" i="16"/>
  <c r="P364" i="16"/>
  <c r="P365" i="16"/>
  <c r="P366" i="16"/>
  <c r="P367" i="16"/>
  <c r="P368" i="16"/>
  <c r="P369" i="16"/>
  <c r="P370" i="16"/>
  <c r="P371" i="16"/>
  <c r="P372" i="16"/>
  <c r="P373" i="16"/>
  <c r="P374" i="16"/>
  <c r="P375" i="16"/>
  <c r="P376" i="16"/>
  <c r="P377" i="16"/>
  <c r="P378" i="16"/>
  <c r="P379" i="16"/>
  <c r="P380" i="16"/>
  <c r="P381" i="16"/>
  <c r="P382" i="16"/>
  <c r="P383" i="16"/>
  <c r="P384" i="16"/>
  <c r="P385" i="16"/>
  <c r="P386" i="16"/>
  <c r="P387" i="16"/>
  <c r="P388" i="16"/>
  <c r="P389" i="16"/>
  <c r="P390" i="16"/>
  <c r="P391" i="16"/>
  <c r="P392" i="16"/>
  <c r="P393" i="16"/>
  <c r="P394" i="16"/>
  <c r="P395" i="16"/>
  <c r="P396" i="16"/>
  <c r="P397" i="16"/>
  <c r="P398" i="16"/>
  <c r="P399" i="16"/>
  <c r="P400" i="16"/>
  <c r="P401" i="16"/>
  <c r="P402" i="16"/>
  <c r="P403" i="16"/>
  <c r="P404" i="16"/>
  <c r="P405" i="16"/>
  <c r="P406" i="16"/>
  <c r="P407" i="16"/>
  <c r="P408" i="16"/>
  <c r="P409" i="16"/>
  <c r="P410" i="16"/>
  <c r="P411" i="16"/>
  <c r="P412" i="16"/>
  <c r="P413" i="16"/>
  <c r="P414" i="16"/>
  <c r="P415" i="16"/>
  <c r="P416" i="16"/>
  <c r="P417" i="16"/>
  <c r="P418" i="16"/>
  <c r="P419" i="16"/>
  <c r="P420" i="16"/>
  <c r="P421" i="16"/>
  <c r="P422" i="16"/>
  <c r="P423" i="16"/>
  <c r="P424" i="16"/>
  <c r="P425" i="16"/>
  <c r="P426" i="16"/>
  <c r="P427" i="16"/>
  <c r="P428" i="16"/>
  <c r="P429" i="16"/>
  <c r="P430" i="16"/>
  <c r="P431" i="16"/>
  <c r="P432" i="16"/>
  <c r="P433" i="16"/>
  <c r="P434" i="16"/>
  <c r="P435" i="16"/>
  <c r="P436" i="16"/>
  <c r="P437" i="16"/>
  <c r="P438" i="16"/>
  <c r="P439" i="16"/>
  <c r="P440" i="16"/>
  <c r="P441" i="16"/>
  <c r="P442" i="16"/>
  <c r="P443" i="16"/>
  <c r="P444" i="16"/>
  <c r="P445" i="16"/>
  <c r="P446" i="16"/>
  <c r="P447" i="16"/>
  <c r="P448" i="16"/>
  <c r="P449" i="16"/>
  <c r="P450" i="16"/>
  <c r="P451" i="16"/>
  <c r="P452" i="16"/>
  <c r="P453" i="16"/>
  <c r="P454" i="16"/>
  <c r="P455" i="16"/>
  <c r="P456" i="16"/>
  <c r="P457" i="16"/>
  <c r="P458" i="16"/>
  <c r="P459" i="16"/>
  <c r="P460" i="16"/>
  <c r="P461" i="16"/>
  <c r="P462" i="16"/>
  <c r="P463" i="16"/>
  <c r="P464" i="16"/>
  <c r="P465" i="16"/>
  <c r="P466" i="16"/>
  <c r="P467" i="16"/>
  <c r="P468" i="16"/>
  <c r="P469" i="16"/>
  <c r="P470" i="16"/>
  <c r="P471" i="16"/>
  <c r="P472" i="16"/>
  <c r="P473" i="16"/>
  <c r="P474" i="16"/>
  <c r="P475" i="16"/>
  <c r="P476" i="16"/>
  <c r="P477" i="16"/>
  <c r="P478" i="16"/>
  <c r="P479" i="16"/>
  <c r="P480" i="16"/>
  <c r="P481" i="16"/>
  <c r="P482" i="16"/>
  <c r="P483" i="16"/>
  <c r="P484" i="16"/>
  <c r="P485" i="16"/>
  <c r="P486" i="16"/>
  <c r="P487" i="16"/>
  <c r="P488" i="16"/>
  <c r="P489" i="16"/>
  <c r="P490" i="16"/>
  <c r="P491" i="16"/>
  <c r="P492" i="16"/>
  <c r="P493" i="16"/>
  <c r="P494" i="16"/>
  <c r="P495" i="16"/>
  <c r="P496" i="16"/>
  <c r="P497" i="16"/>
  <c r="P498" i="16"/>
  <c r="P499" i="16"/>
  <c r="P500" i="16"/>
  <c r="P501" i="16"/>
  <c r="P502" i="16"/>
  <c r="P503" i="16"/>
  <c r="P504" i="16"/>
  <c r="P505" i="16"/>
  <c r="P506" i="16"/>
  <c r="P507" i="16"/>
  <c r="P508" i="16"/>
  <c r="P509" i="16"/>
  <c r="P510" i="16"/>
  <c r="P511" i="16"/>
  <c r="P512" i="16"/>
  <c r="P513" i="16"/>
  <c r="P514" i="16"/>
  <c r="P515" i="16"/>
  <c r="P516" i="16"/>
  <c r="P517" i="16"/>
  <c r="P518" i="16"/>
  <c r="P519" i="16"/>
  <c r="P520" i="16"/>
  <c r="P521" i="16"/>
  <c r="P522" i="16"/>
  <c r="P523" i="16"/>
  <c r="P524" i="16"/>
  <c r="P525" i="16"/>
  <c r="P526" i="16"/>
  <c r="P527" i="16"/>
  <c r="P528" i="16"/>
  <c r="P529" i="16"/>
  <c r="P530" i="16"/>
  <c r="P531" i="16"/>
  <c r="P532" i="16"/>
  <c r="P533" i="16"/>
  <c r="P534" i="16"/>
  <c r="P535" i="16"/>
  <c r="P536" i="16"/>
  <c r="P537" i="16"/>
  <c r="P538" i="16"/>
  <c r="P539" i="16"/>
  <c r="P540" i="16"/>
  <c r="P541" i="16"/>
  <c r="P542" i="16"/>
  <c r="P543" i="16"/>
  <c r="P544" i="16"/>
  <c r="P545" i="16"/>
  <c r="P546" i="16"/>
  <c r="P547" i="16"/>
  <c r="P548" i="16"/>
  <c r="P549" i="16"/>
  <c r="P550" i="16"/>
  <c r="P551" i="16"/>
  <c r="P552" i="16"/>
  <c r="P553" i="16"/>
  <c r="P554" i="16"/>
  <c r="P555" i="16"/>
  <c r="P556" i="16"/>
  <c r="P557" i="16"/>
  <c r="P558" i="16"/>
  <c r="P559" i="16"/>
  <c r="P560" i="16"/>
  <c r="P561" i="16"/>
  <c r="P562" i="16"/>
  <c r="P563" i="16"/>
  <c r="P564" i="16"/>
  <c r="P565" i="16"/>
  <c r="P566" i="16"/>
  <c r="P567" i="16"/>
  <c r="P568" i="16"/>
  <c r="P569" i="16"/>
  <c r="P570" i="16"/>
  <c r="P571" i="16"/>
  <c r="P572" i="16"/>
  <c r="P573" i="16"/>
  <c r="P574" i="16"/>
  <c r="P575" i="16"/>
  <c r="P576" i="16"/>
  <c r="P577" i="16"/>
  <c r="P578" i="16"/>
  <c r="P579" i="16"/>
  <c r="P580" i="16"/>
  <c r="P581" i="16"/>
  <c r="P582" i="16"/>
  <c r="P583" i="16"/>
  <c r="P584" i="16"/>
  <c r="P585" i="16"/>
  <c r="P586" i="16"/>
  <c r="P587" i="16"/>
  <c r="P588" i="16"/>
  <c r="P589" i="16"/>
  <c r="P590" i="16"/>
  <c r="P591" i="16"/>
  <c r="P592" i="16"/>
  <c r="P593" i="16"/>
  <c r="P594" i="16"/>
  <c r="P595" i="16"/>
  <c r="P596" i="16"/>
  <c r="P597" i="16"/>
  <c r="P598" i="16"/>
  <c r="P599" i="16"/>
  <c r="P600" i="16"/>
  <c r="P601" i="16"/>
  <c r="P602" i="16"/>
  <c r="P603" i="16"/>
  <c r="P604" i="16"/>
  <c r="P605" i="16"/>
  <c r="P606" i="16"/>
  <c r="P607" i="16"/>
  <c r="P608" i="16"/>
  <c r="P609" i="16"/>
  <c r="P610" i="16"/>
  <c r="P611" i="16"/>
  <c r="P612" i="16"/>
  <c r="P613" i="16"/>
  <c r="P614" i="16"/>
  <c r="P615" i="16"/>
  <c r="P616" i="16"/>
  <c r="P617" i="16"/>
  <c r="P618" i="16"/>
  <c r="P619" i="16"/>
  <c r="P620" i="16"/>
  <c r="P621" i="16"/>
  <c r="P622" i="16"/>
  <c r="P623" i="16"/>
  <c r="P624" i="16"/>
  <c r="P625" i="16"/>
  <c r="P626" i="16"/>
  <c r="P627" i="16"/>
  <c r="P628" i="16"/>
  <c r="P629" i="16"/>
  <c r="P630" i="16"/>
  <c r="P631" i="16"/>
  <c r="P632" i="16"/>
  <c r="P633" i="16"/>
  <c r="P634" i="16"/>
  <c r="P635" i="16"/>
  <c r="P636" i="16"/>
  <c r="P637" i="16"/>
  <c r="P638" i="16"/>
  <c r="P639" i="16"/>
  <c r="P640" i="16"/>
  <c r="P641" i="16"/>
  <c r="P642" i="16"/>
  <c r="P643" i="16"/>
  <c r="P644" i="16"/>
  <c r="P645" i="16"/>
  <c r="P646" i="16"/>
  <c r="P647" i="16"/>
  <c r="P648" i="16"/>
  <c r="P649" i="16"/>
  <c r="P650" i="16"/>
  <c r="P651" i="16"/>
  <c r="P652" i="16"/>
  <c r="P653" i="16"/>
  <c r="P654" i="16"/>
  <c r="P655" i="16"/>
  <c r="P656" i="16"/>
  <c r="P657" i="16"/>
  <c r="P658" i="16"/>
  <c r="P659" i="16"/>
  <c r="P660" i="16"/>
  <c r="P661" i="16"/>
  <c r="P662" i="16"/>
  <c r="P663" i="16"/>
  <c r="P664" i="16"/>
  <c r="P665" i="16"/>
  <c r="P666" i="16"/>
  <c r="P667" i="16"/>
  <c r="P668" i="16"/>
  <c r="P669" i="16"/>
  <c r="P670" i="16"/>
  <c r="P671" i="16"/>
  <c r="P672" i="16"/>
  <c r="P673" i="16"/>
  <c r="P674" i="16"/>
  <c r="P675" i="16"/>
  <c r="P676" i="16"/>
  <c r="P677" i="16"/>
  <c r="P678" i="16"/>
  <c r="P679" i="16"/>
  <c r="P680" i="16"/>
  <c r="P681" i="16"/>
  <c r="P682" i="16"/>
  <c r="P683" i="16"/>
  <c r="P684" i="16"/>
  <c r="P685" i="16"/>
  <c r="P686" i="16"/>
  <c r="P687" i="16"/>
  <c r="P688" i="16"/>
  <c r="P689" i="16"/>
  <c r="P690" i="16"/>
  <c r="P691" i="16"/>
  <c r="P692" i="16"/>
  <c r="P693" i="16"/>
  <c r="P694" i="16"/>
  <c r="P695" i="16"/>
  <c r="P696" i="16"/>
  <c r="P697" i="16"/>
  <c r="P698" i="16"/>
  <c r="P699" i="16"/>
  <c r="P700" i="16"/>
  <c r="P701" i="16"/>
  <c r="P702" i="16"/>
  <c r="P703" i="16"/>
  <c r="P704" i="16"/>
  <c r="P705" i="16"/>
  <c r="P706" i="16"/>
  <c r="P707" i="16"/>
  <c r="P708" i="16"/>
  <c r="P709" i="16"/>
  <c r="P710" i="16"/>
  <c r="P711" i="16"/>
  <c r="P712" i="16"/>
  <c r="P713" i="16"/>
  <c r="P714" i="16"/>
  <c r="P715" i="16"/>
  <c r="P716" i="16"/>
  <c r="P717" i="16"/>
  <c r="P718" i="16"/>
  <c r="P719" i="16"/>
  <c r="P720" i="16"/>
  <c r="P721" i="16"/>
  <c r="P722" i="16"/>
  <c r="P723" i="16"/>
  <c r="P724" i="16"/>
  <c r="P725" i="16"/>
  <c r="P726" i="16"/>
  <c r="P727" i="16"/>
  <c r="P728" i="16"/>
  <c r="P729" i="16"/>
  <c r="P730" i="16"/>
  <c r="P731" i="16"/>
  <c r="P732" i="16"/>
  <c r="P733" i="16"/>
  <c r="P734" i="16"/>
  <c r="P735" i="16"/>
  <c r="P736" i="16"/>
  <c r="P737" i="16"/>
  <c r="P738" i="16"/>
  <c r="P739" i="16"/>
  <c r="P740" i="16"/>
  <c r="P741" i="16"/>
  <c r="P742" i="16"/>
  <c r="P743" i="16"/>
  <c r="P744" i="16"/>
  <c r="P745" i="16"/>
  <c r="P746" i="16"/>
  <c r="P747" i="16"/>
  <c r="P748" i="16"/>
  <c r="P749" i="16"/>
  <c r="P750" i="16"/>
  <c r="P751" i="16"/>
  <c r="P752" i="16"/>
  <c r="P753" i="16"/>
  <c r="P754" i="16"/>
  <c r="P755" i="16"/>
  <c r="P756" i="16"/>
  <c r="P757" i="16"/>
  <c r="P758" i="16"/>
  <c r="P759" i="16"/>
  <c r="P760" i="16"/>
  <c r="P761" i="16"/>
  <c r="P762" i="16"/>
  <c r="P763" i="16"/>
  <c r="P764" i="16"/>
  <c r="P765" i="16"/>
  <c r="P766" i="16"/>
  <c r="P767" i="16"/>
  <c r="P768" i="16"/>
  <c r="P769" i="16"/>
  <c r="P770" i="16"/>
  <c r="P771" i="16"/>
  <c r="P772" i="16"/>
  <c r="P773" i="16"/>
  <c r="P774" i="16"/>
  <c r="P775" i="16"/>
  <c r="P776" i="16"/>
  <c r="P777" i="16"/>
  <c r="P778" i="16"/>
  <c r="P779" i="16"/>
  <c r="P780" i="16"/>
  <c r="P781" i="16"/>
  <c r="P782" i="16"/>
  <c r="P783" i="16"/>
  <c r="P784" i="16"/>
  <c r="P785" i="16"/>
  <c r="P786" i="16"/>
  <c r="P787" i="16"/>
  <c r="P788" i="16"/>
  <c r="P789" i="16"/>
  <c r="P790" i="16"/>
  <c r="P791" i="16"/>
  <c r="P792" i="16"/>
  <c r="P793" i="16"/>
  <c r="P794" i="16"/>
  <c r="P795" i="16"/>
  <c r="P796" i="16"/>
  <c r="P797" i="16"/>
  <c r="P798" i="16"/>
  <c r="P799" i="16"/>
  <c r="P800" i="16"/>
  <c r="P801" i="16"/>
  <c r="P802" i="16"/>
  <c r="P803" i="16"/>
  <c r="P804" i="16"/>
  <c r="P805" i="16"/>
  <c r="P806" i="16"/>
  <c r="P807" i="16"/>
  <c r="P808" i="16"/>
  <c r="P809" i="16"/>
  <c r="P810" i="16"/>
  <c r="P811" i="16"/>
  <c r="P812" i="16"/>
  <c r="P813" i="16"/>
  <c r="P814" i="16"/>
  <c r="P815" i="16"/>
  <c r="P816" i="16"/>
  <c r="P817" i="16"/>
  <c r="P818" i="16"/>
  <c r="P819" i="16"/>
  <c r="P820" i="16"/>
  <c r="P821" i="16"/>
  <c r="P822" i="16"/>
  <c r="P823" i="16"/>
  <c r="P824" i="16"/>
  <c r="P825" i="16"/>
  <c r="P826" i="16"/>
  <c r="P827" i="16"/>
  <c r="P828" i="16"/>
  <c r="P829" i="16"/>
  <c r="P830" i="16"/>
  <c r="P831" i="16"/>
  <c r="P832" i="16"/>
  <c r="P833" i="16"/>
  <c r="P834" i="16"/>
  <c r="P835" i="16"/>
  <c r="P836" i="16"/>
  <c r="P837" i="16"/>
  <c r="P838" i="16"/>
  <c r="P839" i="16"/>
  <c r="P840" i="16"/>
  <c r="P841" i="16"/>
  <c r="P842" i="16"/>
  <c r="P843" i="16"/>
  <c r="P844" i="16"/>
  <c r="P845" i="16"/>
  <c r="P846" i="16"/>
  <c r="P847" i="16"/>
  <c r="P848" i="16"/>
  <c r="P849" i="16"/>
  <c r="P850" i="16"/>
  <c r="P851" i="16"/>
  <c r="P852" i="16"/>
  <c r="P853" i="16"/>
  <c r="P854" i="16"/>
  <c r="P855" i="16"/>
  <c r="P856" i="16"/>
  <c r="P857" i="16"/>
  <c r="P858" i="16"/>
  <c r="P859" i="16"/>
  <c r="P860" i="16"/>
  <c r="P861" i="16"/>
  <c r="P862" i="16"/>
  <c r="P863" i="16"/>
  <c r="P864" i="16"/>
  <c r="P865" i="16"/>
  <c r="P866" i="16"/>
  <c r="P867" i="16"/>
  <c r="P868" i="16"/>
  <c r="P869" i="16"/>
  <c r="P870" i="16"/>
  <c r="P871" i="16"/>
  <c r="P872" i="16"/>
  <c r="P873" i="16"/>
  <c r="P874" i="16"/>
  <c r="P875" i="16"/>
  <c r="P876" i="16"/>
  <c r="P877" i="16"/>
  <c r="P878" i="16"/>
  <c r="P879" i="16"/>
  <c r="P880" i="16"/>
  <c r="P881" i="16"/>
  <c r="P882" i="16"/>
  <c r="P883" i="16"/>
  <c r="P884" i="16"/>
  <c r="P885" i="16"/>
  <c r="P886" i="16"/>
  <c r="P887" i="16"/>
  <c r="P888" i="16"/>
  <c r="P889" i="16"/>
  <c r="P890" i="16"/>
  <c r="P891" i="16"/>
  <c r="P892" i="16"/>
  <c r="P893" i="16"/>
  <c r="P894" i="16"/>
  <c r="P895" i="16"/>
  <c r="P896" i="16"/>
  <c r="P897" i="16"/>
  <c r="P898" i="16"/>
  <c r="P899" i="16"/>
  <c r="P900" i="16"/>
  <c r="P901" i="16"/>
  <c r="P902" i="16"/>
  <c r="P903" i="16"/>
  <c r="P904" i="16"/>
  <c r="P905" i="16"/>
  <c r="P906" i="16"/>
  <c r="P907" i="16"/>
  <c r="P908" i="16"/>
  <c r="P909" i="16"/>
  <c r="P910" i="16"/>
  <c r="P911" i="16"/>
  <c r="P912" i="16"/>
  <c r="P913" i="16"/>
  <c r="P914" i="16"/>
  <c r="P915" i="16"/>
  <c r="P916" i="16"/>
  <c r="P917" i="16"/>
  <c r="P918" i="16"/>
  <c r="P919" i="16"/>
  <c r="P920" i="16"/>
  <c r="P921" i="16"/>
  <c r="P922" i="16"/>
  <c r="P923" i="16"/>
  <c r="P924" i="16"/>
  <c r="P925" i="16"/>
  <c r="P926" i="16"/>
  <c r="P927" i="16"/>
  <c r="P928" i="16"/>
  <c r="P929" i="16"/>
  <c r="P930" i="16"/>
  <c r="P931" i="16"/>
  <c r="P932" i="16"/>
  <c r="P933" i="16"/>
  <c r="P934" i="16"/>
  <c r="P935" i="16"/>
  <c r="P936" i="16"/>
  <c r="P937" i="16"/>
  <c r="P938" i="16"/>
  <c r="P939" i="16"/>
  <c r="P940" i="16"/>
  <c r="P941" i="16"/>
  <c r="P942" i="16"/>
  <c r="P943" i="16"/>
  <c r="P944" i="16"/>
  <c r="P945" i="16"/>
  <c r="P946" i="16"/>
  <c r="P947" i="16"/>
  <c r="P948" i="16"/>
  <c r="P949" i="16"/>
  <c r="P950" i="16"/>
  <c r="P951" i="16"/>
  <c r="P952" i="16"/>
  <c r="P953" i="16"/>
  <c r="P954" i="16"/>
  <c r="P955" i="16"/>
  <c r="P956" i="16"/>
  <c r="P957" i="16"/>
  <c r="P958" i="16"/>
  <c r="P959" i="16"/>
  <c r="P960" i="16"/>
  <c r="P961" i="16"/>
  <c r="P962" i="16"/>
  <c r="P963" i="16"/>
  <c r="P964" i="16"/>
  <c r="P965" i="16"/>
  <c r="P966" i="16"/>
  <c r="P967" i="16"/>
  <c r="P968" i="16"/>
  <c r="P969" i="16"/>
  <c r="P970" i="16"/>
  <c r="P971" i="16"/>
  <c r="P972" i="16"/>
  <c r="P973" i="16"/>
  <c r="P974" i="16"/>
  <c r="P975" i="16"/>
  <c r="P976" i="16"/>
  <c r="P977" i="16"/>
  <c r="P978" i="16"/>
  <c r="P979" i="16"/>
  <c r="P980" i="16"/>
  <c r="P981" i="16"/>
  <c r="P982" i="16"/>
  <c r="P983" i="16"/>
  <c r="P984" i="16"/>
  <c r="P985" i="16"/>
  <c r="P986" i="16"/>
  <c r="P987" i="16"/>
  <c r="P988" i="16"/>
  <c r="P989" i="16"/>
  <c r="P990" i="16"/>
  <c r="P991" i="16"/>
  <c r="P992" i="16"/>
  <c r="P993" i="16"/>
  <c r="P994" i="16"/>
  <c r="P995" i="16"/>
  <c r="P996" i="16"/>
  <c r="P997" i="16"/>
  <c r="P998" i="16"/>
  <c r="P999" i="16"/>
  <c r="P1000" i="16"/>
  <c r="P1001" i="16"/>
  <c r="P1002" i="16"/>
  <c r="P1003" i="16"/>
  <c r="P1004" i="16"/>
  <c r="P1005" i="16"/>
  <c r="P1006" i="16"/>
  <c r="P1007" i="16"/>
  <c r="P1008" i="16"/>
  <c r="P1009" i="16"/>
  <c r="P1010" i="16"/>
  <c r="P1011" i="16"/>
  <c r="P1012" i="16"/>
  <c r="P1013" i="16"/>
  <c r="P1014" i="16"/>
  <c r="P1015" i="16"/>
  <c r="P1016" i="16"/>
  <c r="P1017" i="16"/>
  <c r="P1018" i="16"/>
  <c r="P1019" i="16"/>
  <c r="P1020" i="16"/>
  <c r="P1021" i="16"/>
  <c r="P1022" i="16"/>
  <c r="P1023" i="16"/>
  <c r="P1024" i="16"/>
  <c r="P1025" i="16"/>
  <c r="P1026" i="16"/>
  <c r="P1027" i="16"/>
  <c r="P1028" i="16"/>
  <c r="P1029" i="16"/>
  <c r="P1030" i="16"/>
  <c r="P1031" i="16"/>
  <c r="P1032" i="16"/>
  <c r="P1033" i="16"/>
  <c r="P1034" i="16"/>
  <c r="P1035" i="16"/>
  <c r="P1036" i="16"/>
  <c r="P1037" i="16"/>
  <c r="P1038" i="16"/>
  <c r="P1039" i="16"/>
  <c r="P1040" i="16"/>
  <c r="P1041" i="16"/>
  <c r="P1042" i="16"/>
  <c r="P1043" i="16"/>
  <c r="P1044" i="16"/>
  <c r="P1045" i="16"/>
  <c r="P1046" i="16"/>
  <c r="P1047" i="16"/>
  <c r="P1048" i="16"/>
  <c r="P1049" i="16"/>
  <c r="P1050" i="16"/>
  <c r="P1051" i="16"/>
  <c r="P1052" i="16"/>
  <c r="P1053" i="16"/>
  <c r="P1054" i="16"/>
  <c r="P1055" i="16"/>
  <c r="P1056" i="16"/>
  <c r="P1057" i="16"/>
  <c r="P1058" i="16"/>
  <c r="P1059" i="16"/>
  <c r="P1060" i="16"/>
  <c r="P1061" i="16"/>
  <c r="P1062" i="16"/>
  <c r="P1063" i="16"/>
  <c r="P1064" i="16"/>
  <c r="P1065" i="16"/>
  <c r="P1066" i="16"/>
  <c r="P1067" i="16"/>
  <c r="P1068" i="16"/>
  <c r="P1069" i="16"/>
  <c r="P1070" i="16"/>
  <c r="P1071" i="16"/>
  <c r="P1072" i="16"/>
  <c r="P1073" i="16"/>
  <c r="P1074" i="16"/>
  <c r="P1075" i="16"/>
  <c r="P1076" i="16"/>
  <c r="P1077" i="16"/>
  <c r="P1078" i="16"/>
  <c r="P1079" i="16"/>
  <c r="P1080" i="16"/>
  <c r="P1081" i="16"/>
  <c r="P1082" i="16"/>
  <c r="P1083" i="16"/>
  <c r="P1084" i="16"/>
  <c r="P1085" i="16"/>
  <c r="P1086" i="16"/>
  <c r="P1087" i="16"/>
  <c r="P1088" i="16"/>
  <c r="P1089" i="16"/>
  <c r="P1090" i="16"/>
  <c r="P1091" i="16"/>
  <c r="P1092" i="16"/>
  <c r="P1093" i="16"/>
  <c r="P1094" i="16"/>
  <c r="P1095" i="16"/>
  <c r="P1096" i="16"/>
  <c r="P1097" i="16"/>
  <c r="P1098" i="16"/>
  <c r="P1099" i="16"/>
  <c r="P1100" i="16"/>
  <c r="P1101" i="16"/>
  <c r="P1102" i="16"/>
  <c r="P1103" i="16"/>
  <c r="P1104" i="16"/>
  <c r="P1105" i="16"/>
  <c r="P1106" i="16"/>
  <c r="P1107" i="16"/>
  <c r="P1108" i="16"/>
  <c r="P1109" i="16"/>
  <c r="P1110" i="16"/>
  <c r="P1111" i="16"/>
  <c r="P1112" i="16"/>
  <c r="P1113" i="16"/>
  <c r="P1114" i="16"/>
  <c r="P1115" i="16"/>
  <c r="P1116" i="16"/>
  <c r="P1117" i="16"/>
  <c r="P1118" i="16"/>
  <c r="P1119" i="16"/>
  <c r="P1120" i="16"/>
  <c r="P1121" i="16"/>
  <c r="P1122" i="16"/>
  <c r="P1123" i="16"/>
  <c r="P1124" i="16"/>
  <c r="P1125" i="16"/>
  <c r="P1126" i="16"/>
  <c r="P1127" i="16"/>
  <c r="P1128" i="16"/>
  <c r="P1129" i="16"/>
  <c r="P1130" i="16"/>
  <c r="P1131" i="16"/>
  <c r="P1132" i="16"/>
  <c r="P1133" i="16"/>
  <c r="P1134" i="16"/>
  <c r="P1135" i="16"/>
  <c r="P1136" i="16"/>
  <c r="P1137" i="16"/>
  <c r="P1138" i="16"/>
  <c r="P1139" i="16"/>
  <c r="P1140" i="16"/>
  <c r="P1141" i="16"/>
  <c r="P1142" i="16"/>
  <c r="P1143" i="16"/>
  <c r="P1144" i="16"/>
  <c r="P1145" i="16"/>
  <c r="P1146" i="16"/>
  <c r="P1147" i="16"/>
  <c r="P1148" i="16"/>
  <c r="P1149" i="16"/>
  <c r="P1150" i="16"/>
  <c r="P1151" i="16"/>
  <c r="P1152" i="16"/>
  <c r="P1153" i="16"/>
  <c r="P1154" i="16"/>
  <c r="P1155" i="16"/>
  <c r="P1156" i="16"/>
  <c r="P1157" i="16"/>
  <c r="P1158" i="16"/>
  <c r="P1159" i="16"/>
  <c r="P1160" i="16"/>
  <c r="P1161" i="16"/>
  <c r="P1162" i="16"/>
  <c r="P1163" i="16"/>
  <c r="P1164" i="16"/>
  <c r="P1165" i="16"/>
  <c r="P1166" i="16"/>
  <c r="P1167" i="16"/>
  <c r="P1168" i="16"/>
  <c r="P1169" i="16"/>
  <c r="P1170" i="16"/>
  <c r="P1171" i="16"/>
  <c r="P1172" i="16"/>
  <c r="P1173" i="16"/>
  <c r="P1174" i="16"/>
  <c r="P1175" i="16"/>
  <c r="P1176" i="16"/>
  <c r="P1177" i="16"/>
  <c r="P1178" i="16"/>
  <c r="P1179" i="16"/>
  <c r="P1180" i="16"/>
  <c r="P1181" i="16"/>
  <c r="P1182" i="16"/>
  <c r="P1183" i="16"/>
  <c r="P1184" i="16"/>
  <c r="P1185" i="16"/>
  <c r="P1186" i="16"/>
  <c r="P1187" i="16"/>
  <c r="P1188" i="16"/>
  <c r="P1189" i="16"/>
  <c r="P1190" i="16"/>
  <c r="P1191" i="16"/>
  <c r="P1192" i="16"/>
  <c r="P1193" i="16"/>
  <c r="P1194" i="16"/>
  <c r="P1195" i="16"/>
  <c r="P1196" i="16"/>
  <c r="P1197" i="16"/>
  <c r="P1198" i="16"/>
  <c r="P1199" i="16"/>
  <c r="P1200" i="16"/>
  <c r="P1201" i="16"/>
  <c r="P1202" i="16"/>
  <c r="P1203" i="16"/>
  <c r="P1204" i="16"/>
  <c r="P1205" i="16"/>
  <c r="P1206" i="16"/>
  <c r="P1207" i="16"/>
  <c r="P1208" i="16"/>
  <c r="P1209" i="16"/>
  <c r="P1210" i="16"/>
  <c r="P1211" i="16"/>
  <c r="P1212" i="16"/>
  <c r="P1213" i="16"/>
  <c r="P1214" i="16"/>
  <c r="P1215" i="16"/>
  <c r="P1216" i="16"/>
  <c r="P1217" i="16"/>
  <c r="P1218" i="16"/>
  <c r="P1219" i="16"/>
  <c r="P1220" i="16"/>
  <c r="P1221" i="16"/>
  <c r="P1222" i="16"/>
  <c r="P1223" i="16"/>
  <c r="P1224" i="16"/>
  <c r="P1225" i="16"/>
  <c r="P1226" i="16"/>
  <c r="P1227" i="16"/>
  <c r="P1228" i="16"/>
  <c r="P1229" i="16"/>
  <c r="P1230" i="16"/>
  <c r="P1231" i="16"/>
  <c r="P1232" i="16"/>
  <c r="P1233" i="16"/>
  <c r="P1234" i="16"/>
  <c r="P1235" i="16"/>
  <c r="P1236" i="16"/>
  <c r="P1237" i="16"/>
  <c r="P1238" i="16"/>
  <c r="P1239" i="16"/>
  <c r="P1240" i="16"/>
  <c r="P1241" i="16"/>
  <c r="P1242" i="16"/>
  <c r="P1243" i="16"/>
  <c r="P1244" i="16"/>
  <c r="P1245" i="16"/>
  <c r="P1246" i="16"/>
  <c r="P1247" i="16"/>
  <c r="P1248" i="16"/>
  <c r="P1249" i="16"/>
  <c r="P1250" i="16"/>
  <c r="P1251" i="16"/>
  <c r="P1252" i="16"/>
  <c r="P1253" i="16"/>
  <c r="P1254" i="16"/>
  <c r="P1255" i="16"/>
  <c r="P1256" i="16"/>
  <c r="P1257" i="16"/>
  <c r="P1258" i="16"/>
  <c r="P1259" i="16"/>
  <c r="P1260" i="16"/>
  <c r="P1261" i="16"/>
  <c r="P1262" i="16"/>
  <c r="P1263" i="16"/>
  <c r="P1264" i="16"/>
  <c r="P1265" i="16"/>
  <c r="P1266" i="16"/>
  <c r="P1267" i="16"/>
  <c r="P1268" i="16"/>
  <c r="P1269" i="16"/>
  <c r="P1270" i="16"/>
  <c r="P1271" i="16"/>
  <c r="P1272" i="16"/>
  <c r="P1273" i="16"/>
  <c r="P1274" i="16"/>
  <c r="P1275" i="16"/>
  <c r="P1276" i="16"/>
  <c r="P1277" i="16"/>
  <c r="P1278" i="16"/>
  <c r="P1279" i="16"/>
  <c r="P1280" i="16"/>
  <c r="P1281" i="16"/>
  <c r="P1282" i="16"/>
  <c r="P1283" i="16"/>
  <c r="P1284" i="16"/>
  <c r="P1285" i="16"/>
  <c r="P1286" i="16"/>
  <c r="P1287" i="16"/>
  <c r="P1288" i="16"/>
  <c r="P1289" i="16"/>
  <c r="P1290" i="16"/>
  <c r="P1291" i="16"/>
  <c r="P1292" i="16"/>
  <c r="P1293" i="16"/>
  <c r="P1294" i="16"/>
  <c r="P1295" i="16"/>
  <c r="P1296" i="16"/>
  <c r="P1297" i="16"/>
  <c r="P1298" i="16"/>
  <c r="P1299" i="16"/>
  <c r="P1300" i="16"/>
  <c r="P1301" i="16"/>
  <c r="P1302" i="16"/>
  <c r="P1303" i="16"/>
  <c r="P1304" i="16"/>
  <c r="P1305" i="16"/>
  <c r="P1306" i="16"/>
  <c r="P1307" i="16"/>
  <c r="P1308" i="16"/>
  <c r="P1309" i="16"/>
  <c r="P1310" i="16"/>
  <c r="P1311" i="16"/>
  <c r="P1312" i="16"/>
  <c r="P1313" i="16"/>
  <c r="P1314" i="16"/>
  <c r="P1315" i="16"/>
  <c r="P1316" i="16"/>
  <c r="P1317" i="16"/>
  <c r="P1318" i="16"/>
  <c r="P1319" i="16"/>
  <c r="P1320" i="16"/>
  <c r="P1321" i="16"/>
  <c r="P1322" i="16"/>
  <c r="P1323" i="16"/>
  <c r="P1324" i="16"/>
  <c r="P1325" i="16"/>
  <c r="P1326" i="16"/>
  <c r="P1327" i="16"/>
  <c r="P1328" i="16"/>
  <c r="P1329" i="16"/>
  <c r="P1330" i="16"/>
  <c r="P1331" i="16"/>
  <c r="P1332" i="16"/>
  <c r="P1333" i="16"/>
  <c r="P1334" i="16"/>
  <c r="P1335" i="16"/>
  <c r="P1336" i="16"/>
  <c r="P1337" i="16"/>
  <c r="P1338" i="16"/>
  <c r="P1339" i="16"/>
  <c r="P1340" i="16"/>
  <c r="P1341" i="16"/>
  <c r="P1342" i="16"/>
  <c r="P1343" i="16"/>
  <c r="P1344" i="16"/>
  <c r="P1345" i="16"/>
  <c r="P1346" i="16"/>
  <c r="P1347" i="16"/>
  <c r="P1348" i="16"/>
  <c r="P1349" i="16"/>
  <c r="P1350" i="16"/>
  <c r="P1351" i="16"/>
  <c r="P1352" i="16"/>
  <c r="P1353" i="16"/>
  <c r="P1354" i="16"/>
  <c r="P1355" i="16"/>
  <c r="P1356" i="16"/>
  <c r="P1357" i="16"/>
  <c r="P1358" i="16"/>
  <c r="P1359" i="16"/>
  <c r="P1360" i="16"/>
  <c r="P1361" i="16"/>
  <c r="P1362" i="16"/>
  <c r="P1363" i="16"/>
  <c r="P1364" i="16"/>
  <c r="P1365" i="16"/>
  <c r="P1366" i="16"/>
  <c r="P1367" i="16"/>
  <c r="P1368" i="16"/>
  <c r="P1369" i="16"/>
  <c r="P1370" i="16"/>
  <c r="P1371" i="16"/>
  <c r="P1372" i="16"/>
  <c r="P1373" i="16"/>
  <c r="P1374" i="16"/>
  <c r="P1375" i="16"/>
  <c r="P1376" i="16"/>
  <c r="P1377" i="16"/>
  <c r="P1378" i="16"/>
  <c r="P1379" i="16"/>
  <c r="P1380" i="16"/>
  <c r="P1381" i="16"/>
  <c r="P1382" i="16"/>
  <c r="P1383" i="16"/>
  <c r="P1384" i="16"/>
  <c r="P1385" i="16"/>
  <c r="P1386" i="16"/>
  <c r="P1387" i="16"/>
  <c r="P1388" i="16"/>
  <c r="P1389" i="16"/>
  <c r="P1390" i="16"/>
  <c r="P1391" i="16"/>
  <c r="P1392" i="16"/>
  <c r="P1393" i="16"/>
  <c r="P1394" i="16"/>
  <c r="P1395" i="16"/>
  <c r="P1396" i="16"/>
  <c r="P1397" i="16"/>
  <c r="P1398" i="16"/>
  <c r="P1399" i="16"/>
  <c r="P1400" i="16"/>
  <c r="P1401" i="16"/>
  <c r="P1402" i="16"/>
  <c r="P1403" i="16"/>
  <c r="P1404" i="16"/>
  <c r="P1405" i="16"/>
  <c r="P1406" i="16"/>
  <c r="P1407" i="16"/>
  <c r="P1408" i="16"/>
  <c r="P1409" i="16"/>
  <c r="P1410" i="16"/>
  <c r="P1411" i="16"/>
  <c r="P1412" i="16"/>
  <c r="P1413" i="16"/>
  <c r="P1414" i="16"/>
  <c r="P1415" i="16"/>
  <c r="P1416" i="16"/>
  <c r="P1417" i="16"/>
  <c r="P1418" i="16"/>
  <c r="P1419" i="16"/>
  <c r="P1420" i="16"/>
  <c r="P1421" i="16"/>
  <c r="P1422" i="16"/>
  <c r="P1423" i="16"/>
  <c r="P1424" i="16"/>
  <c r="P1425" i="16"/>
  <c r="P1426" i="16"/>
  <c r="P1427" i="16"/>
  <c r="P1428" i="16"/>
  <c r="P1429" i="16"/>
  <c r="P1430" i="16"/>
  <c r="P1431" i="16"/>
  <c r="P1432" i="16"/>
  <c r="P1433" i="16"/>
  <c r="P1434" i="16"/>
  <c r="P1435" i="16"/>
  <c r="P1436" i="16"/>
  <c r="P1437" i="16"/>
  <c r="P1438" i="16"/>
  <c r="P1439" i="16"/>
  <c r="P1440" i="16"/>
  <c r="P1441" i="16"/>
  <c r="P1442" i="16"/>
  <c r="P1443" i="16"/>
  <c r="P1444" i="16"/>
  <c r="P1445" i="16"/>
  <c r="P1446" i="16"/>
  <c r="P1447" i="16"/>
  <c r="P1448" i="16"/>
  <c r="P1449" i="16"/>
  <c r="G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H2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I122" i="7"/>
  <c r="J122" i="7"/>
  <c r="K122" i="7"/>
  <c r="L122" i="7"/>
  <c r="I123" i="7"/>
  <c r="J123" i="7"/>
  <c r="K123" i="7"/>
  <c r="L123" i="7"/>
  <c r="I124" i="7"/>
  <c r="J124" i="7"/>
  <c r="K124" i="7"/>
  <c r="L124" i="7"/>
  <c r="I125" i="7"/>
  <c r="J125" i="7"/>
  <c r="K125" i="7"/>
  <c r="L125" i="7"/>
  <c r="I126" i="7"/>
  <c r="J126" i="7"/>
  <c r="K126" i="7"/>
  <c r="L126" i="7"/>
  <c r="I127" i="7"/>
  <c r="J127" i="7"/>
  <c r="K127" i="7"/>
  <c r="L127" i="7"/>
  <c r="N108" i="9"/>
  <c r="O108" i="9"/>
  <c r="G108" i="9"/>
  <c r="H108" i="9"/>
  <c r="I108" i="9"/>
  <c r="J108" i="9"/>
  <c r="N103" i="9"/>
  <c r="O103" i="9"/>
  <c r="N104" i="9"/>
  <c r="O104" i="9"/>
  <c r="N105" i="9"/>
  <c r="O105" i="9"/>
  <c r="N106" i="9"/>
  <c r="O106" i="9"/>
  <c r="N107" i="9"/>
  <c r="O107" i="9"/>
  <c r="G103" i="9"/>
  <c r="H103" i="9"/>
  <c r="I103" i="9"/>
  <c r="J103" i="9"/>
  <c r="G104" i="9"/>
  <c r="H104" i="9"/>
  <c r="I104" i="9"/>
  <c r="J104" i="9"/>
  <c r="G105" i="9"/>
  <c r="H105" i="9"/>
  <c r="I105" i="9"/>
  <c r="J105" i="9"/>
  <c r="G106" i="9"/>
  <c r="H106" i="9"/>
  <c r="I106" i="9"/>
  <c r="J106" i="9"/>
  <c r="G107" i="9"/>
  <c r="H107" i="9"/>
  <c r="I107" i="9"/>
  <c r="J107" i="9"/>
  <c r="I2" i="7"/>
  <c r="J2" i="7"/>
  <c r="K2" i="7"/>
  <c r="L2" i="7"/>
  <c r="I3" i="7"/>
  <c r="J3" i="7"/>
  <c r="K3" i="7"/>
  <c r="L3" i="7"/>
  <c r="I4" i="7"/>
  <c r="J4" i="7"/>
  <c r="K4" i="7"/>
  <c r="L4" i="7"/>
  <c r="I5" i="7"/>
  <c r="J5" i="7"/>
  <c r="K5" i="7"/>
  <c r="L5" i="7"/>
  <c r="I6" i="7"/>
  <c r="J6" i="7"/>
  <c r="K6" i="7"/>
  <c r="L6" i="7"/>
  <c r="I7" i="7"/>
  <c r="J7" i="7"/>
  <c r="K7" i="7"/>
  <c r="L7" i="7"/>
  <c r="I8" i="7"/>
  <c r="J8" i="7"/>
  <c r="K8" i="7"/>
  <c r="L8" i="7"/>
  <c r="I9" i="7"/>
  <c r="J9" i="7"/>
  <c r="K9" i="7"/>
  <c r="L9" i="7"/>
  <c r="I10" i="7"/>
  <c r="J10" i="7"/>
  <c r="K10" i="7"/>
  <c r="L10" i="7"/>
  <c r="I11" i="7"/>
  <c r="J11" i="7"/>
  <c r="K11" i="7"/>
  <c r="L11" i="7"/>
  <c r="I12" i="7"/>
  <c r="J12" i="7"/>
  <c r="K12" i="7"/>
  <c r="L12" i="7"/>
  <c r="I13" i="7"/>
  <c r="J13" i="7"/>
  <c r="K13" i="7"/>
  <c r="L13" i="7"/>
  <c r="I14" i="7"/>
  <c r="J14" i="7"/>
  <c r="K14" i="7"/>
  <c r="L14" i="7"/>
  <c r="I15" i="7"/>
  <c r="J15" i="7"/>
  <c r="K15" i="7"/>
  <c r="L15" i="7"/>
  <c r="I16" i="7"/>
  <c r="J16" i="7"/>
  <c r="K16" i="7"/>
  <c r="L16" i="7"/>
  <c r="I17" i="7"/>
  <c r="J17" i="7"/>
  <c r="K17" i="7"/>
  <c r="L17" i="7"/>
  <c r="I18" i="7"/>
  <c r="J18" i="7"/>
  <c r="K18" i="7"/>
  <c r="L18" i="7"/>
  <c r="I19" i="7"/>
  <c r="J19" i="7"/>
  <c r="K19" i="7"/>
  <c r="L19" i="7"/>
  <c r="I20" i="7"/>
  <c r="J20" i="7"/>
  <c r="K20" i="7"/>
  <c r="L20" i="7"/>
  <c r="I21" i="7"/>
  <c r="J21" i="7"/>
  <c r="K21" i="7"/>
  <c r="L21" i="7"/>
  <c r="I22" i="7"/>
  <c r="J22" i="7"/>
  <c r="K22" i="7"/>
  <c r="L22" i="7"/>
  <c r="I23" i="7"/>
  <c r="J23" i="7"/>
  <c r="K23" i="7"/>
  <c r="L23" i="7"/>
  <c r="I24" i="7"/>
  <c r="J24" i="7"/>
  <c r="K24" i="7"/>
  <c r="L24" i="7"/>
  <c r="I25" i="7"/>
  <c r="J25" i="7"/>
  <c r="K25" i="7"/>
  <c r="L25" i="7"/>
  <c r="I26" i="7"/>
  <c r="J26" i="7"/>
  <c r="K26" i="7"/>
  <c r="L26" i="7"/>
  <c r="I27" i="7"/>
  <c r="J27" i="7"/>
  <c r="K27" i="7"/>
  <c r="L27" i="7"/>
  <c r="I28" i="7"/>
  <c r="J28" i="7"/>
  <c r="K28" i="7"/>
  <c r="L28" i="7"/>
  <c r="I29" i="7"/>
  <c r="J29" i="7"/>
  <c r="K29" i="7"/>
  <c r="L29" i="7"/>
  <c r="I30" i="7"/>
  <c r="J30" i="7"/>
  <c r="K30" i="7"/>
  <c r="L30" i="7"/>
  <c r="I31" i="7"/>
  <c r="J31" i="7"/>
  <c r="K31" i="7"/>
  <c r="L31" i="7"/>
  <c r="I32" i="7"/>
  <c r="J32" i="7"/>
  <c r="K32" i="7"/>
  <c r="L32" i="7"/>
  <c r="I33" i="7"/>
  <c r="J33" i="7"/>
  <c r="K33" i="7"/>
  <c r="L33" i="7"/>
  <c r="I34" i="7"/>
  <c r="J34" i="7"/>
  <c r="K34" i="7"/>
  <c r="L34" i="7"/>
  <c r="I35" i="7"/>
  <c r="J35" i="7"/>
  <c r="K35" i="7"/>
  <c r="L35" i="7"/>
  <c r="I36" i="7"/>
  <c r="J36" i="7"/>
  <c r="K36" i="7"/>
  <c r="L36" i="7"/>
  <c r="I37" i="7"/>
  <c r="J37" i="7"/>
  <c r="K37" i="7"/>
  <c r="L37" i="7"/>
  <c r="I38" i="7"/>
  <c r="J38" i="7"/>
  <c r="K38" i="7"/>
  <c r="L38" i="7"/>
  <c r="I39" i="7"/>
  <c r="J39" i="7"/>
  <c r="K39" i="7"/>
  <c r="L39" i="7"/>
  <c r="I40" i="7"/>
  <c r="J40" i="7"/>
  <c r="K40" i="7"/>
  <c r="L40" i="7"/>
  <c r="I41" i="7"/>
  <c r="J41" i="7"/>
  <c r="K41" i="7"/>
  <c r="L41" i="7"/>
  <c r="I42" i="7"/>
  <c r="J42" i="7"/>
  <c r="K42" i="7"/>
  <c r="L42" i="7"/>
  <c r="I43" i="7"/>
  <c r="J43" i="7"/>
  <c r="K43" i="7"/>
  <c r="L43" i="7"/>
  <c r="I44" i="7"/>
  <c r="J44" i="7"/>
  <c r="K44" i="7"/>
  <c r="L44" i="7"/>
  <c r="I45" i="7"/>
  <c r="J45" i="7"/>
  <c r="K45" i="7"/>
  <c r="L45" i="7"/>
  <c r="I46" i="7"/>
  <c r="J46" i="7"/>
  <c r="K46" i="7"/>
  <c r="L46" i="7"/>
  <c r="I47" i="7"/>
  <c r="J47" i="7"/>
  <c r="K47" i="7"/>
  <c r="L47" i="7"/>
  <c r="I48" i="7"/>
  <c r="J48" i="7"/>
  <c r="K48" i="7"/>
  <c r="L48" i="7"/>
  <c r="I49" i="7"/>
  <c r="J49" i="7"/>
  <c r="K49" i="7"/>
  <c r="L49" i="7"/>
  <c r="I50" i="7"/>
  <c r="J50" i="7"/>
  <c r="K50" i="7"/>
  <c r="L50" i="7"/>
  <c r="I51" i="7"/>
  <c r="J51" i="7"/>
  <c r="K51" i="7"/>
  <c r="L51" i="7"/>
  <c r="I52" i="7"/>
  <c r="J52" i="7"/>
  <c r="K52" i="7"/>
  <c r="L52" i="7"/>
  <c r="I53" i="7"/>
  <c r="J53" i="7"/>
  <c r="K53" i="7"/>
  <c r="L53" i="7"/>
  <c r="I54" i="7"/>
  <c r="J54" i="7"/>
  <c r="K54" i="7"/>
  <c r="L54" i="7"/>
  <c r="I55" i="7"/>
  <c r="J55" i="7"/>
  <c r="K55" i="7"/>
  <c r="L55" i="7"/>
  <c r="I56" i="7"/>
  <c r="J56" i="7"/>
  <c r="K56" i="7"/>
  <c r="L56" i="7"/>
  <c r="I57" i="7"/>
  <c r="J57" i="7"/>
  <c r="K57" i="7"/>
  <c r="L57" i="7"/>
  <c r="I58" i="7"/>
  <c r="J58" i="7"/>
  <c r="K58" i="7"/>
  <c r="L58" i="7"/>
  <c r="I59" i="7"/>
  <c r="J59" i="7"/>
  <c r="K59" i="7"/>
  <c r="L59" i="7"/>
  <c r="I60" i="7"/>
  <c r="J60" i="7"/>
  <c r="K60" i="7"/>
  <c r="L60" i="7"/>
  <c r="I61" i="7"/>
  <c r="J61" i="7"/>
  <c r="K61" i="7"/>
  <c r="L61" i="7"/>
  <c r="I62" i="7"/>
  <c r="J62" i="7"/>
  <c r="K62" i="7"/>
  <c r="L62" i="7"/>
  <c r="I63" i="7"/>
  <c r="J63" i="7"/>
  <c r="K63" i="7"/>
  <c r="L63" i="7"/>
  <c r="I64" i="7"/>
  <c r="J64" i="7"/>
  <c r="K64" i="7"/>
  <c r="L64" i="7"/>
  <c r="I65" i="7"/>
  <c r="J65" i="7"/>
  <c r="K65" i="7"/>
  <c r="L65" i="7"/>
  <c r="I66" i="7"/>
  <c r="J66" i="7"/>
  <c r="K66" i="7"/>
  <c r="L66" i="7"/>
  <c r="I67" i="7"/>
  <c r="J67" i="7"/>
  <c r="K67" i="7"/>
  <c r="L67" i="7"/>
  <c r="I68" i="7"/>
  <c r="J68" i="7"/>
  <c r="K68" i="7"/>
  <c r="L68" i="7"/>
  <c r="I69" i="7"/>
  <c r="J69" i="7"/>
  <c r="K69" i="7"/>
  <c r="L69" i="7"/>
  <c r="I70" i="7"/>
  <c r="J70" i="7"/>
  <c r="K70" i="7"/>
  <c r="L70" i="7"/>
  <c r="I71" i="7"/>
  <c r="J71" i="7"/>
  <c r="K71" i="7"/>
  <c r="L71" i="7"/>
  <c r="I72" i="7"/>
  <c r="J72" i="7"/>
  <c r="K72" i="7"/>
  <c r="L72" i="7"/>
  <c r="I73" i="7"/>
  <c r="J73" i="7"/>
  <c r="K73" i="7"/>
  <c r="L73" i="7"/>
  <c r="I74" i="7"/>
  <c r="J74" i="7"/>
  <c r="K74" i="7"/>
  <c r="L74" i="7"/>
  <c r="I75" i="7"/>
  <c r="J75" i="7"/>
  <c r="K75" i="7"/>
  <c r="L75" i="7"/>
  <c r="I76" i="7"/>
  <c r="J76" i="7"/>
  <c r="K76" i="7"/>
  <c r="L76" i="7"/>
  <c r="I77" i="7"/>
  <c r="J77" i="7"/>
  <c r="K77" i="7"/>
  <c r="L77" i="7"/>
  <c r="I78" i="7"/>
  <c r="J78" i="7"/>
  <c r="K78" i="7"/>
  <c r="L78" i="7"/>
  <c r="I79" i="7"/>
  <c r="J79" i="7"/>
  <c r="K79" i="7"/>
  <c r="L79" i="7"/>
  <c r="I80" i="7"/>
  <c r="J80" i="7"/>
  <c r="K80" i="7"/>
  <c r="L80" i="7"/>
  <c r="I81" i="7"/>
  <c r="J81" i="7"/>
  <c r="K81" i="7"/>
  <c r="L81" i="7"/>
  <c r="I82" i="7"/>
  <c r="J82" i="7"/>
  <c r="K82" i="7"/>
  <c r="L82" i="7"/>
  <c r="I83" i="7"/>
  <c r="J83" i="7"/>
  <c r="K83" i="7"/>
  <c r="L83" i="7"/>
  <c r="I84" i="7"/>
  <c r="J84" i="7"/>
  <c r="K84" i="7"/>
  <c r="L84" i="7"/>
  <c r="I85" i="7"/>
  <c r="J85" i="7"/>
  <c r="K85" i="7"/>
  <c r="L85" i="7"/>
  <c r="I86" i="7"/>
  <c r="J86" i="7"/>
  <c r="K86" i="7"/>
  <c r="L86" i="7"/>
  <c r="I87" i="7"/>
  <c r="J87" i="7"/>
  <c r="K87" i="7"/>
  <c r="L87" i="7"/>
  <c r="I88" i="7"/>
  <c r="J88" i="7"/>
  <c r="K88" i="7"/>
  <c r="L88" i="7"/>
  <c r="I89" i="7"/>
  <c r="J89" i="7"/>
  <c r="K89" i="7"/>
  <c r="L89" i="7"/>
  <c r="I90" i="7"/>
  <c r="J90" i="7"/>
  <c r="K90" i="7"/>
  <c r="L90" i="7"/>
  <c r="I91" i="7"/>
  <c r="J91" i="7"/>
  <c r="K91" i="7"/>
  <c r="L91" i="7"/>
  <c r="I92" i="7"/>
  <c r="J92" i="7"/>
  <c r="K92" i="7"/>
  <c r="L92" i="7"/>
  <c r="I93" i="7"/>
  <c r="J93" i="7"/>
  <c r="K93" i="7"/>
  <c r="L93" i="7"/>
  <c r="I94" i="7"/>
  <c r="J94" i="7"/>
  <c r="K94" i="7"/>
  <c r="L94" i="7"/>
  <c r="I95" i="7"/>
  <c r="J95" i="7"/>
  <c r="K95" i="7"/>
  <c r="L95" i="7"/>
  <c r="I96" i="7"/>
  <c r="J96" i="7"/>
  <c r="K96" i="7"/>
  <c r="L96" i="7"/>
  <c r="I97" i="7"/>
  <c r="J97" i="7"/>
  <c r="K97" i="7"/>
  <c r="L97" i="7"/>
  <c r="I98" i="7"/>
  <c r="J98" i="7"/>
  <c r="K98" i="7"/>
  <c r="L98" i="7"/>
  <c r="I99" i="7"/>
  <c r="J99" i="7"/>
  <c r="K99" i="7"/>
  <c r="L99" i="7"/>
  <c r="I100" i="7"/>
  <c r="J100" i="7"/>
  <c r="K100" i="7"/>
  <c r="L100" i="7"/>
  <c r="I101" i="7"/>
  <c r="J101" i="7"/>
  <c r="K101" i="7"/>
  <c r="L101" i="7"/>
  <c r="I102" i="7"/>
  <c r="J102" i="7"/>
  <c r="K102" i="7"/>
  <c r="L102" i="7"/>
  <c r="I103" i="7"/>
  <c r="J103" i="7"/>
  <c r="K103" i="7"/>
  <c r="L103" i="7"/>
  <c r="I104" i="7"/>
  <c r="J104" i="7"/>
  <c r="K104" i="7"/>
  <c r="L104" i="7"/>
  <c r="I105" i="7"/>
  <c r="J105" i="7"/>
  <c r="K105" i="7"/>
  <c r="L105" i="7"/>
  <c r="I106" i="7"/>
  <c r="J106" i="7"/>
  <c r="K106" i="7"/>
  <c r="L106" i="7"/>
  <c r="I107" i="7"/>
  <c r="J107" i="7"/>
  <c r="K107" i="7"/>
  <c r="L107" i="7"/>
  <c r="I108" i="7"/>
  <c r="J108" i="7"/>
  <c r="K108" i="7"/>
  <c r="L108" i="7"/>
  <c r="I109" i="7"/>
  <c r="J109" i="7"/>
  <c r="K109" i="7"/>
  <c r="L109" i="7"/>
  <c r="I110" i="7"/>
  <c r="J110" i="7"/>
  <c r="K110" i="7"/>
  <c r="L110" i="7"/>
  <c r="I111" i="7"/>
  <c r="J111" i="7"/>
  <c r="K111" i="7"/>
  <c r="L111" i="7"/>
  <c r="I112" i="7"/>
  <c r="J112" i="7"/>
  <c r="K112" i="7"/>
  <c r="L112" i="7"/>
  <c r="I113" i="7"/>
  <c r="J113" i="7"/>
  <c r="K113" i="7"/>
  <c r="L113" i="7"/>
  <c r="I114" i="7"/>
  <c r="J114" i="7"/>
  <c r="K114" i="7"/>
  <c r="L114" i="7"/>
  <c r="I115" i="7"/>
  <c r="J115" i="7"/>
  <c r="K115" i="7"/>
  <c r="L115" i="7"/>
  <c r="I116" i="7"/>
  <c r="J116" i="7"/>
  <c r="K116" i="7"/>
  <c r="L116" i="7"/>
  <c r="I117" i="7"/>
  <c r="J117" i="7"/>
  <c r="K117" i="7"/>
  <c r="L117" i="7"/>
  <c r="I118" i="7"/>
  <c r="J118" i="7"/>
  <c r="K118" i="7"/>
  <c r="L118" i="7"/>
  <c r="I119" i="7"/>
  <c r="J119" i="7"/>
  <c r="K119" i="7"/>
  <c r="L119" i="7"/>
  <c r="I120" i="7"/>
  <c r="J120" i="7"/>
  <c r="K120" i="7"/>
  <c r="L120" i="7"/>
  <c r="I121" i="7"/>
  <c r="J121" i="7"/>
  <c r="K121" i="7"/>
  <c r="L121" i="7"/>
  <c r="N98" i="9"/>
  <c r="O98" i="9"/>
  <c r="N99" i="9"/>
  <c r="O99" i="9"/>
  <c r="N100" i="9"/>
  <c r="O100" i="9"/>
  <c r="N101" i="9"/>
  <c r="O101" i="9"/>
  <c r="N102" i="9"/>
  <c r="O102" i="9"/>
  <c r="G98" i="9"/>
  <c r="H98" i="9"/>
  <c r="I98" i="9"/>
  <c r="J98" i="9"/>
  <c r="G99" i="9"/>
  <c r="H99" i="9"/>
  <c r="I99" i="9"/>
  <c r="J99" i="9"/>
  <c r="G100" i="9"/>
  <c r="H100" i="9"/>
  <c r="I100" i="9"/>
  <c r="J100" i="9"/>
  <c r="G101" i="9"/>
  <c r="H101" i="9"/>
  <c r="I101" i="9"/>
  <c r="J101" i="9"/>
  <c r="G102" i="9"/>
  <c r="H102" i="9"/>
  <c r="I102" i="9"/>
  <c r="J102" i="9"/>
  <c r="D257" i="4"/>
  <c r="G257" i="4"/>
  <c r="I257" i="4"/>
  <c r="J257" i="4"/>
  <c r="K257" i="4"/>
  <c r="L257" i="4"/>
  <c r="M257" i="4"/>
  <c r="N257" i="4"/>
  <c r="S25" i="9"/>
  <c r="N93" i="9"/>
  <c r="O93" i="9"/>
  <c r="N94" i="9"/>
  <c r="O94" i="9"/>
  <c r="N95" i="9"/>
  <c r="O95" i="9"/>
  <c r="N96" i="9"/>
  <c r="O96" i="9"/>
  <c r="N97" i="9"/>
  <c r="O97" i="9"/>
  <c r="G93" i="9"/>
  <c r="H93" i="9"/>
  <c r="I93" i="9"/>
  <c r="J93" i="9"/>
  <c r="G94" i="9"/>
  <c r="H94" i="9"/>
  <c r="I94" i="9"/>
  <c r="J94" i="9"/>
  <c r="G95" i="9"/>
  <c r="H95" i="9"/>
  <c r="I95" i="9"/>
  <c r="J95" i="9"/>
  <c r="G96" i="9"/>
  <c r="H96" i="9"/>
  <c r="I96" i="9"/>
  <c r="J96" i="9"/>
  <c r="G97" i="9"/>
  <c r="H97" i="9"/>
  <c r="I97" i="9"/>
  <c r="J97" i="9"/>
  <c r="S2" i="9"/>
  <c r="O89" i="9"/>
  <c r="O79" i="9"/>
  <c r="D256" i="4"/>
  <c r="G256" i="4"/>
  <c r="I256" i="4"/>
  <c r="J256" i="4"/>
  <c r="K256" i="4"/>
  <c r="L256" i="4"/>
  <c r="M256" i="4"/>
  <c r="N256" i="4"/>
  <c r="S22" i="9"/>
  <c r="S23" i="9"/>
  <c r="S24" i="9"/>
  <c r="N79" i="9"/>
  <c r="N80" i="9"/>
  <c r="O80" i="9"/>
  <c r="N81" i="9"/>
  <c r="O81" i="9"/>
  <c r="N82" i="9"/>
  <c r="O82" i="9"/>
  <c r="N83" i="9"/>
  <c r="O83" i="9"/>
  <c r="N84" i="9"/>
  <c r="O84" i="9"/>
  <c r="N85" i="9"/>
  <c r="O85" i="9"/>
  <c r="N86" i="9"/>
  <c r="O86" i="9"/>
  <c r="N87" i="9"/>
  <c r="O87" i="9"/>
  <c r="N88" i="9"/>
  <c r="O88" i="9"/>
  <c r="N89" i="9"/>
  <c r="N90" i="9"/>
  <c r="O90" i="9"/>
  <c r="N91" i="9"/>
  <c r="O91" i="9"/>
  <c r="N92" i="9"/>
  <c r="O92" i="9"/>
  <c r="G79" i="9"/>
  <c r="H79" i="9"/>
  <c r="I79" i="9"/>
  <c r="J79" i="9"/>
  <c r="G80" i="9"/>
  <c r="H80" i="9"/>
  <c r="I80" i="9"/>
  <c r="J80" i="9"/>
  <c r="G81" i="9"/>
  <c r="H81" i="9"/>
  <c r="I81" i="9"/>
  <c r="J81" i="9"/>
  <c r="G82" i="9"/>
  <c r="H82" i="9"/>
  <c r="I82" i="9"/>
  <c r="J82" i="9"/>
  <c r="G83" i="9"/>
  <c r="H83" i="9"/>
  <c r="I83" i="9"/>
  <c r="J83" i="9"/>
  <c r="G84" i="9"/>
  <c r="H84" i="9"/>
  <c r="I84" i="9"/>
  <c r="J84" i="9"/>
  <c r="G85" i="9"/>
  <c r="H85" i="9"/>
  <c r="I85" i="9"/>
  <c r="J85" i="9"/>
  <c r="G86" i="9"/>
  <c r="H86" i="9"/>
  <c r="I86" i="9"/>
  <c r="J86" i="9"/>
  <c r="G87" i="9"/>
  <c r="H87" i="9"/>
  <c r="I87" i="9"/>
  <c r="J87" i="9"/>
  <c r="G88" i="9"/>
  <c r="H88" i="9"/>
  <c r="I88" i="9"/>
  <c r="J88" i="9"/>
  <c r="G89" i="9"/>
  <c r="H89" i="9"/>
  <c r="I89" i="9"/>
  <c r="J89" i="9"/>
  <c r="G90" i="9"/>
  <c r="H90" i="9"/>
  <c r="I90" i="9"/>
  <c r="J90" i="9"/>
  <c r="G91" i="9"/>
  <c r="H91" i="9"/>
  <c r="I91" i="9"/>
  <c r="J91" i="9"/>
  <c r="G92" i="9"/>
  <c r="H92" i="9"/>
  <c r="I92" i="9"/>
  <c r="J92" i="9"/>
  <c r="S19" i="9"/>
  <c r="S20" i="9"/>
  <c r="S21" i="9"/>
  <c r="I1" i="14"/>
  <c r="G255" i="4"/>
  <c r="D255" i="4"/>
  <c r="I255" i="4"/>
  <c r="J255" i="4"/>
  <c r="K255" i="4"/>
  <c r="L255" i="4"/>
  <c r="M255" i="4"/>
  <c r="N255" i="4"/>
  <c r="D254" i="4" l="1"/>
  <c r="G254" i="4"/>
  <c r="I254" i="4"/>
  <c r="J254" i="4"/>
  <c r="K254" i="4"/>
  <c r="L254" i="4"/>
  <c r="M254" i="4"/>
  <c r="N254" i="4"/>
  <c r="D253" i="4"/>
  <c r="G253" i="4"/>
  <c r="I253" i="4"/>
  <c r="J253" i="4"/>
  <c r="K253" i="4"/>
  <c r="L253" i="4"/>
  <c r="M253" i="4"/>
  <c r="N253" i="4"/>
  <c r="O74" i="9" l="1"/>
  <c r="O75" i="9"/>
  <c r="O76" i="9"/>
  <c r="O77" i="9"/>
  <c r="O78" i="9"/>
  <c r="N74" i="9"/>
  <c r="N75" i="9"/>
  <c r="N76" i="9"/>
  <c r="N77" i="9"/>
  <c r="N78" i="9"/>
  <c r="G74" i="9"/>
  <c r="H74" i="9"/>
  <c r="I74" i="9"/>
  <c r="J74" i="9"/>
  <c r="G75" i="9"/>
  <c r="H75" i="9"/>
  <c r="I75" i="9"/>
  <c r="J75" i="9"/>
  <c r="G76" i="9"/>
  <c r="H76" i="9"/>
  <c r="I76" i="9"/>
  <c r="J76" i="9"/>
  <c r="G77" i="9"/>
  <c r="H77" i="9"/>
  <c r="I77" i="9"/>
  <c r="J77" i="9"/>
  <c r="G78" i="9"/>
  <c r="H78" i="9"/>
  <c r="I78" i="9"/>
  <c r="J78" i="9"/>
  <c r="N69" i="9" l="1"/>
  <c r="O69" i="9"/>
  <c r="N70" i="9"/>
  <c r="O70" i="9"/>
  <c r="N71" i="9"/>
  <c r="O71" i="9"/>
  <c r="N72" i="9"/>
  <c r="O72" i="9"/>
  <c r="N73" i="9"/>
  <c r="O73" i="9"/>
  <c r="G69" i="9"/>
  <c r="H69" i="9"/>
  <c r="I69" i="9"/>
  <c r="J69" i="9"/>
  <c r="G70" i="9"/>
  <c r="H70" i="9"/>
  <c r="I70" i="9"/>
  <c r="J70" i="9"/>
  <c r="G71" i="9"/>
  <c r="H71" i="9"/>
  <c r="I71" i="9"/>
  <c r="J71" i="9"/>
  <c r="G72" i="9"/>
  <c r="H72" i="9"/>
  <c r="I72" i="9"/>
  <c r="J72" i="9"/>
  <c r="G73" i="9"/>
  <c r="H73" i="9"/>
  <c r="I73" i="9"/>
  <c r="J73" i="9"/>
  <c r="D252" i="4" l="1"/>
  <c r="G252" i="4"/>
  <c r="I252" i="4"/>
  <c r="J252" i="4"/>
  <c r="K252" i="4"/>
  <c r="L252" i="4"/>
  <c r="M252" i="4"/>
  <c r="N25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" i="4"/>
  <c r="D251" i="4" l="1"/>
  <c r="I251" i="4"/>
  <c r="J251" i="4"/>
  <c r="K251" i="4"/>
  <c r="L251" i="4"/>
  <c r="M251" i="4"/>
  <c r="N251" i="4"/>
  <c r="D250" i="4"/>
  <c r="I250" i="4"/>
  <c r="J250" i="4"/>
  <c r="K250" i="4"/>
  <c r="L250" i="4"/>
  <c r="M250" i="4"/>
  <c r="N250" i="4"/>
  <c r="N66" i="9"/>
  <c r="O66" i="9"/>
  <c r="N67" i="9"/>
  <c r="O67" i="9"/>
  <c r="N68" i="9"/>
  <c r="O68" i="9"/>
  <c r="G66" i="9"/>
  <c r="H66" i="9"/>
  <c r="I66" i="9"/>
  <c r="J66" i="9"/>
  <c r="G67" i="9"/>
  <c r="H67" i="9"/>
  <c r="I67" i="9"/>
  <c r="J67" i="9"/>
  <c r="G68" i="9"/>
  <c r="H68" i="9"/>
  <c r="I68" i="9"/>
  <c r="J68" i="9"/>
  <c r="D249" i="4" l="1"/>
  <c r="I249" i="4"/>
  <c r="J249" i="4"/>
  <c r="K249" i="4"/>
  <c r="L249" i="4"/>
  <c r="M249" i="4"/>
  <c r="N249" i="4"/>
  <c r="G64" i="9" l="1"/>
  <c r="G53" i="9"/>
  <c r="S18" i="9"/>
  <c r="N61" i="9"/>
  <c r="O61" i="9"/>
  <c r="N62" i="9"/>
  <c r="O62" i="9"/>
  <c r="N63" i="9"/>
  <c r="O63" i="9"/>
  <c r="N64" i="9"/>
  <c r="O64" i="9"/>
  <c r="N65" i="9"/>
  <c r="O65" i="9"/>
  <c r="G61" i="9"/>
  <c r="H61" i="9"/>
  <c r="I61" i="9"/>
  <c r="J61" i="9"/>
  <c r="G62" i="9"/>
  <c r="H62" i="9"/>
  <c r="I62" i="9"/>
  <c r="J62" i="9"/>
  <c r="G63" i="9"/>
  <c r="H63" i="9"/>
  <c r="I63" i="9"/>
  <c r="J63" i="9"/>
  <c r="H64" i="9"/>
  <c r="I64" i="9"/>
  <c r="J64" i="9"/>
  <c r="G65" i="9"/>
  <c r="H65" i="9"/>
  <c r="I65" i="9"/>
  <c r="J65" i="9"/>
  <c r="O2" i="9" l="1"/>
  <c r="N2" i="9"/>
  <c r="D248" i="4" l="1"/>
  <c r="I248" i="4"/>
  <c r="J248" i="4"/>
  <c r="K248" i="4"/>
  <c r="L248" i="4"/>
  <c r="M248" i="4"/>
  <c r="N248" i="4"/>
  <c r="D247" i="4"/>
  <c r="I247" i="4"/>
  <c r="J247" i="4"/>
  <c r="K247" i="4"/>
  <c r="L247" i="4"/>
  <c r="M247" i="4"/>
  <c r="N247" i="4"/>
  <c r="D246" i="4"/>
  <c r="I246" i="4"/>
  <c r="J246" i="4"/>
  <c r="K246" i="4"/>
  <c r="L246" i="4"/>
  <c r="M246" i="4"/>
  <c r="N246" i="4"/>
  <c r="S17" i="9" l="1"/>
  <c r="N60" i="9"/>
  <c r="O60" i="9"/>
  <c r="G60" i="9"/>
  <c r="H60" i="9"/>
  <c r="I60" i="9"/>
  <c r="J60" i="9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D245" i="4"/>
  <c r="I245" i="4"/>
  <c r="J245" i="4"/>
  <c r="K245" i="4"/>
  <c r="L245" i="4"/>
  <c r="M245" i="4"/>
  <c r="D2" i="4"/>
  <c r="M2" i="4"/>
  <c r="S16" i="9" l="1"/>
  <c r="G55" i="9"/>
  <c r="H55" i="9"/>
  <c r="I55" i="9"/>
  <c r="J55" i="9"/>
  <c r="O55" i="9"/>
  <c r="G56" i="9"/>
  <c r="H56" i="9"/>
  <c r="I56" i="9"/>
  <c r="J56" i="9"/>
  <c r="O56" i="9"/>
  <c r="G57" i="9"/>
  <c r="H57" i="9"/>
  <c r="I57" i="9"/>
  <c r="J57" i="9"/>
  <c r="O57" i="9"/>
  <c r="G58" i="9"/>
  <c r="H58" i="9"/>
  <c r="I58" i="9"/>
  <c r="J58" i="9"/>
  <c r="O58" i="9"/>
  <c r="G59" i="9"/>
  <c r="H59" i="9"/>
  <c r="I59" i="9"/>
  <c r="J59" i="9"/>
  <c r="O59" i="9"/>
  <c r="O52" i="9"/>
  <c r="O51" i="9"/>
  <c r="O50" i="9"/>
  <c r="O49" i="9"/>
  <c r="S15" i="9"/>
  <c r="G51" i="9"/>
  <c r="H51" i="9"/>
  <c r="I51" i="9"/>
  <c r="J51" i="9"/>
  <c r="G52" i="9"/>
  <c r="H52" i="9"/>
  <c r="I52" i="9"/>
  <c r="J52" i="9"/>
  <c r="H53" i="9"/>
  <c r="I53" i="9"/>
  <c r="J53" i="9"/>
  <c r="O53" i="9"/>
  <c r="G54" i="9"/>
  <c r="H54" i="9"/>
  <c r="I54" i="9"/>
  <c r="J54" i="9"/>
  <c r="O54" i="9"/>
  <c r="G50" i="9" l="1"/>
  <c r="H50" i="9"/>
  <c r="I50" i="9"/>
  <c r="J50" i="9"/>
  <c r="S14" i="9"/>
  <c r="O3" i="9" l="1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F3" i="14" l="1"/>
  <c r="G3" i="14"/>
  <c r="F4" i="14"/>
  <c r="G4" i="14"/>
  <c r="F5" i="14"/>
  <c r="G5" i="14"/>
  <c r="F6" i="14"/>
  <c r="G6" i="14"/>
  <c r="F7" i="14"/>
  <c r="G7" i="14"/>
  <c r="G2" i="14"/>
  <c r="J2" i="9"/>
  <c r="F2" i="14"/>
  <c r="I2" i="9"/>
  <c r="D3" i="14"/>
  <c r="E3" i="14"/>
  <c r="D4" i="14"/>
  <c r="E4" i="14"/>
  <c r="D5" i="14"/>
  <c r="E5" i="14"/>
  <c r="D6" i="14"/>
  <c r="E6" i="14"/>
  <c r="D7" i="14"/>
  <c r="E7" i="14"/>
  <c r="E2" i="14"/>
  <c r="H2" i="9"/>
  <c r="D2" i="14"/>
  <c r="G2" i="9"/>
  <c r="S8" i="9"/>
  <c r="S9" i="9"/>
  <c r="S10" i="9"/>
  <c r="S11" i="9"/>
  <c r="S12" i="9"/>
  <c r="S13" i="9"/>
  <c r="G49" i="9"/>
  <c r="H49" i="9"/>
  <c r="I49" i="9"/>
  <c r="J49" i="9"/>
  <c r="G34" i="9"/>
  <c r="H34" i="9"/>
  <c r="I34" i="9"/>
  <c r="J34" i="9"/>
  <c r="G35" i="9"/>
  <c r="H35" i="9"/>
  <c r="I35" i="9"/>
  <c r="J35" i="9"/>
  <c r="G36" i="9"/>
  <c r="H36" i="9"/>
  <c r="I36" i="9"/>
  <c r="J36" i="9"/>
  <c r="G37" i="9"/>
  <c r="H37" i="9"/>
  <c r="I37" i="9"/>
  <c r="J37" i="9"/>
  <c r="G38" i="9"/>
  <c r="H38" i="9"/>
  <c r="I38" i="9"/>
  <c r="J38" i="9"/>
  <c r="G39" i="9"/>
  <c r="H39" i="9"/>
  <c r="I39" i="9"/>
  <c r="J39" i="9"/>
  <c r="G40" i="9"/>
  <c r="H40" i="9"/>
  <c r="I40" i="9"/>
  <c r="J40" i="9"/>
  <c r="G41" i="9"/>
  <c r="H41" i="9"/>
  <c r="I41" i="9"/>
  <c r="J41" i="9"/>
  <c r="G42" i="9"/>
  <c r="H42" i="9"/>
  <c r="I42" i="9"/>
  <c r="J42" i="9"/>
  <c r="G43" i="9"/>
  <c r="H43" i="9"/>
  <c r="I43" i="9"/>
  <c r="J43" i="9"/>
  <c r="G44" i="9"/>
  <c r="H44" i="9"/>
  <c r="I44" i="9"/>
  <c r="J44" i="9"/>
  <c r="G45" i="9"/>
  <c r="H45" i="9"/>
  <c r="I45" i="9"/>
  <c r="J45" i="9"/>
  <c r="G46" i="9"/>
  <c r="H46" i="9"/>
  <c r="I46" i="9"/>
  <c r="J46" i="9"/>
  <c r="G47" i="9"/>
  <c r="H47" i="9"/>
  <c r="I47" i="9"/>
  <c r="J47" i="9"/>
  <c r="G48" i="9"/>
  <c r="H48" i="9"/>
  <c r="I48" i="9"/>
  <c r="J48" i="9"/>
  <c r="G26" i="9"/>
  <c r="H26" i="9"/>
  <c r="I26" i="9"/>
  <c r="J26" i="9"/>
  <c r="G27" i="9"/>
  <c r="H27" i="9"/>
  <c r="I27" i="9"/>
  <c r="J27" i="9"/>
  <c r="G28" i="9"/>
  <c r="H28" i="9"/>
  <c r="I28" i="9"/>
  <c r="J28" i="9"/>
  <c r="G29" i="9"/>
  <c r="H29" i="9"/>
  <c r="I29" i="9"/>
  <c r="J29" i="9"/>
  <c r="G30" i="9"/>
  <c r="H30" i="9"/>
  <c r="I30" i="9"/>
  <c r="J30" i="9"/>
  <c r="G31" i="9"/>
  <c r="H31" i="9"/>
  <c r="I31" i="9"/>
  <c r="J31" i="9"/>
  <c r="G32" i="9"/>
  <c r="H32" i="9"/>
  <c r="I32" i="9"/>
  <c r="J32" i="9"/>
  <c r="G33" i="9"/>
  <c r="H33" i="9"/>
  <c r="I33" i="9"/>
  <c r="J33" i="9"/>
  <c r="S3" i="9"/>
  <c r="S4" i="9"/>
  <c r="S5" i="9"/>
  <c r="S6" i="9"/>
  <c r="S7" i="9"/>
  <c r="G21" i="9"/>
  <c r="H21" i="9"/>
  <c r="I21" i="9"/>
  <c r="J21" i="9"/>
  <c r="G22" i="9"/>
  <c r="H22" i="9"/>
  <c r="I22" i="9"/>
  <c r="J22" i="9"/>
  <c r="G23" i="9"/>
  <c r="H23" i="9"/>
  <c r="I23" i="9"/>
  <c r="J23" i="9"/>
  <c r="G24" i="9"/>
  <c r="H24" i="9"/>
  <c r="I24" i="9"/>
  <c r="J24" i="9"/>
  <c r="G25" i="9"/>
  <c r="H25" i="9"/>
  <c r="I25" i="9"/>
  <c r="J25" i="9"/>
  <c r="G17" i="9"/>
  <c r="H17" i="9"/>
  <c r="I17" i="9"/>
  <c r="J17" i="9"/>
  <c r="G18" i="9"/>
  <c r="H18" i="9"/>
  <c r="I18" i="9"/>
  <c r="J18" i="9"/>
  <c r="G19" i="9"/>
  <c r="H19" i="9"/>
  <c r="I19" i="9"/>
  <c r="J19" i="9"/>
  <c r="G20" i="9"/>
  <c r="H20" i="9"/>
  <c r="I20" i="9"/>
  <c r="J20" i="9"/>
  <c r="G11" i="9"/>
  <c r="H11" i="9"/>
  <c r="I11" i="9"/>
  <c r="J11" i="9"/>
  <c r="G12" i="9"/>
  <c r="H12" i="9"/>
  <c r="I12" i="9"/>
  <c r="J12" i="9"/>
  <c r="G13" i="9"/>
  <c r="H13" i="9"/>
  <c r="I13" i="9"/>
  <c r="J13" i="9"/>
  <c r="G14" i="9"/>
  <c r="H14" i="9"/>
  <c r="I14" i="9"/>
  <c r="J14" i="9"/>
  <c r="G15" i="9"/>
  <c r="H15" i="9"/>
  <c r="I15" i="9"/>
  <c r="J15" i="9"/>
  <c r="G16" i="9"/>
  <c r="H16" i="9"/>
  <c r="I16" i="9"/>
  <c r="J16" i="9"/>
  <c r="I3" i="9" l="1"/>
  <c r="J3" i="9"/>
  <c r="I4" i="9"/>
  <c r="J4" i="9"/>
  <c r="I5" i="9"/>
  <c r="J5" i="9"/>
  <c r="I6" i="9"/>
  <c r="J6" i="9"/>
  <c r="I7" i="9"/>
  <c r="J7" i="9"/>
  <c r="I8" i="9"/>
  <c r="J8" i="9"/>
  <c r="I9" i="9"/>
  <c r="J9" i="9"/>
  <c r="I10" i="9"/>
  <c r="J10" i="9"/>
  <c r="G3" i="9"/>
  <c r="H3" i="9"/>
  <c r="G4" i="9"/>
  <c r="H4" i="9"/>
  <c r="G5" i="9"/>
  <c r="H5" i="9"/>
  <c r="G6" i="9"/>
  <c r="H6" i="9"/>
  <c r="G7" i="9"/>
  <c r="H7" i="9"/>
  <c r="G8" i="9"/>
  <c r="H8" i="9"/>
  <c r="G9" i="9"/>
  <c r="H9" i="9"/>
  <c r="G10" i="9"/>
  <c r="H10" i="9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" i="4"/>
  <c r="I3" i="4"/>
  <c r="J3" i="4"/>
  <c r="I4" i="4"/>
  <c r="J4" i="4"/>
  <c r="I5" i="4"/>
  <c r="J5" i="4"/>
  <c r="I6" i="4"/>
  <c r="J6" i="4"/>
  <c r="I7" i="4"/>
  <c r="J7" i="4"/>
  <c r="I8" i="4"/>
  <c r="J8" i="4"/>
  <c r="I9" i="4"/>
  <c r="J9" i="4"/>
  <c r="I10" i="4"/>
  <c r="J10" i="4"/>
  <c r="I11" i="4"/>
  <c r="J11" i="4"/>
  <c r="I12" i="4"/>
  <c r="J12" i="4"/>
  <c r="I13" i="4"/>
  <c r="J13" i="4"/>
  <c r="I14" i="4"/>
  <c r="J14" i="4"/>
  <c r="I15" i="4"/>
  <c r="J15" i="4"/>
  <c r="I16" i="4"/>
  <c r="J16" i="4"/>
  <c r="I17" i="4"/>
  <c r="J17" i="4"/>
  <c r="I18" i="4"/>
  <c r="J18" i="4"/>
  <c r="I19" i="4"/>
  <c r="J19" i="4"/>
  <c r="I20" i="4"/>
  <c r="J20" i="4"/>
  <c r="I21" i="4"/>
  <c r="J21" i="4"/>
  <c r="I22" i="4"/>
  <c r="J22" i="4"/>
  <c r="I23" i="4"/>
  <c r="J23" i="4"/>
  <c r="I24" i="4"/>
  <c r="J24" i="4"/>
  <c r="I25" i="4"/>
  <c r="J25" i="4"/>
  <c r="I26" i="4"/>
  <c r="J26" i="4"/>
  <c r="I27" i="4"/>
  <c r="J27" i="4"/>
  <c r="I28" i="4"/>
  <c r="J28" i="4"/>
  <c r="I29" i="4"/>
  <c r="J29" i="4"/>
  <c r="I30" i="4"/>
  <c r="J30" i="4"/>
  <c r="I31" i="4"/>
  <c r="J31" i="4"/>
  <c r="I32" i="4"/>
  <c r="J32" i="4"/>
  <c r="I33" i="4"/>
  <c r="J33" i="4"/>
  <c r="I34" i="4"/>
  <c r="J34" i="4"/>
  <c r="I35" i="4"/>
  <c r="J35" i="4"/>
  <c r="I36" i="4"/>
  <c r="J36" i="4"/>
  <c r="I37" i="4"/>
  <c r="J37" i="4"/>
  <c r="I38" i="4"/>
  <c r="J38" i="4"/>
  <c r="I39" i="4"/>
  <c r="J39" i="4"/>
  <c r="I40" i="4"/>
  <c r="J40" i="4"/>
  <c r="I41" i="4"/>
  <c r="J41" i="4"/>
  <c r="I42" i="4"/>
  <c r="J42" i="4"/>
  <c r="I43" i="4"/>
  <c r="J43" i="4"/>
  <c r="I44" i="4"/>
  <c r="J44" i="4"/>
  <c r="I45" i="4"/>
  <c r="J45" i="4"/>
  <c r="I46" i="4"/>
  <c r="J46" i="4"/>
  <c r="I47" i="4"/>
  <c r="J47" i="4"/>
  <c r="I48" i="4"/>
  <c r="J48" i="4"/>
  <c r="I49" i="4"/>
  <c r="J49" i="4"/>
  <c r="I50" i="4"/>
  <c r="J50" i="4"/>
  <c r="I51" i="4"/>
  <c r="J51" i="4"/>
  <c r="I52" i="4"/>
  <c r="J52" i="4"/>
  <c r="I53" i="4"/>
  <c r="J53" i="4"/>
  <c r="I54" i="4"/>
  <c r="J54" i="4"/>
  <c r="I55" i="4"/>
  <c r="J55" i="4"/>
  <c r="I56" i="4"/>
  <c r="J56" i="4"/>
  <c r="I57" i="4"/>
  <c r="J57" i="4"/>
  <c r="I58" i="4"/>
  <c r="J58" i="4"/>
  <c r="I59" i="4"/>
  <c r="J59" i="4"/>
  <c r="I60" i="4"/>
  <c r="J60" i="4"/>
  <c r="I61" i="4"/>
  <c r="J61" i="4"/>
  <c r="I62" i="4"/>
  <c r="J62" i="4"/>
  <c r="I63" i="4"/>
  <c r="J63" i="4"/>
  <c r="I64" i="4"/>
  <c r="J64" i="4"/>
  <c r="I65" i="4"/>
  <c r="J65" i="4"/>
  <c r="I66" i="4"/>
  <c r="J66" i="4"/>
  <c r="I67" i="4"/>
  <c r="J67" i="4"/>
  <c r="I68" i="4"/>
  <c r="J68" i="4"/>
  <c r="I69" i="4"/>
  <c r="J69" i="4"/>
  <c r="I70" i="4"/>
  <c r="J70" i="4"/>
  <c r="I71" i="4"/>
  <c r="J71" i="4"/>
  <c r="I72" i="4"/>
  <c r="J72" i="4"/>
  <c r="I73" i="4"/>
  <c r="J73" i="4"/>
  <c r="I74" i="4"/>
  <c r="J74" i="4"/>
  <c r="I75" i="4"/>
  <c r="J75" i="4"/>
  <c r="I76" i="4"/>
  <c r="J76" i="4"/>
  <c r="I77" i="4"/>
  <c r="J77" i="4"/>
  <c r="I78" i="4"/>
  <c r="J78" i="4"/>
  <c r="I79" i="4"/>
  <c r="J79" i="4"/>
  <c r="I80" i="4"/>
  <c r="J80" i="4"/>
  <c r="I81" i="4"/>
  <c r="J81" i="4"/>
  <c r="I82" i="4"/>
  <c r="J82" i="4"/>
  <c r="I83" i="4"/>
  <c r="J83" i="4"/>
  <c r="I84" i="4"/>
  <c r="J84" i="4"/>
  <c r="I85" i="4"/>
  <c r="J85" i="4"/>
  <c r="I86" i="4"/>
  <c r="J86" i="4"/>
  <c r="I87" i="4"/>
  <c r="J87" i="4"/>
  <c r="I88" i="4"/>
  <c r="J88" i="4"/>
  <c r="I89" i="4"/>
  <c r="J89" i="4"/>
  <c r="I90" i="4"/>
  <c r="J90" i="4"/>
  <c r="I91" i="4"/>
  <c r="J91" i="4"/>
  <c r="I92" i="4"/>
  <c r="J92" i="4"/>
  <c r="I93" i="4"/>
  <c r="J93" i="4"/>
  <c r="I94" i="4"/>
  <c r="J94" i="4"/>
  <c r="I95" i="4"/>
  <c r="J95" i="4"/>
  <c r="I96" i="4"/>
  <c r="J96" i="4"/>
  <c r="I97" i="4"/>
  <c r="J97" i="4"/>
  <c r="I98" i="4"/>
  <c r="J98" i="4"/>
  <c r="I99" i="4"/>
  <c r="J99" i="4"/>
  <c r="I100" i="4"/>
  <c r="J100" i="4"/>
  <c r="I101" i="4"/>
  <c r="J101" i="4"/>
  <c r="I102" i="4"/>
  <c r="J102" i="4"/>
  <c r="I103" i="4"/>
  <c r="J103" i="4"/>
  <c r="I104" i="4"/>
  <c r="J104" i="4"/>
  <c r="I105" i="4"/>
  <c r="J105" i="4"/>
  <c r="I106" i="4"/>
  <c r="J106" i="4"/>
  <c r="I107" i="4"/>
  <c r="J107" i="4"/>
  <c r="I108" i="4"/>
  <c r="J108" i="4"/>
  <c r="I109" i="4"/>
  <c r="J109" i="4"/>
  <c r="I110" i="4"/>
  <c r="J110" i="4"/>
  <c r="I111" i="4"/>
  <c r="J111" i="4"/>
  <c r="I112" i="4"/>
  <c r="J112" i="4"/>
  <c r="I113" i="4"/>
  <c r="J113" i="4"/>
  <c r="I114" i="4"/>
  <c r="J114" i="4"/>
  <c r="I115" i="4"/>
  <c r="J115" i="4"/>
  <c r="I116" i="4"/>
  <c r="J116" i="4"/>
  <c r="I117" i="4"/>
  <c r="J117" i="4"/>
  <c r="I118" i="4"/>
  <c r="J118" i="4"/>
  <c r="I119" i="4"/>
  <c r="J119" i="4"/>
  <c r="I120" i="4"/>
  <c r="J120" i="4"/>
  <c r="I121" i="4"/>
  <c r="J121" i="4"/>
  <c r="I122" i="4"/>
  <c r="J122" i="4"/>
  <c r="I123" i="4"/>
  <c r="J123" i="4"/>
  <c r="I124" i="4"/>
  <c r="J124" i="4"/>
  <c r="I125" i="4"/>
  <c r="J125" i="4"/>
  <c r="I126" i="4"/>
  <c r="J126" i="4"/>
  <c r="I127" i="4"/>
  <c r="J127" i="4"/>
  <c r="I128" i="4"/>
  <c r="J128" i="4"/>
  <c r="I129" i="4"/>
  <c r="J129" i="4"/>
  <c r="I130" i="4"/>
  <c r="J130" i="4"/>
  <c r="I131" i="4"/>
  <c r="J131" i="4"/>
  <c r="I132" i="4"/>
  <c r="J132" i="4"/>
  <c r="I133" i="4"/>
  <c r="J133" i="4"/>
  <c r="I134" i="4"/>
  <c r="J134" i="4"/>
  <c r="I135" i="4"/>
  <c r="J135" i="4"/>
  <c r="I136" i="4"/>
  <c r="J136" i="4"/>
  <c r="I137" i="4"/>
  <c r="J137" i="4"/>
  <c r="I138" i="4"/>
  <c r="J138" i="4"/>
  <c r="I139" i="4"/>
  <c r="J139" i="4"/>
  <c r="I140" i="4"/>
  <c r="J140" i="4"/>
  <c r="I141" i="4"/>
  <c r="J141" i="4"/>
  <c r="I142" i="4"/>
  <c r="J142" i="4"/>
  <c r="I143" i="4"/>
  <c r="J143" i="4"/>
  <c r="I144" i="4"/>
  <c r="J144" i="4"/>
  <c r="I145" i="4"/>
  <c r="J145" i="4"/>
  <c r="I146" i="4"/>
  <c r="J146" i="4"/>
  <c r="I147" i="4"/>
  <c r="J147" i="4"/>
  <c r="I148" i="4"/>
  <c r="J148" i="4"/>
  <c r="I149" i="4"/>
  <c r="J149" i="4"/>
  <c r="I150" i="4"/>
  <c r="J150" i="4"/>
  <c r="I151" i="4"/>
  <c r="J151" i="4"/>
  <c r="I152" i="4"/>
  <c r="J152" i="4"/>
  <c r="I153" i="4"/>
  <c r="J153" i="4"/>
  <c r="I154" i="4"/>
  <c r="J154" i="4"/>
  <c r="I155" i="4"/>
  <c r="J155" i="4"/>
  <c r="I156" i="4"/>
  <c r="J156" i="4"/>
  <c r="I157" i="4"/>
  <c r="J157" i="4"/>
  <c r="I158" i="4"/>
  <c r="J158" i="4"/>
  <c r="I159" i="4"/>
  <c r="J159" i="4"/>
  <c r="I160" i="4"/>
  <c r="J160" i="4"/>
  <c r="I161" i="4"/>
  <c r="J161" i="4"/>
  <c r="I162" i="4"/>
  <c r="J162" i="4"/>
  <c r="I163" i="4"/>
  <c r="J163" i="4"/>
  <c r="I164" i="4"/>
  <c r="J164" i="4"/>
  <c r="I165" i="4"/>
  <c r="J165" i="4"/>
  <c r="I166" i="4"/>
  <c r="J166" i="4"/>
  <c r="I167" i="4"/>
  <c r="J167" i="4"/>
  <c r="I168" i="4"/>
  <c r="J168" i="4"/>
  <c r="I169" i="4"/>
  <c r="J169" i="4"/>
  <c r="I170" i="4"/>
  <c r="J170" i="4"/>
  <c r="I171" i="4"/>
  <c r="J171" i="4"/>
  <c r="I172" i="4"/>
  <c r="J172" i="4"/>
  <c r="I173" i="4"/>
  <c r="J173" i="4"/>
  <c r="I174" i="4"/>
  <c r="J174" i="4"/>
  <c r="I175" i="4"/>
  <c r="J175" i="4"/>
  <c r="I176" i="4"/>
  <c r="J176" i="4"/>
  <c r="I177" i="4"/>
  <c r="J177" i="4"/>
  <c r="I178" i="4"/>
  <c r="J178" i="4"/>
  <c r="I179" i="4"/>
  <c r="J179" i="4"/>
  <c r="I180" i="4"/>
  <c r="J180" i="4"/>
  <c r="I181" i="4"/>
  <c r="J181" i="4"/>
  <c r="I182" i="4"/>
  <c r="J182" i="4"/>
  <c r="I183" i="4"/>
  <c r="J183" i="4"/>
  <c r="I184" i="4"/>
  <c r="J184" i="4"/>
  <c r="I185" i="4"/>
  <c r="J185" i="4"/>
  <c r="I186" i="4"/>
  <c r="J186" i="4"/>
  <c r="I187" i="4"/>
  <c r="J187" i="4"/>
  <c r="I188" i="4"/>
  <c r="J188" i="4"/>
  <c r="I189" i="4"/>
  <c r="J189" i="4"/>
  <c r="I190" i="4"/>
  <c r="J190" i="4"/>
  <c r="I191" i="4"/>
  <c r="J191" i="4"/>
  <c r="I192" i="4"/>
  <c r="J192" i="4"/>
  <c r="I193" i="4"/>
  <c r="J193" i="4"/>
  <c r="I194" i="4"/>
  <c r="J194" i="4"/>
  <c r="I195" i="4"/>
  <c r="J195" i="4"/>
  <c r="I196" i="4"/>
  <c r="J196" i="4"/>
  <c r="I197" i="4"/>
  <c r="J197" i="4"/>
  <c r="I198" i="4"/>
  <c r="J198" i="4"/>
  <c r="I199" i="4"/>
  <c r="J199" i="4"/>
  <c r="I200" i="4"/>
  <c r="J200" i="4"/>
  <c r="I201" i="4"/>
  <c r="J201" i="4"/>
  <c r="I202" i="4"/>
  <c r="J202" i="4"/>
  <c r="I203" i="4"/>
  <c r="J203" i="4"/>
  <c r="I204" i="4"/>
  <c r="J204" i="4"/>
  <c r="I205" i="4"/>
  <c r="J205" i="4"/>
  <c r="I206" i="4"/>
  <c r="J206" i="4"/>
  <c r="I207" i="4"/>
  <c r="J207" i="4"/>
  <c r="I208" i="4"/>
  <c r="J208" i="4"/>
  <c r="I209" i="4"/>
  <c r="J209" i="4"/>
  <c r="I210" i="4"/>
  <c r="J210" i="4"/>
  <c r="I211" i="4"/>
  <c r="J211" i="4"/>
  <c r="I212" i="4"/>
  <c r="J212" i="4"/>
  <c r="I213" i="4"/>
  <c r="J213" i="4"/>
  <c r="I214" i="4"/>
  <c r="J214" i="4"/>
  <c r="I215" i="4"/>
  <c r="J215" i="4"/>
  <c r="I216" i="4"/>
  <c r="J216" i="4"/>
  <c r="I217" i="4"/>
  <c r="J217" i="4"/>
  <c r="I218" i="4"/>
  <c r="J218" i="4"/>
  <c r="I219" i="4"/>
  <c r="J219" i="4"/>
  <c r="I220" i="4"/>
  <c r="J220" i="4"/>
  <c r="I221" i="4"/>
  <c r="J221" i="4"/>
  <c r="I222" i="4"/>
  <c r="J222" i="4"/>
  <c r="I223" i="4"/>
  <c r="J223" i="4"/>
  <c r="I224" i="4"/>
  <c r="J224" i="4"/>
  <c r="I225" i="4"/>
  <c r="J225" i="4"/>
  <c r="I226" i="4"/>
  <c r="J226" i="4"/>
  <c r="I227" i="4"/>
  <c r="J227" i="4"/>
  <c r="I228" i="4"/>
  <c r="J228" i="4"/>
  <c r="I229" i="4"/>
  <c r="J229" i="4"/>
  <c r="I230" i="4"/>
  <c r="J230" i="4"/>
  <c r="I231" i="4"/>
  <c r="J231" i="4"/>
  <c r="I232" i="4"/>
  <c r="J232" i="4"/>
  <c r="I233" i="4"/>
  <c r="J233" i="4"/>
  <c r="I234" i="4"/>
  <c r="J234" i="4"/>
  <c r="I235" i="4"/>
  <c r="J235" i="4"/>
  <c r="I236" i="4"/>
  <c r="J236" i="4"/>
  <c r="I237" i="4"/>
  <c r="J237" i="4"/>
  <c r="I238" i="4"/>
  <c r="J238" i="4"/>
  <c r="I239" i="4"/>
  <c r="J239" i="4"/>
  <c r="I240" i="4"/>
  <c r="J240" i="4"/>
  <c r="I241" i="4"/>
  <c r="J241" i="4"/>
  <c r="I242" i="4"/>
  <c r="J242" i="4"/>
  <c r="I243" i="4"/>
  <c r="J243" i="4"/>
  <c r="I244" i="4"/>
  <c r="J244" i="4"/>
  <c r="J2" i="4"/>
  <c r="I2" i="4"/>
  <c r="M3" i="4" l="1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Q1" i="4" l="1"/>
  <c r="Q2" i="4"/>
  <c r="Q3" i="4" l="1"/>
  <c r="D4" i="4" l="1"/>
  <c r="A3" i="2"/>
  <c r="A4" i="2"/>
  <c r="A5" i="2"/>
  <c r="A6" i="2"/>
  <c r="A7" i="2"/>
  <c r="A8" i="2"/>
  <c r="A9" i="2"/>
  <c r="D12" i="4" s="1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2" i="2"/>
  <c r="D10" i="4" s="1"/>
  <c r="D244" i="4" l="1"/>
  <c r="D188" i="4"/>
  <c r="D132" i="4"/>
  <c r="D36" i="4"/>
  <c r="D241" i="4"/>
  <c r="D233" i="4"/>
  <c r="D225" i="4"/>
  <c r="D217" i="4"/>
  <c r="D209" i="4"/>
  <c r="D201" i="4"/>
  <c r="D193" i="4"/>
  <c r="D185" i="4"/>
  <c r="D177" i="4"/>
  <c r="D169" i="4"/>
  <c r="D161" i="4"/>
  <c r="D153" i="4"/>
  <c r="D145" i="4"/>
  <c r="D137" i="4"/>
  <c r="D129" i="4"/>
  <c r="D121" i="4"/>
  <c r="D113" i="4"/>
  <c r="D105" i="4"/>
  <c r="D97" i="4"/>
  <c r="D89" i="4"/>
  <c r="D81" i="4"/>
  <c r="D73" i="4"/>
  <c r="D65" i="4"/>
  <c r="D57" i="4"/>
  <c r="D49" i="4"/>
  <c r="D41" i="4"/>
  <c r="D33" i="4"/>
  <c r="D25" i="4"/>
  <c r="D17" i="4"/>
  <c r="D9" i="4"/>
  <c r="D212" i="4"/>
  <c r="D156" i="4"/>
  <c r="D84" i="4"/>
  <c r="D28" i="4"/>
  <c r="D240" i="4"/>
  <c r="D232" i="4"/>
  <c r="D224" i="4"/>
  <c r="D216" i="4"/>
  <c r="D208" i="4"/>
  <c r="D200" i="4"/>
  <c r="D192" i="4"/>
  <c r="D184" i="4"/>
  <c r="D176" i="4"/>
  <c r="D168" i="4"/>
  <c r="D160" i="4"/>
  <c r="D152" i="4"/>
  <c r="D144" i="4"/>
  <c r="D136" i="4"/>
  <c r="D128" i="4"/>
  <c r="D120" i="4"/>
  <c r="D112" i="4"/>
  <c r="D104" i="4"/>
  <c r="D96" i="4"/>
  <c r="D88" i="4"/>
  <c r="D80" i="4"/>
  <c r="D72" i="4"/>
  <c r="D64" i="4"/>
  <c r="D56" i="4"/>
  <c r="D48" i="4"/>
  <c r="D40" i="4"/>
  <c r="D32" i="4"/>
  <c r="D24" i="4"/>
  <c r="D16" i="4"/>
  <c r="D8" i="4"/>
  <c r="D228" i="4"/>
  <c r="D172" i="4"/>
  <c r="D116" i="4"/>
  <c r="D52" i="4"/>
  <c r="D239" i="4"/>
  <c r="D231" i="4"/>
  <c r="D223" i="4"/>
  <c r="D215" i="4"/>
  <c r="D207" i="4"/>
  <c r="D199" i="4"/>
  <c r="D191" i="4"/>
  <c r="D183" i="4"/>
  <c r="D175" i="4"/>
  <c r="D167" i="4"/>
  <c r="D159" i="4"/>
  <c r="D151" i="4"/>
  <c r="D143" i="4"/>
  <c r="D135" i="4"/>
  <c r="D127" i="4"/>
  <c r="D119" i="4"/>
  <c r="D111" i="4"/>
  <c r="D103" i="4"/>
  <c r="D95" i="4"/>
  <c r="D87" i="4"/>
  <c r="D79" i="4"/>
  <c r="D71" i="4"/>
  <c r="D63" i="4"/>
  <c r="D55" i="4"/>
  <c r="D47" i="4"/>
  <c r="D39" i="4"/>
  <c r="D31" i="4"/>
  <c r="D23" i="4"/>
  <c r="D15" i="4"/>
  <c r="D7" i="4"/>
  <c r="D196" i="4"/>
  <c r="D140" i="4"/>
  <c r="D100" i="4"/>
  <c r="D44" i="4"/>
  <c r="D238" i="4"/>
  <c r="D230" i="4"/>
  <c r="D222" i="4"/>
  <c r="D214" i="4"/>
  <c r="D206" i="4"/>
  <c r="D198" i="4"/>
  <c r="D190" i="4"/>
  <c r="D182" i="4"/>
  <c r="D174" i="4"/>
  <c r="D166" i="4"/>
  <c r="D158" i="4"/>
  <c r="D150" i="4"/>
  <c r="D142" i="4"/>
  <c r="D134" i="4"/>
  <c r="D126" i="4"/>
  <c r="D118" i="4"/>
  <c r="D110" i="4"/>
  <c r="D102" i="4"/>
  <c r="D94" i="4"/>
  <c r="D86" i="4"/>
  <c r="D78" i="4"/>
  <c r="D70" i="4"/>
  <c r="D62" i="4"/>
  <c r="D54" i="4"/>
  <c r="D46" i="4"/>
  <c r="D38" i="4"/>
  <c r="D30" i="4"/>
  <c r="D22" i="4"/>
  <c r="D14" i="4"/>
  <c r="D6" i="4"/>
  <c r="D220" i="4"/>
  <c r="D148" i="4"/>
  <c r="D92" i="4"/>
  <c r="D60" i="4"/>
  <c r="D237" i="4"/>
  <c r="D229" i="4"/>
  <c r="D221" i="4"/>
  <c r="D213" i="4"/>
  <c r="D205" i="4"/>
  <c r="D197" i="4"/>
  <c r="D189" i="4"/>
  <c r="D181" i="4"/>
  <c r="D173" i="4"/>
  <c r="D165" i="4"/>
  <c r="D157" i="4"/>
  <c r="D149" i="4"/>
  <c r="D141" i="4"/>
  <c r="D133" i="4"/>
  <c r="D125" i="4"/>
  <c r="D117" i="4"/>
  <c r="D109" i="4"/>
  <c r="D101" i="4"/>
  <c r="D93" i="4"/>
  <c r="D85" i="4"/>
  <c r="D77" i="4"/>
  <c r="D69" i="4"/>
  <c r="D61" i="4"/>
  <c r="D53" i="4"/>
  <c r="D45" i="4"/>
  <c r="D37" i="4"/>
  <c r="D29" i="4"/>
  <c r="D21" i="4"/>
  <c r="D13" i="4"/>
  <c r="D5" i="4"/>
  <c r="D236" i="4"/>
  <c r="D180" i="4"/>
  <c r="D124" i="4"/>
  <c r="D76" i="4"/>
  <c r="D20" i="4"/>
  <c r="D243" i="4"/>
  <c r="D235" i="4"/>
  <c r="D227" i="4"/>
  <c r="D219" i="4"/>
  <c r="D211" i="4"/>
  <c r="D203" i="4"/>
  <c r="D195" i="4"/>
  <c r="D187" i="4"/>
  <c r="D179" i="4"/>
  <c r="D171" i="4"/>
  <c r="D163" i="4"/>
  <c r="D155" i="4"/>
  <c r="D147" i="4"/>
  <c r="D139" i="4"/>
  <c r="D131" i="4"/>
  <c r="D123" i="4"/>
  <c r="D115" i="4"/>
  <c r="D107" i="4"/>
  <c r="D99" i="4"/>
  <c r="D91" i="4"/>
  <c r="D83" i="4"/>
  <c r="D75" i="4"/>
  <c r="D67" i="4"/>
  <c r="D59" i="4"/>
  <c r="D51" i="4"/>
  <c r="D43" i="4"/>
  <c r="D35" i="4"/>
  <c r="D27" i="4"/>
  <c r="D19" i="4"/>
  <c r="D11" i="4"/>
  <c r="D3" i="4"/>
  <c r="D204" i="4"/>
  <c r="D164" i="4"/>
  <c r="D108" i="4"/>
  <c r="D68" i="4"/>
  <c r="D242" i="4"/>
  <c r="D234" i="4"/>
  <c r="D226" i="4"/>
  <c r="D218" i="4"/>
  <c r="D210" i="4"/>
  <c r="D202" i="4"/>
  <c r="D194" i="4"/>
  <c r="D186" i="4"/>
  <c r="D178" i="4"/>
  <c r="D170" i="4"/>
  <c r="D162" i="4"/>
  <c r="D154" i="4"/>
  <c r="D146" i="4"/>
  <c r="D138" i="4"/>
  <c r="D130" i="4"/>
  <c r="D122" i="4"/>
  <c r="D114" i="4"/>
  <c r="D106" i="4"/>
  <c r="D98" i="4"/>
  <c r="D90" i="4"/>
  <c r="D82" i="4"/>
  <c r="D74" i="4"/>
  <c r="D66" i="4"/>
  <c r="D58" i="4"/>
  <c r="D50" i="4"/>
  <c r="D42" i="4"/>
  <c r="D34" i="4"/>
  <c r="D26" i="4"/>
  <c r="D18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E198DD1-D2A4-46E7-A6B1-3999F6BE1C1B}" keepAlive="1" name="Consulta - BARRAS" description="Conexión a la consulta 'BARRAS' en el libro." type="5" refreshedVersion="8" background="1" saveData="1">
    <dbPr connection="Provider=Microsoft.Mashup.OleDb.1;Data Source=$Workbook$;Location=BARRAS;Extended Properties=&quot;&quot;" command="SELECT * FROM [BARRAS]"/>
  </connection>
  <connection id="2" xr16:uid="{B29A9B84-2826-4117-A272-4511E92C77B5}" keepAlive="1" name="Consulta - PMG(D)_Remuneracion" description="Conexión a la consulta 'PMG(D)_Remuneracion' en el libro." type="5" refreshedVersion="8" background="1" saveData="1">
    <dbPr connection="Provider=Microsoft.Mashup.OleDb.1;Data Source=$Workbook$;Location=PMG(D)_Remuneracion;Extended Properties=&quot;&quot;" command="SELECT * FROM [PMG(D)_Remuneracion]"/>
  </connection>
  <connection id="3" xr16:uid="{62B0D88C-8251-4F22-8679-6D4AEAE55E6A}" keepAlive="1" name="Consulta - PNCP_HOMOLOGADO" description="Conexión a la consulta 'PNCP_HOMOLOGADO' en el libro." type="5" refreshedVersion="0" background="1">
    <dbPr connection="Provider=Microsoft.Mashup.OleDb.1;Data Source=$Workbook$;Location=PNCP_HOMOLOGADO;Extended Properties=&quot;&quot;" command="SELECT * FROM [PNCP_HOMOLOGADO]"/>
  </connection>
</connections>
</file>

<file path=xl/sharedStrings.xml><?xml version="1.0" encoding="utf-8"?>
<sst xmlns="http://schemas.openxmlformats.org/spreadsheetml/2006/main" count="31971" uniqueCount="6793">
  <si>
    <t>A_____________100</t>
  </si>
  <si>
    <t>A.BLANCAS_____013</t>
  </si>
  <si>
    <t>A.BLANCAS_____066</t>
  </si>
  <si>
    <t>A.CLARAS______066</t>
  </si>
  <si>
    <t>A.DERIBERA____066</t>
  </si>
  <si>
    <t>A.DERIBERA____154</t>
  </si>
  <si>
    <t>A.HOSPICIO____013</t>
  </si>
  <si>
    <t>A.HOSPICIO____110</t>
  </si>
  <si>
    <t>A.JAHUEL______066</t>
  </si>
  <si>
    <t>A.JAHUEL</t>
  </si>
  <si>
    <t>A.JAHUEL______110</t>
  </si>
  <si>
    <t>A.JAHUEL______154</t>
  </si>
  <si>
    <t>A.JAHUEL______220</t>
  </si>
  <si>
    <t>A.MELIP_______110</t>
  </si>
  <si>
    <t>A.MELIP</t>
  </si>
  <si>
    <t>A.MELIP_______220</t>
  </si>
  <si>
    <t>A.NEGRAS</t>
  </si>
  <si>
    <t>A.SANTA_______110</t>
  </si>
  <si>
    <t>A.SANTA_______220</t>
  </si>
  <si>
    <t>A_DE_CORDOVA__013</t>
  </si>
  <si>
    <t>A_DE_CORDOVA__110</t>
  </si>
  <si>
    <t>ACHUPALLAS____110</t>
  </si>
  <si>
    <t>ACONCAGUA_____066</t>
  </si>
  <si>
    <t>ACONCAGUA_____110</t>
  </si>
  <si>
    <t>ACONCAGUA_1___012</t>
  </si>
  <si>
    <t>ACONCAGUA_2___012</t>
  </si>
  <si>
    <t>AG.BLANCAS____013</t>
  </si>
  <si>
    <t>AG.BLANCAS____066</t>
  </si>
  <si>
    <t>AGUILA________066</t>
  </si>
  <si>
    <t>AGUILA</t>
  </si>
  <si>
    <t>AIHUAPI_______013</t>
  </si>
  <si>
    <t>AIHUAPI</t>
  </si>
  <si>
    <t>AIHUAPI_______066</t>
  </si>
  <si>
    <t>AIHUAPI_______110</t>
  </si>
  <si>
    <t>AJAHUEL_______500</t>
  </si>
  <si>
    <t>ALAMEDA_______015</t>
  </si>
  <si>
    <t>ALAMEDA</t>
  </si>
  <si>
    <t>ALAMEDA_______066</t>
  </si>
  <si>
    <t>ALCONES_______023</t>
  </si>
  <si>
    <t>ALCONES</t>
  </si>
  <si>
    <t>ALCONES_______066</t>
  </si>
  <si>
    <t>ALFALFAL______110</t>
  </si>
  <si>
    <t>ALFALFAL______220</t>
  </si>
  <si>
    <t>ALGARR.NORTE__013</t>
  </si>
  <si>
    <t>ALGARR.NORTE__066</t>
  </si>
  <si>
    <t>ALGARROBAL____220</t>
  </si>
  <si>
    <t>ALGARROBO_____110</t>
  </si>
  <si>
    <t>ALHUE_________023</t>
  </si>
  <si>
    <t>ALHUE</t>
  </si>
  <si>
    <t>ALHUE_________066</t>
  </si>
  <si>
    <t>ALMEYDA_______220</t>
  </si>
  <si>
    <t>ALTAMIRANO____013</t>
  </si>
  <si>
    <t>ALTAMIRANO____110</t>
  </si>
  <si>
    <t>ALTO_BONITO___023</t>
  </si>
  <si>
    <t>ALTO_BONITO___110</t>
  </si>
  <si>
    <t>ALTODCARMEN___013</t>
  </si>
  <si>
    <t>ALTODCARMEN___110</t>
  </si>
  <si>
    <t>ALTONORTE_____110</t>
  </si>
  <si>
    <t>ANA_MARIA_____220</t>
  </si>
  <si>
    <t>ANCOA_________013</t>
  </si>
  <si>
    <t>ANCOA</t>
  </si>
  <si>
    <t>ANCOA_________220</t>
  </si>
  <si>
    <t>ANCOA_________500</t>
  </si>
  <si>
    <t>ANCUD_________013</t>
  </si>
  <si>
    <t>ANCUD_________110</t>
  </si>
  <si>
    <t>ANDACOLLO_____013</t>
  </si>
  <si>
    <t>ANDACOLLO</t>
  </si>
  <si>
    <t>ANDACOLLO_____066</t>
  </si>
  <si>
    <t>ANDALIEN______013</t>
  </si>
  <si>
    <t>ANDALIEN</t>
  </si>
  <si>
    <t>ANDALIEN______066</t>
  </si>
  <si>
    <t>ANDES_________013</t>
  </si>
  <si>
    <t>ANDES_________110</t>
  </si>
  <si>
    <t>ANDES_SNG_____220</t>
  </si>
  <si>
    <t>ANDES_SNG</t>
  </si>
  <si>
    <t>ANDES_SNG_____345</t>
  </si>
  <si>
    <t>ANGAMOS_______220</t>
  </si>
  <si>
    <t>ANGOL_________013</t>
  </si>
  <si>
    <t>ANGOL_________023</t>
  </si>
  <si>
    <t>ANGOL_________066</t>
  </si>
  <si>
    <t>ANGOSTURA_____220</t>
  </si>
  <si>
    <t>ANTILLANCA____110</t>
  </si>
  <si>
    <t>ANTILLANCA____220</t>
  </si>
  <si>
    <t>ANTOFAGASTA___013</t>
  </si>
  <si>
    <t>ANTOFAGASTA___110</t>
  </si>
  <si>
    <t>ANTUCO________220</t>
  </si>
  <si>
    <t>ANTUCOYA______220</t>
  </si>
  <si>
    <t>APOQUINDO_____013</t>
  </si>
  <si>
    <t>APOQUINDO_____110</t>
  </si>
  <si>
    <t>ARICA_________013</t>
  </si>
  <si>
    <t>ARICA_________066</t>
  </si>
  <si>
    <t>ARICA_________110</t>
  </si>
  <si>
    <t>ARMAZONES_____023</t>
  </si>
  <si>
    <t>ARMAZONES</t>
  </si>
  <si>
    <t>ARMAZONES_____066</t>
  </si>
  <si>
    <t>ARMERILLO_____066</t>
  </si>
  <si>
    <t>ARMERILLO_____220</t>
  </si>
  <si>
    <t>ARR.PETROQ.___154</t>
  </si>
  <si>
    <t>ARRIERO_______220</t>
  </si>
  <si>
    <t>ATACAMA_______023</t>
  </si>
  <si>
    <t>ATACAMA</t>
  </si>
  <si>
    <t>ATACAMA_______220</t>
  </si>
  <si>
    <t>AURORA________220</t>
  </si>
  <si>
    <t>B.BLANCO______023</t>
  </si>
  <si>
    <t>B.BLANCO______066</t>
  </si>
  <si>
    <t>BALANDRAS_____013</t>
  </si>
  <si>
    <t>BALANDRAS_____066</t>
  </si>
  <si>
    <t>BATUCO________013</t>
  </si>
  <si>
    <t>BATUCO</t>
  </si>
  <si>
    <t>BATUCO________110</t>
  </si>
  <si>
    <t>BELLAVISTA____066</t>
  </si>
  <si>
    <t>BICENTENARIO__013</t>
  </si>
  <si>
    <t>BICENTENARIO__110</t>
  </si>
  <si>
    <t>BOCAMINA______004</t>
  </si>
  <si>
    <t>BOCAMINA______066</t>
  </si>
  <si>
    <t>BOCAMINA______154</t>
  </si>
  <si>
    <t>BOCAMINA_II___220</t>
  </si>
  <si>
    <t>BOLLENAR______013</t>
  </si>
  <si>
    <t>BOLLENAR</t>
  </si>
  <si>
    <t>BOLLENAR______110</t>
  </si>
  <si>
    <t>BOMBEO2_______004</t>
  </si>
  <si>
    <t>BOMBEO2_______220</t>
  </si>
  <si>
    <t>BOMBEO3_______004</t>
  </si>
  <si>
    <t>BOMBEO3_______220</t>
  </si>
  <si>
    <t>BOMBEO4_______004</t>
  </si>
  <si>
    <t>BOMBEO4_______220</t>
  </si>
  <si>
    <t>BOSQUEMAR_____012</t>
  </si>
  <si>
    <t>BOSQUEMAR_____110</t>
  </si>
  <si>
    <t>BRASIL________013</t>
  </si>
  <si>
    <t>BRASIL________110</t>
  </si>
  <si>
    <t>BUCALEMU______066</t>
  </si>
  <si>
    <t>BUIN__________013</t>
  </si>
  <si>
    <t>BUIN</t>
  </si>
  <si>
    <t>BUIN__________066</t>
  </si>
  <si>
    <t>BUIN__________110</t>
  </si>
  <si>
    <t>BUIN__________220</t>
  </si>
  <si>
    <t>C.A_RENAICO___023</t>
  </si>
  <si>
    <t>C.A_RENAICO</t>
  </si>
  <si>
    <t>C.BIOBIO______066</t>
  </si>
  <si>
    <t>C.CALERA1_____062</t>
  </si>
  <si>
    <t>C.CALERA1_____110</t>
  </si>
  <si>
    <t>C.CHENA_______110</t>
  </si>
  <si>
    <t>C.CHENA</t>
  </si>
  <si>
    <t>C.CHENA_______220</t>
  </si>
  <si>
    <t>C.COMBARBALA</t>
  </si>
  <si>
    <t>C.CONSTIT1____023</t>
  </si>
  <si>
    <t>C.DOMINADOR___220</t>
  </si>
  <si>
    <t>C.DRAGON______013</t>
  </si>
  <si>
    <t>C.DRAGON______110</t>
  </si>
  <si>
    <t>C.HUICHAHUE___220</t>
  </si>
  <si>
    <t>C.NAVIA_______110</t>
  </si>
  <si>
    <t>C.NAVIA</t>
  </si>
  <si>
    <t>C.NAVIA_______220</t>
  </si>
  <si>
    <t>C.PINTO_______220</t>
  </si>
  <si>
    <t>C.PINTO</t>
  </si>
  <si>
    <t>C.RENAICO_____023</t>
  </si>
  <si>
    <t>C.RENAICO</t>
  </si>
  <si>
    <t>CABILDO_______023</t>
  </si>
  <si>
    <t>CABILDO</t>
  </si>
  <si>
    <t>CABILDO_______110</t>
  </si>
  <si>
    <t>CABRERO_______013</t>
  </si>
  <si>
    <t>CABRERO</t>
  </si>
  <si>
    <t>CABRERO_______066</t>
  </si>
  <si>
    <t>CACHAPOAL_____013</t>
  </si>
  <si>
    <t>CACHAPOAL</t>
  </si>
  <si>
    <t>CACHAPOAL_____066</t>
  </si>
  <si>
    <t>CACHIYUYAL____220</t>
  </si>
  <si>
    <t>CALAMA________023</t>
  </si>
  <si>
    <t>CALAMA</t>
  </si>
  <si>
    <t>CALAMA________110</t>
  </si>
  <si>
    <t>CALAMA________220</t>
  </si>
  <si>
    <t>CALBUCO_______013</t>
  </si>
  <si>
    <t>CALBUCO_______110</t>
  </si>
  <si>
    <t>CALDERA_______013</t>
  </si>
  <si>
    <t>CALDERA</t>
  </si>
  <si>
    <t>CALDERA_______110</t>
  </si>
  <si>
    <t>CALERA.C______062</t>
  </si>
  <si>
    <t>CALEU_________013</t>
  </si>
  <si>
    <t>CALEU_________044</t>
  </si>
  <si>
    <t>CANAL_MELADO__110</t>
  </si>
  <si>
    <t>CANAL_MELADO__220</t>
  </si>
  <si>
    <t>CANDELARIA____220</t>
  </si>
  <si>
    <t>CANDELARIA</t>
  </si>
  <si>
    <t>CANETE________023</t>
  </si>
  <si>
    <t>CANETE________066</t>
  </si>
  <si>
    <t>CANUTILLAR____013</t>
  </si>
  <si>
    <t>CANUTILLAR____220</t>
  </si>
  <si>
    <t>CAPRICORNIO___110</t>
  </si>
  <si>
    <t>CAPRICORNIO___220</t>
  </si>
  <si>
    <t>CAPULLO_______066</t>
  </si>
  <si>
    <t>CARAMPANGUE___013</t>
  </si>
  <si>
    <t>CARAMPANGUE</t>
  </si>
  <si>
    <t>CARAMPANGUE___023</t>
  </si>
  <si>
    <t>CARAMPANGUE___066</t>
  </si>
  <si>
    <t>CARDONES______110</t>
  </si>
  <si>
    <t>CARDONES</t>
  </si>
  <si>
    <t>CARDONES______220</t>
  </si>
  <si>
    <t>CARENA________044</t>
  </si>
  <si>
    <t>CARRASCAL_____012</t>
  </si>
  <si>
    <t>CARRASCAL_____110</t>
  </si>
  <si>
    <t>CASABLANCA____013</t>
  </si>
  <si>
    <t>CASABLANCA</t>
  </si>
  <si>
    <t>CASABLANCA____066</t>
  </si>
  <si>
    <t>CASASVIEJAS___023</t>
  </si>
  <si>
    <t>CASASVIEJAS</t>
  </si>
  <si>
    <t>CASASVIEJAS___110</t>
  </si>
  <si>
    <t>CASTILLA______023</t>
  </si>
  <si>
    <t>CASTILLA</t>
  </si>
  <si>
    <t>CASTILLA______110</t>
  </si>
  <si>
    <t>CASTRO________023</t>
  </si>
  <si>
    <t>CASTRO________110</t>
  </si>
  <si>
    <t>CATEMU________013</t>
  </si>
  <si>
    <t>CATEMU</t>
  </si>
  <si>
    <t>CATEMU________044</t>
  </si>
  <si>
    <t>CAUQUENES_____013</t>
  </si>
  <si>
    <t>CAUQUENES</t>
  </si>
  <si>
    <t>CAUQUENES_____066</t>
  </si>
  <si>
    <t>CAUTIN________220</t>
  </si>
  <si>
    <t>CAUTIN</t>
  </si>
  <si>
    <t>CD.ARICA______013</t>
  </si>
  <si>
    <t>CD.ARICA______066</t>
  </si>
  <si>
    <t>CD.TAMAYA_____110</t>
  </si>
  <si>
    <t>CENTINELA_____220</t>
  </si>
  <si>
    <t>CENTRAL_ELEC__013</t>
  </si>
  <si>
    <t>CENTRAL_ELEC__023</t>
  </si>
  <si>
    <t>CENTRO________023</t>
  </si>
  <si>
    <t>CENTRO________110</t>
  </si>
  <si>
    <t>CERRILLOS_____013</t>
  </si>
  <si>
    <t>CERRILLOS</t>
  </si>
  <si>
    <t>CERRILLOS_____110</t>
  </si>
  <si>
    <t>CERRO_CHEPE1__066</t>
  </si>
  <si>
    <t>CERRO_CHEPE2__066</t>
  </si>
  <si>
    <t>CERRONEGRONOR_220</t>
  </si>
  <si>
    <t>CHACABUCO_____013</t>
  </si>
  <si>
    <t>CHACABUCO</t>
  </si>
  <si>
    <t>CHACABUCO_____023</t>
  </si>
  <si>
    <t>CHACABUCO_____110</t>
  </si>
  <si>
    <t>CHACAHUIN_____013</t>
  </si>
  <si>
    <t>CHACAHUIN</t>
  </si>
  <si>
    <t>CHACAHUIN_____066</t>
  </si>
  <si>
    <t>CHACAYA_______110</t>
  </si>
  <si>
    <t>CHACAYA_______220</t>
  </si>
  <si>
    <t>CHAGRES_______110</t>
  </si>
  <si>
    <t>CHAGUAL</t>
  </si>
  <si>
    <t>CHAPIQUINA____013</t>
  </si>
  <si>
    <t>CHAPIQUINA</t>
  </si>
  <si>
    <t>CHAPIQUINA____066</t>
  </si>
  <si>
    <t>CHARRUA_______013</t>
  </si>
  <si>
    <t>CHARRUA</t>
  </si>
  <si>
    <t>CHARRUA_______066</t>
  </si>
  <si>
    <t>CHARRUA_______154</t>
  </si>
  <si>
    <t>CHARRUA_______220</t>
  </si>
  <si>
    <t>CHARRUA_______500</t>
  </si>
  <si>
    <t>CHICUREO______023</t>
  </si>
  <si>
    <t>CHICUREO______220</t>
  </si>
  <si>
    <t>CHIGUAYANTE___015</t>
  </si>
  <si>
    <t>CHIGUAYANTE___066</t>
  </si>
  <si>
    <t>CHILLAN_______013</t>
  </si>
  <si>
    <t>CHILLAN</t>
  </si>
  <si>
    <t>CHILLAN_______066</t>
  </si>
  <si>
    <t>CHILLAN_______154</t>
  </si>
  <si>
    <t>CHILOE________110</t>
  </si>
  <si>
    <t>CHILOE</t>
  </si>
  <si>
    <t>CHILOE________220</t>
  </si>
  <si>
    <t>CHIMBARONGO___013</t>
  </si>
  <si>
    <t>CHIMBARONGO</t>
  </si>
  <si>
    <t>CHIMBARONGO___066</t>
  </si>
  <si>
    <t>CHIMBORAZO____220</t>
  </si>
  <si>
    <t>CHINCHORRO____013</t>
  </si>
  <si>
    <t>CHINCHORRO____066</t>
  </si>
  <si>
    <t>CHIRRE________023</t>
  </si>
  <si>
    <t>CHIRRE</t>
  </si>
  <si>
    <t>CHIRRE________110</t>
  </si>
  <si>
    <t>CHIU_CHIU_____110</t>
  </si>
  <si>
    <t>CHIVILCAN_____013</t>
  </si>
  <si>
    <t>CHIVILCAN_____066</t>
  </si>
  <si>
    <t>CHOAPA________110</t>
  </si>
  <si>
    <t>CHOCALAN______013</t>
  </si>
  <si>
    <t>CHOCALAN</t>
  </si>
  <si>
    <t>CHOCALAN______066</t>
  </si>
  <si>
    <t>CHOLGUAN______013</t>
  </si>
  <si>
    <t>CHOLGUAN</t>
  </si>
  <si>
    <t>CHOLGUAN______066</t>
  </si>
  <si>
    <t>CHOLGUAN______220</t>
  </si>
  <si>
    <t>CHONCHI_______013</t>
  </si>
  <si>
    <t>CHONCHI</t>
  </si>
  <si>
    <t>CHONCHI_______110</t>
  </si>
  <si>
    <t>CHUMAQUITO____013</t>
  </si>
  <si>
    <t>CHUMAQUITO</t>
  </si>
  <si>
    <t>CHUMAQUITO____066</t>
  </si>
  <si>
    <t>CHUMPULLO_____066</t>
  </si>
  <si>
    <t>CHUQUICAMATA__100</t>
  </si>
  <si>
    <t>CHUQUICAMATA</t>
  </si>
  <si>
    <t>CHUQUICAMATA__220</t>
  </si>
  <si>
    <t>CHUSCHA_______110</t>
  </si>
  <si>
    <t>CIPRESES______154</t>
  </si>
  <si>
    <t>CIRUELITOS____033</t>
  </si>
  <si>
    <t>CIRUELOS______220</t>
  </si>
  <si>
    <t>CIRUELOS</t>
  </si>
  <si>
    <t>CLUB_HIPICO___013</t>
  </si>
  <si>
    <t>CLUB_HIPICO___110</t>
  </si>
  <si>
    <t>CNTALTAL______015</t>
  </si>
  <si>
    <t>CNTALTAL______220</t>
  </si>
  <si>
    <t>COCHARCAS_____013</t>
  </si>
  <si>
    <t>COCHARCAS</t>
  </si>
  <si>
    <t>COCHARCAS_____066</t>
  </si>
  <si>
    <t>COCHARCAS2____013</t>
  </si>
  <si>
    <t>COCHARCAS2</t>
  </si>
  <si>
    <t>COCHRANE______220</t>
  </si>
  <si>
    <t>COLACO________013</t>
  </si>
  <si>
    <t>COLACO________110</t>
  </si>
  <si>
    <t>COLBUN________013</t>
  </si>
  <si>
    <t>COLBUN</t>
  </si>
  <si>
    <t>COLBUN________220</t>
  </si>
  <si>
    <t>COLCHAGUA_____015</t>
  </si>
  <si>
    <t>COLCHAGUA</t>
  </si>
  <si>
    <t>COLCHAGUA_____066</t>
  </si>
  <si>
    <t>COLCURA_______066</t>
  </si>
  <si>
    <t>COLLAHUASI____220</t>
  </si>
  <si>
    <t>COLLIPULLI____013</t>
  </si>
  <si>
    <t>COLLIPULLI____066</t>
  </si>
  <si>
    <t>COLOCOLO______013</t>
  </si>
  <si>
    <t>COLOCOLO______066</t>
  </si>
  <si>
    <t>COLOSO________220</t>
  </si>
  <si>
    <t>COMBARBALA____013</t>
  </si>
  <si>
    <t>COMBARBALA</t>
  </si>
  <si>
    <t>COMBARBALA____066</t>
  </si>
  <si>
    <t>COMPANIA______013</t>
  </si>
  <si>
    <t>COMPANIA</t>
  </si>
  <si>
    <t>COMPANIA______110</t>
  </si>
  <si>
    <t>CONCEPCION____066</t>
  </si>
  <si>
    <t>CONCEPCION____154</t>
  </si>
  <si>
    <t>CONCEPCION____220</t>
  </si>
  <si>
    <t>CONCHI________220</t>
  </si>
  <si>
    <t>CONCON________013</t>
  </si>
  <si>
    <t>CONCON</t>
  </si>
  <si>
    <t>CONCON________110</t>
  </si>
  <si>
    <t>CONDORES______110</t>
  </si>
  <si>
    <t>CONDORES</t>
  </si>
  <si>
    <t>CONDORES______220</t>
  </si>
  <si>
    <t>CONSTIT.______066</t>
  </si>
  <si>
    <t>CONSTIT1______023</t>
  </si>
  <si>
    <t>CONSTIT1</t>
  </si>
  <si>
    <t>CONSTIT2______023</t>
  </si>
  <si>
    <t>CONVENTOVIEJO_154</t>
  </si>
  <si>
    <t>COPAYAPU______110</t>
  </si>
  <si>
    <t>COPIAPO_______013</t>
  </si>
  <si>
    <t>COPIAPO</t>
  </si>
  <si>
    <t>COPIAPO_______110</t>
  </si>
  <si>
    <t>COPIHUES______110</t>
  </si>
  <si>
    <t>CORONEL_______015</t>
  </si>
  <si>
    <t>CORONEL_______066</t>
  </si>
  <si>
    <t>CORONEL_______154</t>
  </si>
  <si>
    <t>CORRAL________023</t>
  </si>
  <si>
    <t>CORRAL________066</t>
  </si>
  <si>
    <t>CORRALES</t>
  </si>
  <si>
    <t>COSTANERA_____012</t>
  </si>
  <si>
    <t>COSTANERA_____110</t>
  </si>
  <si>
    <t>CRUCERO_______220</t>
  </si>
  <si>
    <t>CRUCERO</t>
  </si>
  <si>
    <t>CSP.C.DOMINAD_220</t>
  </si>
  <si>
    <t>CTR_MACHICURA</t>
  </si>
  <si>
    <t>CUMBRES_______220</t>
  </si>
  <si>
    <t>CUMBRES_______500</t>
  </si>
  <si>
    <t>CUNCO_________023</t>
  </si>
  <si>
    <t>CUNCO</t>
  </si>
  <si>
    <t>CUNCO_________110</t>
  </si>
  <si>
    <t>CURACAUTIN____013</t>
  </si>
  <si>
    <t>CURACAUTIN</t>
  </si>
  <si>
    <t>CURACAUTIN____066</t>
  </si>
  <si>
    <t>CURACAVI______012</t>
  </si>
  <si>
    <t>CURACAVI</t>
  </si>
  <si>
    <t>CURACAVI______044</t>
  </si>
  <si>
    <t>CURANILAHUE___013</t>
  </si>
  <si>
    <t>CURANILAHUE___066</t>
  </si>
  <si>
    <t>CURANILAHUEN__066</t>
  </si>
  <si>
    <t>CURICO________013</t>
  </si>
  <si>
    <t>CURICO</t>
  </si>
  <si>
    <t>CURICO________066</t>
  </si>
  <si>
    <t>CURICO2_______013</t>
  </si>
  <si>
    <t>CURICO2</t>
  </si>
  <si>
    <t>CURILLINQUE___154</t>
  </si>
  <si>
    <t>D.ALMAGRO_____023</t>
  </si>
  <si>
    <t>D.ALMAGRO</t>
  </si>
  <si>
    <t>D.ALMAGRO_____110</t>
  </si>
  <si>
    <t>D.ALMAGRO_____220</t>
  </si>
  <si>
    <t>D.AMIGOS______023</t>
  </si>
  <si>
    <t>D.AMIGOS______110</t>
  </si>
  <si>
    <t>DALCAHUE______023</t>
  </si>
  <si>
    <t>DALCAHUE______110</t>
  </si>
  <si>
    <t>DEGAN_________013</t>
  </si>
  <si>
    <t>DEGAN_________110</t>
  </si>
  <si>
    <t>DESALANT______110</t>
  </si>
  <si>
    <t>DEUCO_________013</t>
  </si>
  <si>
    <t>DEUCO_________066</t>
  </si>
  <si>
    <t>DOLE__________066</t>
  </si>
  <si>
    <t>DOMEYKO_______220</t>
  </si>
  <si>
    <t>DON_GOYO______220</t>
  </si>
  <si>
    <t>DON_HECTOR____220</t>
  </si>
  <si>
    <t>DONA_CARMEN___220</t>
  </si>
  <si>
    <t>DUQUECO_______023</t>
  </si>
  <si>
    <t>DUQUECO</t>
  </si>
  <si>
    <t>DUQUECO_______066</t>
  </si>
  <si>
    <t>DUQUECO_______220</t>
  </si>
  <si>
    <t>E.PENON_______013</t>
  </si>
  <si>
    <t>E.PENON</t>
  </si>
  <si>
    <t>E.PENON_______023</t>
  </si>
  <si>
    <t>E.PENON_______066</t>
  </si>
  <si>
    <t>E.PENON_______110</t>
  </si>
  <si>
    <t>E.SAUCE_______013</t>
  </si>
  <si>
    <t>E.SAUCE_______066</t>
  </si>
  <si>
    <t>EJERCITO______013</t>
  </si>
  <si>
    <t>EJERCITO______066</t>
  </si>
  <si>
    <t>EKA.CHILE_____154</t>
  </si>
  <si>
    <t>EL.LLANO______220</t>
  </si>
  <si>
    <t>EL.LLANO</t>
  </si>
  <si>
    <t>EL_LINCE______023</t>
  </si>
  <si>
    <t>EL_LINCE______110</t>
  </si>
  <si>
    <t>EL_MANZANO____023</t>
  </si>
  <si>
    <t>EL_MANZANO</t>
  </si>
  <si>
    <t>EL_MANZANO____220</t>
  </si>
  <si>
    <t>EL_MELON______013</t>
  </si>
  <si>
    <t>EL_MELON</t>
  </si>
  <si>
    <t>EL_MELON______044</t>
  </si>
  <si>
    <t>EL_NEGRO______110</t>
  </si>
  <si>
    <t>EL_PASO_______023</t>
  </si>
  <si>
    <t>EL_PASO_______220</t>
  </si>
  <si>
    <t>EL_SALTO______110</t>
  </si>
  <si>
    <t>EL_SALTO______220</t>
  </si>
  <si>
    <t>EL_TORO_______220</t>
  </si>
  <si>
    <t>ELABRA________220</t>
  </si>
  <si>
    <t>ELAVELLANO____023</t>
  </si>
  <si>
    <t>ELAVELLANO</t>
  </si>
  <si>
    <t>ELAVELLANO____066</t>
  </si>
  <si>
    <t>ELCOBRE_______220</t>
  </si>
  <si>
    <t>ELCOBRE</t>
  </si>
  <si>
    <t>ELLAUREL______220</t>
  </si>
  <si>
    <t>ELMAITEN______013</t>
  </si>
  <si>
    <t>ELMAITEN</t>
  </si>
  <si>
    <t>ELMAITEN______066</t>
  </si>
  <si>
    <t>ELMANZANO_____015</t>
  </si>
  <si>
    <t>ELMANZANO</t>
  </si>
  <si>
    <t>ELMANZANO_____066</t>
  </si>
  <si>
    <t>ELMONTE_______013</t>
  </si>
  <si>
    <t>ELMONTE</t>
  </si>
  <si>
    <t>ELMONTE_______066</t>
  </si>
  <si>
    <t>ELPAICO_______013</t>
  </si>
  <si>
    <t>ELPAICO</t>
  </si>
  <si>
    <t>ELPAICO_______066</t>
  </si>
  <si>
    <t>ELPEUMO_______023</t>
  </si>
  <si>
    <t>ELPEUMO</t>
  </si>
  <si>
    <t>ELPEUMO_______066</t>
  </si>
  <si>
    <t>ELSALADO______023</t>
  </si>
  <si>
    <t>ELSALADO</t>
  </si>
  <si>
    <t>ELSALADO______110</t>
  </si>
  <si>
    <t>ELSALVADOR____012</t>
  </si>
  <si>
    <t>ELSALVADOR</t>
  </si>
  <si>
    <t>ELSALVADOR____110</t>
  </si>
  <si>
    <t>EMPALME_______013</t>
  </si>
  <si>
    <t>EMPALME_______110</t>
  </si>
  <si>
    <t>ENACAR________066</t>
  </si>
  <si>
    <t>ENCUENTRO_____220</t>
  </si>
  <si>
    <t>ENCUENTRO</t>
  </si>
  <si>
    <t>ENL.MAITENES__110</t>
  </si>
  <si>
    <t>ENLACE________066</t>
  </si>
  <si>
    <t>ENLACE_SNG____220</t>
  </si>
  <si>
    <t>ENTRERIOS_____220</t>
  </si>
  <si>
    <t>ENTRERIOS_____500</t>
  </si>
  <si>
    <t>ESCONDIDA_____220</t>
  </si>
  <si>
    <t>ESCUADRON_____015</t>
  </si>
  <si>
    <t>ESCUADRON_____066</t>
  </si>
  <si>
    <t>ESMERALDA_____110</t>
  </si>
  <si>
    <t>ESMERALDA_____220</t>
  </si>
  <si>
    <t>ESPERANZA_____013</t>
  </si>
  <si>
    <t>ESPERANZA</t>
  </si>
  <si>
    <t>ESPERANZA_____062</t>
  </si>
  <si>
    <t>ESPERANZA_____066</t>
  </si>
  <si>
    <t>ESPERANZA_____110</t>
  </si>
  <si>
    <t>ESPERANZA_SNG_220</t>
  </si>
  <si>
    <t>ESPERANZA_SNG</t>
  </si>
  <si>
    <t>ESPINO________013</t>
  </si>
  <si>
    <t>ESPINO________066</t>
  </si>
  <si>
    <t>ESTN6_________066</t>
  </si>
  <si>
    <t>FARELLON______220</t>
  </si>
  <si>
    <t>FATIMA________015</t>
  </si>
  <si>
    <t>FATIMA</t>
  </si>
  <si>
    <t>FATIMA________066</t>
  </si>
  <si>
    <t>FATIMA________154</t>
  </si>
  <si>
    <t>FATIMA1_______154</t>
  </si>
  <si>
    <t>FATIMA2_______154</t>
  </si>
  <si>
    <t>FFCC__________110</t>
  </si>
  <si>
    <t>FIBRANOVA_____066</t>
  </si>
  <si>
    <t>FLORIDA_______012</t>
  </si>
  <si>
    <t>FLORIDA</t>
  </si>
  <si>
    <t>FLORIDA_______110</t>
  </si>
  <si>
    <t>FOPACO________006</t>
  </si>
  <si>
    <t>FOPACO________154</t>
  </si>
  <si>
    <t>FRONTERA______220</t>
  </si>
  <si>
    <t>FRUTILLAR_____013</t>
  </si>
  <si>
    <t>FRUTILLAR_____066</t>
  </si>
  <si>
    <t>GALLEGUILLOS__110</t>
  </si>
  <si>
    <t>GORBEA________013</t>
  </si>
  <si>
    <t>GORBEA________066</t>
  </si>
  <si>
    <t>GRANEROS______015</t>
  </si>
  <si>
    <t>GRANEROS</t>
  </si>
  <si>
    <t>GRANEROS______066</t>
  </si>
  <si>
    <t>GUACOLDA______220</t>
  </si>
  <si>
    <t>GUARDIAMARINA_110</t>
  </si>
  <si>
    <t>GUAYACAN______013</t>
  </si>
  <si>
    <t>GUAYACAN______066</t>
  </si>
  <si>
    <t>H.FUENTES_____013</t>
  </si>
  <si>
    <t>H.FUENTES</t>
  </si>
  <si>
    <t>H.FUENTES_____110</t>
  </si>
  <si>
    <t>HORCONES______066</t>
  </si>
  <si>
    <t>HOSPITAL______013</t>
  </si>
  <si>
    <t>HOSPITAL</t>
  </si>
  <si>
    <t>HOSPITAL______066</t>
  </si>
  <si>
    <t>HUALANE_______013</t>
  </si>
  <si>
    <t>HUALANE</t>
  </si>
  <si>
    <t>HUALANE_______066</t>
  </si>
  <si>
    <t>HUALPEN_______154</t>
  </si>
  <si>
    <t>HUALPEN</t>
  </si>
  <si>
    <t>HUALPEN_______220</t>
  </si>
  <si>
    <t>HUALQUI_______220</t>
  </si>
  <si>
    <t>HUALTE________013</t>
  </si>
  <si>
    <t>HUALTE</t>
  </si>
  <si>
    <t>HUALTE________033</t>
  </si>
  <si>
    <t>HUALTE________066</t>
  </si>
  <si>
    <t>HUASCO________013</t>
  </si>
  <si>
    <t>HUASCO________110</t>
  </si>
  <si>
    <t>ILLAPA________220</t>
  </si>
  <si>
    <t>ILLAPEL_______023</t>
  </si>
  <si>
    <t>ILLAPEL</t>
  </si>
  <si>
    <t>ILLAPEL_______066</t>
  </si>
  <si>
    <t>ILLAPEL_______110</t>
  </si>
  <si>
    <t>IMPERIAL______013</t>
  </si>
  <si>
    <t>IMPERIAL______066</t>
  </si>
  <si>
    <t>INACESA_______023</t>
  </si>
  <si>
    <t>INCAHUASI_____023</t>
  </si>
  <si>
    <t>INCAHUASI</t>
  </si>
  <si>
    <t>INCAHUASI_____110</t>
  </si>
  <si>
    <t>INDURA________066</t>
  </si>
  <si>
    <t>ISLA__________013</t>
  </si>
  <si>
    <t>ISLA__________154</t>
  </si>
  <si>
    <t>ISLADMAIPO____013</t>
  </si>
  <si>
    <t>ISLADMAIPO</t>
  </si>
  <si>
    <t>ISLADMAIPO____066</t>
  </si>
  <si>
    <t>ITAHUE________013</t>
  </si>
  <si>
    <t>ITAHUE</t>
  </si>
  <si>
    <t>ITAHUE________066</t>
  </si>
  <si>
    <t>ITAHUE________154</t>
  </si>
  <si>
    <t>ITAHUE________220</t>
  </si>
  <si>
    <t>JAVIERA_______110</t>
  </si>
  <si>
    <t>JUNCAL________013</t>
  </si>
  <si>
    <t>JUNCAL________044</t>
  </si>
  <si>
    <t>KAPATUR_______220</t>
  </si>
  <si>
    <t>KELAR_________220</t>
  </si>
  <si>
    <t>KIMAL_________220</t>
  </si>
  <si>
    <t>KIMAL_________500</t>
  </si>
  <si>
    <t>KM6___________100</t>
  </si>
  <si>
    <t>L.ALMENDROS___110</t>
  </si>
  <si>
    <t>L.ALMENDROS___220</t>
  </si>
  <si>
    <t>L.ANGELES_____013</t>
  </si>
  <si>
    <t>L.ANGELES</t>
  </si>
  <si>
    <t>L.ANGELES_____066</t>
  </si>
  <si>
    <t>L.ANGELES_____154</t>
  </si>
  <si>
    <t>L.CABRAS______013</t>
  </si>
  <si>
    <t>L.CABRAS</t>
  </si>
  <si>
    <t>L.CABRAS______066</t>
  </si>
  <si>
    <t>L.CHANGOS_____220</t>
  </si>
  <si>
    <t>L.CHANGOS_____500</t>
  </si>
  <si>
    <t>L.COLOR1______110</t>
  </si>
  <si>
    <t>L.COLORADAS___013</t>
  </si>
  <si>
    <t>L.COLORADAS___066</t>
  </si>
  <si>
    <t>L.CONFLUENCIA_220</t>
  </si>
  <si>
    <t>L.CONFLUENCIA</t>
  </si>
  <si>
    <t>L.ERMITA______220</t>
  </si>
  <si>
    <t>L.HIGUERA_____220</t>
  </si>
  <si>
    <t>L.INDURA______066</t>
  </si>
  <si>
    <t>L.LAGOS_______013</t>
  </si>
  <si>
    <t>L.LAGOS_______066</t>
  </si>
  <si>
    <t>L.LAJA________110</t>
  </si>
  <si>
    <t>L.LAJUELAS____033</t>
  </si>
  <si>
    <t>L.LIRIOS______066</t>
  </si>
  <si>
    <t>L.LOROS_______013</t>
  </si>
  <si>
    <t>L.LOROS</t>
  </si>
  <si>
    <t>L.LOROS_______110</t>
  </si>
  <si>
    <t>L.LUCES_______110</t>
  </si>
  <si>
    <t>L.MAQUIS______110</t>
  </si>
  <si>
    <t>L.MAQUIS</t>
  </si>
  <si>
    <t>L.MAQUIS______220</t>
  </si>
  <si>
    <t>L.NEGROS2_____013</t>
  </si>
  <si>
    <t>L.NEGROS2_____066</t>
  </si>
  <si>
    <t>L.PALMAS______220</t>
  </si>
  <si>
    <t>L.QUILOS______066</t>
  </si>
  <si>
    <t>L.QUILOS______110</t>
  </si>
  <si>
    <t>L.UNION_______013</t>
  </si>
  <si>
    <t>L.UNION_______066</t>
  </si>
  <si>
    <t>L.VEGAS_______013</t>
  </si>
  <si>
    <t>L.VEGAS</t>
  </si>
  <si>
    <t>L.VEGAS_______044</t>
  </si>
  <si>
    <t>L.VEGAS_______110</t>
  </si>
  <si>
    <t>L.VEGAS2______110</t>
  </si>
  <si>
    <t>L.VERDE_______066</t>
  </si>
  <si>
    <t>L.VERDE_______110</t>
  </si>
  <si>
    <t>L.VILOS_______220</t>
  </si>
  <si>
    <t>L.VILOS</t>
  </si>
  <si>
    <t>L.VIZCACHAS___110</t>
  </si>
  <si>
    <t>LA_CALERA_____013</t>
  </si>
  <si>
    <t>LA_CALERA</t>
  </si>
  <si>
    <t>LA_CALERA_____044</t>
  </si>
  <si>
    <t>LA_CALERA_____110</t>
  </si>
  <si>
    <t>LA_CEBADA_____220</t>
  </si>
  <si>
    <t>LA_CISTERNA___013</t>
  </si>
  <si>
    <t>LA_CISTERNA___110</t>
  </si>
  <si>
    <t>LA_DEHESA_____013</t>
  </si>
  <si>
    <t>LA_DEHESA_____023</t>
  </si>
  <si>
    <t>LA_DEHESA_____110</t>
  </si>
  <si>
    <t>LA_ESTRELLA___110</t>
  </si>
  <si>
    <t>LA_MINA_______066</t>
  </si>
  <si>
    <t>LA_PINTANA____013</t>
  </si>
  <si>
    <t>LA_PINTANA</t>
  </si>
  <si>
    <t>LA_PINTANA____110</t>
  </si>
  <si>
    <t>LA_PINTANA2___013</t>
  </si>
  <si>
    <t>LA_PINTANA2</t>
  </si>
  <si>
    <t>LA_POLVORA____110</t>
  </si>
  <si>
    <t>LA_REINA______013</t>
  </si>
  <si>
    <t>LA_REINA______110</t>
  </si>
  <si>
    <t>LABERINTO_____220</t>
  </si>
  <si>
    <t>LABERINTO</t>
  </si>
  <si>
    <t>LACRUZ________220</t>
  </si>
  <si>
    <t>LAGUNAS_______023</t>
  </si>
  <si>
    <t>LAGUNAS</t>
  </si>
  <si>
    <t>LAGUNAS_______220</t>
  </si>
  <si>
    <t>LAGUNILLAS____154</t>
  </si>
  <si>
    <t>LAGUNILLAS</t>
  </si>
  <si>
    <t>LAGUNILLAS____220</t>
  </si>
  <si>
    <t>LAHUAYCA2_____066</t>
  </si>
  <si>
    <t>LAJA__________013</t>
  </si>
  <si>
    <t>LAJA</t>
  </si>
  <si>
    <t>LAJA__________066</t>
  </si>
  <si>
    <t>LAJA__________220</t>
  </si>
  <si>
    <t>LALACKAMA_____220</t>
  </si>
  <si>
    <t>LAMANGA_______013</t>
  </si>
  <si>
    <t>LAMANGA</t>
  </si>
  <si>
    <t>LAMANGA_______066</t>
  </si>
  <si>
    <t>LAMISION______023</t>
  </si>
  <si>
    <t>LAMISION______066</t>
  </si>
  <si>
    <t>LAMPA_________220</t>
  </si>
  <si>
    <t>LAMPA</t>
  </si>
  <si>
    <t>LAPALMA_______013</t>
  </si>
  <si>
    <t>LAPALMA</t>
  </si>
  <si>
    <t>LAPALMA_______066</t>
  </si>
  <si>
    <t>LAPORTADA_____023</t>
  </si>
  <si>
    <t>LAPORTADA_____110</t>
  </si>
  <si>
    <t>LARONDA_______013</t>
  </si>
  <si>
    <t>LARONDA</t>
  </si>
  <si>
    <t>LARONDA_______066</t>
  </si>
  <si>
    <t>LARQUI________023</t>
  </si>
  <si>
    <t>LARQUI</t>
  </si>
  <si>
    <t>LARQUI________066</t>
  </si>
  <si>
    <t>LAS_ACACIAS___013</t>
  </si>
  <si>
    <t>LAS_ACACIAS___110</t>
  </si>
  <si>
    <t>LAS_PIEDRAS</t>
  </si>
  <si>
    <t>LASANA________220</t>
  </si>
  <si>
    <t>LASARANAS_____013</t>
  </si>
  <si>
    <t>LASARANAS</t>
  </si>
  <si>
    <t>LASARANAS_____066</t>
  </si>
  <si>
    <t>LASARANAS_____110</t>
  </si>
  <si>
    <t>LASENCINAS____015</t>
  </si>
  <si>
    <t>LASENCINAS____066</t>
  </si>
  <si>
    <t>LASTARRIA_____066</t>
  </si>
  <si>
    <t>LASTARRIA_____220</t>
  </si>
  <si>
    <t>LATORRE_______013</t>
  </si>
  <si>
    <t>LATORRE_______066</t>
  </si>
  <si>
    <t>LAUTARO_______013</t>
  </si>
  <si>
    <t>LAUTARO</t>
  </si>
  <si>
    <t>LAUTARO_______023</t>
  </si>
  <si>
    <t>LAUTARO_______066</t>
  </si>
  <si>
    <t>LAVEGA________013</t>
  </si>
  <si>
    <t>LAVEGA</t>
  </si>
  <si>
    <t>LAVEGA________066</t>
  </si>
  <si>
    <t>LEBU__________013</t>
  </si>
  <si>
    <t>LEBU</t>
  </si>
  <si>
    <t>LEBU__________066</t>
  </si>
  <si>
    <t>LEBU2_________013</t>
  </si>
  <si>
    <t>LEYDA_________013</t>
  </si>
  <si>
    <t>LEYDA</t>
  </si>
  <si>
    <t>LEYDA_________110</t>
  </si>
  <si>
    <t>LICANCO_______013</t>
  </si>
  <si>
    <t>LICANCO</t>
  </si>
  <si>
    <t>LICANCO_______066</t>
  </si>
  <si>
    <t>LICANTEN______013</t>
  </si>
  <si>
    <t>LICANTEN</t>
  </si>
  <si>
    <t>LICANTEN______066</t>
  </si>
  <si>
    <t>LIHUEIMO______013</t>
  </si>
  <si>
    <t>LIHUEIMO</t>
  </si>
  <si>
    <t>LIHUEIMO______066</t>
  </si>
  <si>
    <t>LIN.NORTE_____013</t>
  </si>
  <si>
    <t>LIN.NORTE</t>
  </si>
  <si>
    <t>LIN.NORTE_____066</t>
  </si>
  <si>
    <t>LINARES_______066</t>
  </si>
  <si>
    <t>LINARES_______154</t>
  </si>
  <si>
    <t>LIRQUEN_______015</t>
  </si>
  <si>
    <t>LIRQUEN_______066</t>
  </si>
  <si>
    <t>LLAIMA________023</t>
  </si>
  <si>
    <t>LLAIMA________066</t>
  </si>
  <si>
    <t>LLANBLANCOS</t>
  </si>
  <si>
    <t>LLANOLLAMPOS__220</t>
  </si>
  <si>
    <t>LLANQUIHUE____066</t>
  </si>
  <si>
    <t>LLANQUIHUE____220</t>
  </si>
  <si>
    <t>LLANTA________110</t>
  </si>
  <si>
    <t>LLAYLLAY______110</t>
  </si>
  <si>
    <t>LO_AGUIRRE____012</t>
  </si>
  <si>
    <t>LO_AGUIRRE</t>
  </si>
  <si>
    <t>LO_AGUIRRE____110</t>
  </si>
  <si>
    <t>LO_AGUIRRE____220</t>
  </si>
  <si>
    <t>LO_AGUIRRE____500</t>
  </si>
  <si>
    <t>LO_BOZA_______013</t>
  </si>
  <si>
    <t>LO_BOZA</t>
  </si>
  <si>
    <t>LO_BOZA_______023</t>
  </si>
  <si>
    <t>LO_BOZA_______110</t>
  </si>
  <si>
    <t>LO_ESPEJO_____110</t>
  </si>
  <si>
    <t>LO_PRADO______012</t>
  </si>
  <si>
    <t>LO_PRADO______044</t>
  </si>
  <si>
    <t>LO_PRADO______110</t>
  </si>
  <si>
    <t>LO_VALLEDOR___013</t>
  </si>
  <si>
    <t>LO_VALLEDOR___110</t>
  </si>
  <si>
    <t>LOA___________220</t>
  </si>
  <si>
    <t>LOMA_ALTA_____013</t>
  </si>
  <si>
    <t>LOMA_ALTA_____220</t>
  </si>
  <si>
    <t>LOMIRANDA_____013</t>
  </si>
  <si>
    <t>LOMIRANDA</t>
  </si>
  <si>
    <t>LOMIRANDA_____066</t>
  </si>
  <si>
    <t>LONCOCHE______013</t>
  </si>
  <si>
    <t>LONCOCHE</t>
  </si>
  <si>
    <t>LONCOCHE______066</t>
  </si>
  <si>
    <t>LONCOCHE2_____013</t>
  </si>
  <si>
    <t>LONGAVI_______013</t>
  </si>
  <si>
    <t>LONGAVI</t>
  </si>
  <si>
    <t>LONGAVI_______066</t>
  </si>
  <si>
    <t>LORD_COCHRANE_012</t>
  </si>
  <si>
    <t>LORETO________015</t>
  </si>
  <si>
    <t>LORETO</t>
  </si>
  <si>
    <t>LORETO________066</t>
  </si>
  <si>
    <t>LOS_ANDES_____044</t>
  </si>
  <si>
    <t>LOS_DOMINICOS_013</t>
  </si>
  <si>
    <t>LOS_DOMINICOS</t>
  </si>
  <si>
    <t>LOS_DOMINICOS_110</t>
  </si>
  <si>
    <t>LOS_HIERR_2</t>
  </si>
  <si>
    <t>LOS_HIERR_2___110</t>
  </si>
  <si>
    <t>LOS_HIERROS___006</t>
  </si>
  <si>
    <t>LOS_HIERROS___110</t>
  </si>
  <si>
    <t>LOS_MAQUIS____013</t>
  </si>
  <si>
    <t>LOS_MAQUIS</t>
  </si>
  <si>
    <t>LOS_PEUMOS____066</t>
  </si>
  <si>
    <t>LOS_PEUMOS____220</t>
  </si>
  <si>
    <t>LOS_SAUCES____023</t>
  </si>
  <si>
    <t>LOS_SAUCES</t>
  </si>
  <si>
    <t>LOS_SAUCES____066</t>
  </si>
  <si>
    <t>LOS_TAMBORES__013</t>
  </si>
  <si>
    <t>LOS_TAMBORES__066</t>
  </si>
  <si>
    <t>LOTA__________013</t>
  </si>
  <si>
    <t>LOTA__________066</t>
  </si>
  <si>
    <t>LUCERO________066</t>
  </si>
  <si>
    <t>M.BLANCOS_____023</t>
  </si>
  <si>
    <t>M.BLANCOS</t>
  </si>
  <si>
    <t>M.BLANCOS_____220</t>
  </si>
  <si>
    <t>M.DEVELASCO___013</t>
  </si>
  <si>
    <t>M.DEVELASCO</t>
  </si>
  <si>
    <t>M.DEVELASCO___066</t>
  </si>
  <si>
    <t>M.DOLORES_____220</t>
  </si>
  <si>
    <t>M.ELENA_______220</t>
  </si>
  <si>
    <t>M.MELADO______154</t>
  </si>
  <si>
    <t>M.PATRIA______013</t>
  </si>
  <si>
    <t>M.PATRIA</t>
  </si>
  <si>
    <t>M.PATRIA______066</t>
  </si>
  <si>
    <t>M.V.CEN.______154</t>
  </si>
  <si>
    <t>MACHALI_______013</t>
  </si>
  <si>
    <t>MACHALI</t>
  </si>
  <si>
    <t>MACHALI_______066</t>
  </si>
  <si>
    <t>MACUL_________013</t>
  </si>
  <si>
    <t>MACUL_________020</t>
  </si>
  <si>
    <t>MACUL_________110</t>
  </si>
  <si>
    <t>MAESTRANZA____013</t>
  </si>
  <si>
    <t>MAESTRANZA____066</t>
  </si>
  <si>
    <t>MAHNS_________015</t>
  </si>
  <si>
    <t>MAHNS_________066</t>
  </si>
  <si>
    <t>MAIPO_________110</t>
  </si>
  <si>
    <t>MAIPO</t>
  </si>
  <si>
    <t>MAIPO_________220</t>
  </si>
  <si>
    <t>MAIPU_________013</t>
  </si>
  <si>
    <t>MAIPU</t>
  </si>
  <si>
    <t>MAIPU_________110</t>
  </si>
  <si>
    <t>MAITENCILLO___110</t>
  </si>
  <si>
    <t>MAITENCILLO</t>
  </si>
  <si>
    <t>MAITENCILLO___220</t>
  </si>
  <si>
    <t>MAITENES______110</t>
  </si>
  <si>
    <t>MALGARIDA_____220</t>
  </si>
  <si>
    <t>MALLOA________013</t>
  </si>
  <si>
    <t>MALLOA</t>
  </si>
  <si>
    <t>MALLOA________066</t>
  </si>
  <si>
    <t>MALLOA________154</t>
  </si>
  <si>
    <t>MALLOCO_______013</t>
  </si>
  <si>
    <t>MALLOCO</t>
  </si>
  <si>
    <t>MALLOCO_______110</t>
  </si>
  <si>
    <t>MAMPIL________220</t>
  </si>
  <si>
    <t>MAMPIL</t>
  </si>
  <si>
    <t>MANDINGA______013</t>
  </si>
  <si>
    <t>MANDINGA</t>
  </si>
  <si>
    <t>MANDINGA______066</t>
  </si>
  <si>
    <t>MANTILHUE_____110</t>
  </si>
  <si>
    <t>MAPAL_________154</t>
  </si>
  <si>
    <t>MARBELLA______013</t>
  </si>
  <si>
    <t>MARBELLA______110</t>
  </si>
  <si>
    <t>MARCHIHUE_____013</t>
  </si>
  <si>
    <t>MARCHIHUE</t>
  </si>
  <si>
    <t>MARCHIHUE_____066</t>
  </si>
  <si>
    <t>MARGA_MARGA___013</t>
  </si>
  <si>
    <t>MARGA_MARGA___110</t>
  </si>
  <si>
    <t>MARIQUINA_____023</t>
  </si>
  <si>
    <t>MARIQUINA_____220</t>
  </si>
  <si>
    <t>MARISCAL______023</t>
  </si>
  <si>
    <t>MARISCAL______110</t>
  </si>
  <si>
    <t>MARQUESA______023</t>
  </si>
  <si>
    <t>MARQUESA</t>
  </si>
  <si>
    <t>MARQUESA______066</t>
  </si>
  <si>
    <t>MASISA________066</t>
  </si>
  <si>
    <t>MAULE_________015</t>
  </si>
  <si>
    <t>MAULE</t>
  </si>
  <si>
    <t>MAULE_________066</t>
  </si>
  <si>
    <t>MAULE_________154</t>
  </si>
  <si>
    <t>MAULE_________220</t>
  </si>
  <si>
    <t>MAYACA________013</t>
  </si>
  <si>
    <t>MAYACA</t>
  </si>
  <si>
    <t>MAYACA________110</t>
  </si>
  <si>
    <t>MEJILLONES____023</t>
  </si>
  <si>
    <t>MEJILLONES</t>
  </si>
  <si>
    <t>MEJILLONES____110</t>
  </si>
  <si>
    <t>MEJILLONES____220</t>
  </si>
  <si>
    <t>MELIPEUCO_____023</t>
  </si>
  <si>
    <t>MELIPEUCO_____110</t>
  </si>
  <si>
    <t>MELIPILLA_____013</t>
  </si>
  <si>
    <t>MELIPILLA</t>
  </si>
  <si>
    <t>MELIPILLA_____066</t>
  </si>
  <si>
    <t>MELIPILLA_____110</t>
  </si>
  <si>
    <t>MELIPULLI_____023</t>
  </si>
  <si>
    <t>MELIPULLI</t>
  </si>
  <si>
    <t>MELIPULLI_____066</t>
  </si>
  <si>
    <t>MELIPULLI_____110</t>
  </si>
  <si>
    <t>MELIPULLI_____220</t>
  </si>
  <si>
    <t>METRENCO______066</t>
  </si>
  <si>
    <t>METRO_________110</t>
  </si>
  <si>
    <t>MINERO________110</t>
  </si>
  <si>
    <t>MINERO</t>
  </si>
  <si>
    <t>MINERO________220</t>
  </si>
  <si>
    <t>MININCO_______220</t>
  </si>
  <si>
    <t>MIRAFLORES____013</t>
  </si>
  <si>
    <t>MIRAFLORES</t>
  </si>
  <si>
    <t>MIRAFLORES____110</t>
  </si>
  <si>
    <t>MIRAFLORES2___013</t>
  </si>
  <si>
    <t>MIRAJE________220</t>
  </si>
  <si>
    <t>MMH___________220</t>
  </si>
  <si>
    <t>MOCHO_________023</t>
  </si>
  <si>
    <t>MOCHO_________110</t>
  </si>
  <si>
    <t>MOLINA________013</t>
  </si>
  <si>
    <t>MOLINA</t>
  </si>
  <si>
    <t>MOLINA________066</t>
  </si>
  <si>
    <t>MOLINOS_______110</t>
  </si>
  <si>
    <t>MOLLES________066</t>
  </si>
  <si>
    <t>MOLYCOP_______220</t>
  </si>
  <si>
    <t>MONTENEGRO</t>
  </si>
  <si>
    <t>MONTERRICO____066</t>
  </si>
  <si>
    <t>MONTERRICO____154</t>
  </si>
  <si>
    <t>MULCHEN_______220</t>
  </si>
  <si>
    <t>N.CARDONES____220</t>
  </si>
  <si>
    <t>N.CARDONES____500</t>
  </si>
  <si>
    <t>N.MAITENCILLO_220</t>
  </si>
  <si>
    <t>N.MAITENCILLO_500</t>
  </si>
  <si>
    <t>N.P.AZUCAR____220</t>
  </si>
  <si>
    <t>N.P.AZUCAR____500</t>
  </si>
  <si>
    <t>N.PICHIRROPUL_066</t>
  </si>
  <si>
    <t>N.PICHIRROPUL_220</t>
  </si>
  <si>
    <t>N.POZOALMONTE_220</t>
  </si>
  <si>
    <t>N.VICTORIA____220</t>
  </si>
  <si>
    <t>N.VICTORIA</t>
  </si>
  <si>
    <t>N.ZALDIVAR____220</t>
  </si>
  <si>
    <t>NACIMIENTO____220</t>
  </si>
  <si>
    <t>NACIMIENTO</t>
  </si>
  <si>
    <t>NAHUELBUTA____013</t>
  </si>
  <si>
    <t>NAHUELBUTA</t>
  </si>
  <si>
    <t>NAHUELBUTA____023</t>
  </si>
  <si>
    <t>NAHUELBUTA____066</t>
  </si>
  <si>
    <t>NALCAS________023</t>
  </si>
  <si>
    <t>NALCAS</t>
  </si>
  <si>
    <t>NANCAGUA______013</t>
  </si>
  <si>
    <t>NANCAGUA</t>
  </si>
  <si>
    <t>NANCAGUA______066</t>
  </si>
  <si>
    <t>NECSA_________066</t>
  </si>
  <si>
    <t>NEGRA_________023</t>
  </si>
  <si>
    <t>NEGRA</t>
  </si>
  <si>
    <t>NEGRA_________110</t>
  </si>
  <si>
    <t>NEGRETE_______023</t>
  </si>
  <si>
    <t>NEGRETE</t>
  </si>
  <si>
    <t>NEGRETE_______066</t>
  </si>
  <si>
    <t>NEPTUNO_______220</t>
  </si>
  <si>
    <t>NIQUEN________066</t>
  </si>
  <si>
    <t>NIRIVILO______023</t>
  </si>
  <si>
    <t>NIRIVILO</t>
  </si>
  <si>
    <t>NIRIVILO______066</t>
  </si>
  <si>
    <t>NOGALES_______220</t>
  </si>
  <si>
    <t>NOGALES</t>
  </si>
  <si>
    <t>NORGENER______220</t>
  </si>
  <si>
    <t>NPANQUEHUE____013</t>
  </si>
  <si>
    <t>NPANQUEHUE</t>
  </si>
  <si>
    <t>NUEVA_CHUQUI__220</t>
  </si>
  <si>
    <t>NUEVA_GUINDO__066</t>
  </si>
  <si>
    <t>NUEVA_GUINDO__220</t>
  </si>
  <si>
    <t>NVA_P.MONTT___220</t>
  </si>
  <si>
    <t>OASIS_________220</t>
  </si>
  <si>
    <t>OCHAGAVIA_____012</t>
  </si>
  <si>
    <t>OCHAGAVIA_____110</t>
  </si>
  <si>
    <t>OESTE_________220</t>
  </si>
  <si>
    <t>OGP1__________220</t>
  </si>
  <si>
    <t>OHIGGINS______220</t>
  </si>
  <si>
    <t>OHIGGINS</t>
  </si>
  <si>
    <t>OSORNO________013</t>
  </si>
  <si>
    <t>OSORNO________066</t>
  </si>
  <si>
    <t>OVALLE________023</t>
  </si>
  <si>
    <t>OVALLE</t>
  </si>
  <si>
    <t>OVALLE________066</t>
  </si>
  <si>
    <t>OVALLE________110</t>
  </si>
  <si>
    <t>OXIDOS________110</t>
  </si>
  <si>
    <t>OXY___________154</t>
  </si>
  <si>
    <t>P.ALMONTE_____023</t>
  </si>
  <si>
    <t>P.ALMONTE</t>
  </si>
  <si>
    <t>P.ALMONTE_____066</t>
  </si>
  <si>
    <t>P.ALMONTE_____110</t>
  </si>
  <si>
    <t>P.ALMONTE_____220</t>
  </si>
  <si>
    <t>P.ALMONTE1____013</t>
  </si>
  <si>
    <t>P.ALMONTE2____013</t>
  </si>
  <si>
    <t>P.ALMONTE2</t>
  </si>
  <si>
    <t>P.ALTO________013</t>
  </si>
  <si>
    <t>P.ALTO</t>
  </si>
  <si>
    <t>P.ALTO________110</t>
  </si>
  <si>
    <t>P.ANCHA_______013</t>
  </si>
  <si>
    <t>P.ANCHA_______110</t>
  </si>
  <si>
    <t>P.AZUCAR______013</t>
  </si>
  <si>
    <t>P.AZUCAR</t>
  </si>
  <si>
    <t>P.AZUCAR______066</t>
  </si>
  <si>
    <t>P.AZUCAR______110</t>
  </si>
  <si>
    <t>P.AZUCAR______220</t>
  </si>
  <si>
    <t>P.COLORADA____220</t>
  </si>
  <si>
    <t>P.COLORADA</t>
  </si>
  <si>
    <t>P.CORTES______015</t>
  </si>
  <si>
    <t>P.CORTES______066</t>
  </si>
  <si>
    <t>P.CORTES1_____154</t>
  </si>
  <si>
    <t>P.CORTES2_____154</t>
  </si>
  <si>
    <t>P.HURTADO_____023</t>
  </si>
  <si>
    <t>P.HURTADO</t>
  </si>
  <si>
    <t>P.HURTADO_____110</t>
  </si>
  <si>
    <t>P.MONTT_______023</t>
  </si>
  <si>
    <t>P.MONTT</t>
  </si>
  <si>
    <t>P.MONTT_______220</t>
  </si>
  <si>
    <t>P.VARAS_______013</t>
  </si>
  <si>
    <t>P.VARAS_______066</t>
  </si>
  <si>
    <t>PACHACAMA_____044</t>
  </si>
  <si>
    <t>PACHACAMA1____110</t>
  </si>
  <si>
    <t>PACIFICO______013</t>
  </si>
  <si>
    <t>PACIFICO______110</t>
  </si>
  <si>
    <t>PAILLACO______013</t>
  </si>
  <si>
    <t>PAILLACO______066</t>
  </si>
  <si>
    <t>PAINE_________066</t>
  </si>
  <si>
    <t>PAINE_________154</t>
  </si>
  <si>
    <t>PAJARITOS_____013</t>
  </si>
  <si>
    <t>PAJARITOS</t>
  </si>
  <si>
    <t>PAJARITOS_____023</t>
  </si>
  <si>
    <t>PAJARITOS_____110</t>
  </si>
  <si>
    <t>PAJONAL_______023</t>
  </si>
  <si>
    <t>PAJONAL</t>
  </si>
  <si>
    <t>PAJONAL_______110</t>
  </si>
  <si>
    <t>PAJONALES</t>
  </si>
  <si>
    <t>PALAFITOS_____013</t>
  </si>
  <si>
    <t>PALAFITOS_____110</t>
  </si>
  <si>
    <t>PALESTINA_____220</t>
  </si>
  <si>
    <t>PALLATA_______220</t>
  </si>
  <si>
    <t>PALMAR________110</t>
  </si>
  <si>
    <t>PALMAR</t>
  </si>
  <si>
    <t>PALMUCHO______013</t>
  </si>
  <si>
    <t>PALMUCHO______066</t>
  </si>
  <si>
    <t>PALTO_________110</t>
  </si>
  <si>
    <t>PANAMERICANA__012</t>
  </si>
  <si>
    <t>PANGUE________013</t>
  </si>
  <si>
    <t>PANGUE________066</t>
  </si>
  <si>
    <t>PANGUE________220</t>
  </si>
  <si>
    <t>PANGUILEMO____013</t>
  </si>
  <si>
    <t>PANGUILEMO</t>
  </si>
  <si>
    <t>PANGUILEMO____066</t>
  </si>
  <si>
    <t>PANGUIPULLI___023</t>
  </si>
  <si>
    <t>PANGUIPULLI</t>
  </si>
  <si>
    <t>PANGUIPULLI___066</t>
  </si>
  <si>
    <t>PANIAHUE______013</t>
  </si>
  <si>
    <t>PANIAHUE</t>
  </si>
  <si>
    <t>PANIAHUE______066</t>
  </si>
  <si>
    <t>PANIMAVIDA____013</t>
  </si>
  <si>
    <t>PANIMAVIDA</t>
  </si>
  <si>
    <t>PANIMAVIDA____066</t>
  </si>
  <si>
    <t>PANQUEHUE_____013</t>
  </si>
  <si>
    <t>PANQUEHUE</t>
  </si>
  <si>
    <t>PANQUEHUE_____044</t>
  </si>
  <si>
    <t>PAPOSO________066</t>
  </si>
  <si>
    <t>PAPOSO________220</t>
  </si>
  <si>
    <t>PARGUA________023</t>
  </si>
  <si>
    <t>PARGUA________110</t>
  </si>
  <si>
    <t>PARGUA________220</t>
  </si>
  <si>
    <t>PARINACOTA____066</t>
  </si>
  <si>
    <t>PARINACOTA</t>
  </si>
  <si>
    <t>PARINACOTA____220</t>
  </si>
  <si>
    <t>PARRAL________013</t>
  </si>
  <si>
    <t>PARRAL</t>
  </si>
  <si>
    <t>PARRAL________066</t>
  </si>
  <si>
    <t>PARRAL________154</t>
  </si>
  <si>
    <t>PARRONAL______013</t>
  </si>
  <si>
    <t>PARRONAL</t>
  </si>
  <si>
    <t>PARRONAL______066</t>
  </si>
  <si>
    <t>PASO_HONDO____013</t>
  </si>
  <si>
    <t>PASO_HONDO</t>
  </si>
  <si>
    <t>PASO_HONDO____066</t>
  </si>
  <si>
    <t>PE_L_B.AIRES__066</t>
  </si>
  <si>
    <t>PE_RENAICO____220</t>
  </si>
  <si>
    <t>PEHUENCHE_____220</t>
  </si>
  <si>
    <t>PELEQUEN______013</t>
  </si>
  <si>
    <t>PELEQUEN</t>
  </si>
  <si>
    <t>PELEQUEN______066</t>
  </si>
  <si>
    <t>PENABLANCA____013</t>
  </si>
  <si>
    <t>PENABLANCA</t>
  </si>
  <si>
    <t>PENABLANCA____110</t>
  </si>
  <si>
    <t>PENCO_________013</t>
  </si>
  <si>
    <t>PENCO</t>
  </si>
  <si>
    <t>PENCO_________066</t>
  </si>
  <si>
    <t>PEQ___________220</t>
  </si>
  <si>
    <t>PERALES_______015</t>
  </si>
  <si>
    <t>PERALES_______066</t>
  </si>
  <si>
    <t>PETROPOWER____066</t>
  </si>
  <si>
    <t>PEUCHEN_______013</t>
  </si>
  <si>
    <t>PEUCHEN</t>
  </si>
  <si>
    <t>PEUCHEN_______220</t>
  </si>
  <si>
    <t>PICARTE_______013</t>
  </si>
  <si>
    <t>PICARTE_______066</t>
  </si>
  <si>
    <t>PICHIL________023</t>
  </si>
  <si>
    <t>PICHIL________066</t>
  </si>
  <si>
    <t>PICHIRRAHUE___220</t>
  </si>
  <si>
    <t>PICHIRROPULLI_013</t>
  </si>
  <si>
    <t>PICHIRROPULLI</t>
  </si>
  <si>
    <t>PICHIRROPULLI_066</t>
  </si>
  <si>
    <t>PICOLTUE______023</t>
  </si>
  <si>
    <t>PICOLTUE</t>
  </si>
  <si>
    <t>PIDPID________013</t>
  </si>
  <si>
    <t>PIDPID________110</t>
  </si>
  <si>
    <t>PIDUCO________013</t>
  </si>
  <si>
    <t>PIDUCO</t>
  </si>
  <si>
    <t>PIDUCO________066</t>
  </si>
  <si>
    <t>PILAUCO_______066</t>
  </si>
  <si>
    <t>PILLANLELBUN__013</t>
  </si>
  <si>
    <t>PILLANLELBUN__066</t>
  </si>
  <si>
    <t>PILMAIQUEN____013</t>
  </si>
  <si>
    <t>PILMAIQUEN</t>
  </si>
  <si>
    <t>PILMAIQUEN____066</t>
  </si>
  <si>
    <t>PINATAS_______013</t>
  </si>
  <si>
    <t>PINATAS_______066</t>
  </si>
  <si>
    <t>PIRQUE________013</t>
  </si>
  <si>
    <t>PIRQUE</t>
  </si>
  <si>
    <t>PIRQUE________110</t>
  </si>
  <si>
    <t>PITRUFQUEN____013</t>
  </si>
  <si>
    <t>PITRUFQUEN</t>
  </si>
  <si>
    <t>PITRUFQUEN____066</t>
  </si>
  <si>
    <t>PLACERES______013</t>
  </si>
  <si>
    <t>PLACERES</t>
  </si>
  <si>
    <t>PLACERES______110</t>
  </si>
  <si>
    <t>PLACILLA______013</t>
  </si>
  <si>
    <t>PLACILLA______066</t>
  </si>
  <si>
    <t>PLACILLA______110</t>
  </si>
  <si>
    <t>PLACILLA_S____013</t>
  </si>
  <si>
    <t>PLACILLA_S</t>
  </si>
  <si>
    <t>PLANTAS_______013</t>
  </si>
  <si>
    <t>PLANTAS</t>
  </si>
  <si>
    <t>PLANTAS_______110</t>
  </si>
  <si>
    <t>PLASCASAS_____013</t>
  </si>
  <si>
    <t>PLASCASAS_____066</t>
  </si>
  <si>
    <t>POLPAICO______023</t>
  </si>
  <si>
    <t>POLPAICO</t>
  </si>
  <si>
    <t>POLPAICO______220</t>
  </si>
  <si>
    <t>POLPAICO______500</t>
  </si>
  <si>
    <t>PORTEZUELO____023</t>
  </si>
  <si>
    <t>PORTEZUELO</t>
  </si>
  <si>
    <t>PORTEZUELO____066</t>
  </si>
  <si>
    <t>PORTEZUELO____110</t>
  </si>
  <si>
    <t>PPEUCO________110</t>
  </si>
  <si>
    <t>PPEUCO</t>
  </si>
  <si>
    <t>PSECO</t>
  </si>
  <si>
    <t>PTENEGRO______220</t>
  </si>
  <si>
    <t>PUCHOCO_______015</t>
  </si>
  <si>
    <t>PUCHOCO_______066</t>
  </si>
  <si>
    <t>PUCON_________013</t>
  </si>
  <si>
    <t>PUCON_________066</t>
  </si>
  <si>
    <t>PUDAHUEL______013</t>
  </si>
  <si>
    <t>PUDAHUEL______110</t>
  </si>
  <si>
    <t>PUEBLOSECO</t>
  </si>
  <si>
    <t>PUKARA________013</t>
  </si>
  <si>
    <t>PUKARA</t>
  </si>
  <si>
    <t>PUKARA________066</t>
  </si>
  <si>
    <t>PULLINQUE_____023</t>
  </si>
  <si>
    <t>PULLINQUE</t>
  </si>
  <si>
    <t>PULLINQUE_____066</t>
  </si>
  <si>
    <t>PUMAHUE_______013</t>
  </si>
  <si>
    <t>PUMAHUE_______066</t>
  </si>
  <si>
    <t>PUNITAQUI_____013</t>
  </si>
  <si>
    <t>PUNITAQUI</t>
  </si>
  <si>
    <t>PUNITAQUI_____066</t>
  </si>
  <si>
    <t>PUNITAQUI_____110</t>
  </si>
  <si>
    <t>PUNITAQUI2____013</t>
  </si>
  <si>
    <t>PUNTA_SIERRA__220</t>
  </si>
  <si>
    <t>PUQUILLAY_____066</t>
  </si>
  <si>
    <t>PURI__________220</t>
  </si>
  <si>
    <t>PURRANQUE_____013</t>
  </si>
  <si>
    <t>PURRANQUE_____066</t>
  </si>
  <si>
    <t>PVSALVADOR____110</t>
  </si>
  <si>
    <t>QTILCOCO______013</t>
  </si>
  <si>
    <t>QTILCOCO</t>
  </si>
  <si>
    <t>QTILCOCO______066</t>
  </si>
  <si>
    <t>QUELENTARO____013</t>
  </si>
  <si>
    <t>QUELENTARO</t>
  </si>
  <si>
    <t>QUELENTARO____110</t>
  </si>
  <si>
    <t>QUELENTARO____220</t>
  </si>
  <si>
    <t>QUELLON_______013</t>
  </si>
  <si>
    <t>QUELLON_______110</t>
  </si>
  <si>
    <t>QUELTEHUES____012</t>
  </si>
  <si>
    <t>QUELTEHUES____110</t>
  </si>
  <si>
    <t>QUEREO________023</t>
  </si>
  <si>
    <t>QUEREO</t>
  </si>
  <si>
    <t>QUEREO________110</t>
  </si>
  <si>
    <t>QUIANI________013</t>
  </si>
  <si>
    <t>QUIANI</t>
  </si>
  <si>
    <t>QUIANI________066</t>
  </si>
  <si>
    <t>QUILAPILUN____220</t>
  </si>
  <si>
    <t>QUILICURA_____013</t>
  </si>
  <si>
    <t>QUILICURA_____023</t>
  </si>
  <si>
    <t>QUILICURA_____110</t>
  </si>
  <si>
    <t>QUILLECO______013</t>
  </si>
  <si>
    <t>QUILLECO______220</t>
  </si>
  <si>
    <t>QUILLOTA______110</t>
  </si>
  <si>
    <t>QUILLOTA</t>
  </si>
  <si>
    <t>QUILLOTA______220</t>
  </si>
  <si>
    <t>QUILMO________033</t>
  </si>
  <si>
    <t>QUILMO</t>
  </si>
  <si>
    <t>QUILMO________066</t>
  </si>
  <si>
    <t>QUILPUE_______013</t>
  </si>
  <si>
    <t>QUILPUE</t>
  </si>
  <si>
    <t>QUILPUE_______110</t>
  </si>
  <si>
    <t>QUINAHUE______066</t>
  </si>
  <si>
    <t>QUINENCO______154</t>
  </si>
  <si>
    <t>QUINQUIMO_____023</t>
  </si>
  <si>
    <t>QUINQUIMO</t>
  </si>
  <si>
    <t>QUINQUIMO_____110</t>
  </si>
  <si>
    <t>QUINQUIMO2____110</t>
  </si>
  <si>
    <t>QUINTA________013</t>
  </si>
  <si>
    <t>QUINTA</t>
  </si>
  <si>
    <t>QUINTA________066</t>
  </si>
  <si>
    <t>QUINTAY_______013</t>
  </si>
  <si>
    <t>QUINTAY_______066</t>
  </si>
  <si>
    <t>QUINTERO______013</t>
  </si>
  <si>
    <t>QUINTERO</t>
  </si>
  <si>
    <t>QUINTERO______110</t>
  </si>
  <si>
    <t>QUINTERO______220</t>
  </si>
  <si>
    <t>QUIRIHUE______013</t>
  </si>
  <si>
    <t>QUIRIHUE</t>
  </si>
  <si>
    <t>QUIRIHUE______023</t>
  </si>
  <si>
    <t>QUIRIHUE______033</t>
  </si>
  <si>
    <t>R.BONITO______023</t>
  </si>
  <si>
    <t>R.BONITO</t>
  </si>
  <si>
    <t>R.BONITO______110</t>
  </si>
  <si>
    <t>R.NEGRO_______023</t>
  </si>
  <si>
    <t>R.NEGRO_______066</t>
  </si>
  <si>
    <t>R.TOMIC_______220</t>
  </si>
  <si>
    <t>RACONCAGUA____110</t>
  </si>
  <si>
    <t>RACONCAGUA____220</t>
  </si>
  <si>
    <t>RAHUE_________220</t>
  </si>
  <si>
    <t>RAHUE</t>
  </si>
  <si>
    <t>RALCO_________013</t>
  </si>
  <si>
    <t>RALCO_________220</t>
  </si>
  <si>
    <t>RANCAGUA______154</t>
  </si>
  <si>
    <t>RANCAGUA1_____066</t>
  </si>
  <si>
    <t>RANCAGUA2_____066</t>
  </si>
  <si>
    <t>RANGUILI______013</t>
  </si>
  <si>
    <t>RANGUILI</t>
  </si>
  <si>
    <t>RANGUILI______066</t>
  </si>
  <si>
    <t>RAPEL_________066</t>
  </si>
  <si>
    <t>RAPEL</t>
  </si>
  <si>
    <t>RAPEL_________220</t>
  </si>
  <si>
    <t>RAUQUEN_______013</t>
  </si>
  <si>
    <t>RAUQUEN</t>
  </si>
  <si>
    <t>RAUQUEN_______066</t>
  </si>
  <si>
    <t>RECINTO_______013</t>
  </si>
  <si>
    <t>RECINTO_______033</t>
  </si>
  <si>
    <t>RECOLETA______013</t>
  </si>
  <si>
    <t>RECOLETA______110</t>
  </si>
  <si>
    <t>REMEHUE_______066</t>
  </si>
  <si>
    <t>RENACA________013</t>
  </si>
  <si>
    <t>RENACA________110</t>
  </si>
  <si>
    <t>RENAICO_______066</t>
  </si>
  <si>
    <t>RENCA_________110</t>
  </si>
  <si>
    <t>RENGO_________013</t>
  </si>
  <si>
    <t>RENGO</t>
  </si>
  <si>
    <t>RENGO_________066</t>
  </si>
  <si>
    <t>RETIRO________013</t>
  </si>
  <si>
    <t>RETIRO</t>
  </si>
  <si>
    <t>RETIRO________066</t>
  </si>
  <si>
    <t>RIECILLOS_____044</t>
  </si>
  <si>
    <t>RIO_BLANCO____013</t>
  </si>
  <si>
    <t>RIO_BLANCO____044</t>
  </si>
  <si>
    <t>RIO_SALADO____110</t>
  </si>
  <si>
    <t>RIOTOLTEN_____110</t>
  </si>
  <si>
    <t>ROMERAL_______110</t>
  </si>
  <si>
    <t>ROSARIO_______013</t>
  </si>
  <si>
    <t>ROSARIO</t>
  </si>
  <si>
    <t>ROSARIO_______066</t>
  </si>
  <si>
    <t>RRAPEL________066</t>
  </si>
  <si>
    <t>RUCUE_________013</t>
  </si>
  <si>
    <t>RUCUE_________023</t>
  </si>
  <si>
    <t>RUCUE_________220</t>
  </si>
  <si>
    <t>RUNGUE________023</t>
  </si>
  <si>
    <t>RUNGUE</t>
  </si>
  <si>
    <t>RUNGUE________044</t>
  </si>
  <si>
    <t>S.ANDRES______220</t>
  </si>
  <si>
    <t>S.ANTONIO_____013</t>
  </si>
  <si>
    <t>S.ANTONIO</t>
  </si>
  <si>
    <t>S.ANTONIO_____066</t>
  </si>
  <si>
    <t>S.ANTONIO_____110</t>
  </si>
  <si>
    <t>S.CARLOS______013</t>
  </si>
  <si>
    <t>S.CARLOS</t>
  </si>
  <si>
    <t>S.CARLOS______066</t>
  </si>
  <si>
    <t>S.F.MOSTAZAL__013</t>
  </si>
  <si>
    <t>S.F.MOSTAZAL</t>
  </si>
  <si>
    <t>S.F.MOSTAZAL__066</t>
  </si>
  <si>
    <t>S.FELIPE______013</t>
  </si>
  <si>
    <t>S.FELIPE</t>
  </si>
  <si>
    <t>S.FELIPE______044</t>
  </si>
  <si>
    <t>S.FELIPE______110</t>
  </si>
  <si>
    <t>S.FERNANDO____015</t>
  </si>
  <si>
    <t>S.FERNANDO____066</t>
  </si>
  <si>
    <t>S.FERNANDO____154</t>
  </si>
  <si>
    <t>S.GORDA_______220</t>
  </si>
  <si>
    <t>S.GREGORIO____013</t>
  </si>
  <si>
    <t>S.GREGORIO</t>
  </si>
  <si>
    <t>S.GREGORIO____066</t>
  </si>
  <si>
    <t>S.JAVIER______023</t>
  </si>
  <si>
    <t>S.JAVIER</t>
  </si>
  <si>
    <t>S.JAVIER______066</t>
  </si>
  <si>
    <t>S.JERONIMO____013</t>
  </si>
  <si>
    <t>S.JERONIMO</t>
  </si>
  <si>
    <t>S.JERONIMO____066</t>
  </si>
  <si>
    <t>S.JOAQUIN_____015</t>
  </si>
  <si>
    <t>S.JOAQUIN_____110</t>
  </si>
  <si>
    <t>S.LUIS________220</t>
  </si>
  <si>
    <t>S.LUIS2_______220</t>
  </si>
  <si>
    <t>S.MIGUEL______013</t>
  </si>
  <si>
    <t>S.MIGUEL</t>
  </si>
  <si>
    <t>S.MIGUEL______066</t>
  </si>
  <si>
    <t>S.P.PAPELES___066</t>
  </si>
  <si>
    <t>S.PEDRO_______013</t>
  </si>
  <si>
    <t>S.PEDRO</t>
  </si>
  <si>
    <t>S.PEDRO_______110</t>
  </si>
  <si>
    <t>S.RAFAEL______013</t>
  </si>
  <si>
    <t>S.RAFAEL</t>
  </si>
  <si>
    <t>S.RAFAEL______044</t>
  </si>
  <si>
    <t>S.RAFAEL______066</t>
  </si>
  <si>
    <t>S.RAFAEL______110</t>
  </si>
  <si>
    <t>S.RAFAEL_S____013</t>
  </si>
  <si>
    <t>S.RAFAEL_S</t>
  </si>
  <si>
    <t>S.SEBASTIAN___013</t>
  </si>
  <si>
    <t>S.SEBASTIAN___066</t>
  </si>
  <si>
    <t>S.SIMON_______220</t>
  </si>
  <si>
    <t>S.VICENTE_____013</t>
  </si>
  <si>
    <t>S.VICENTE_____066</t>
  </si>
  <si>
    <t>S.VICENTE_____154</t>
  </si>
  <si>
    <t>S.VICENTETT___013</t>
  </si>
  <si>
    <t>S.VICENTETT</t>
  </si>
  <si>
    <t>S.VICENTETT___066</t>
  </si>
  <si>
    <t>SALADILLO_____066</t>
  </si>
  <si>
    <t>SALAMANCA_____023</t>
  </si>
  <si>
    <t>SALAMANCA</t>
  </si>
  <si>
    <t>SALAMANCA_____110</t>
  </si>
  <si>
    <t>SALAR_________110</t>
  </si>
  <si>
    <t>SALAR_________220</t>
  </si>
  <si>
    <t>SALARCHUQAUX__220</t>
  </si>
  <si>
    <t>SAN_BERNARDO__013</t>
  </si>
  <si>
    <t>SAN_BERNARDO__110</t>
  </si>
  <si>
    <t>SAN_CLEMENTE__013</t>
  </si>
  <si>
    <t>SAN_CLEMENTE</t>
  </si>
  <si>
    <t>SAN_CLEMENTE__066</t>
  </si>
  <si>
    <t>SAN_CRISTOBAL_012</t>
  </si>
  <si>
    <t>SAN_CRISTOBAL_110</t>
  </si>
  <si>
    <t>SAN_FRANCISCO_220</t>
  </si>
  <si>
    <t>SAN_JOAQUIN___013</t>
  </si>
  <si>
    <t>SAN_JOAQUIN___110</t>
  </si>
  <si>
    <t>SAN_JOSE______013</t>
  </si>
  <si>
    <t>SAN_JOSE______110</t>
  </si>
  <si>
    <t>SAN_JUAN______013</t>
  </si>
  <si>
    <t>SAN_JUAN______066</t>
  </si>
  <si>
    <t>SAN_PABLO_____013</t>
  </si>
  <si>
    <t>SAN_PABLO_____110</t>
  </si>
  <si>
    <t>SANGRA________023</t>
  </si>
  <si>
    <t>SANGRA________066</t>
  </si>
  <si>
    <t>SANPEDRO______013</t>
  </si>
  <si>
    <t>SANPEDRO______066</t>
  </si>
  <si>
    <t>SANPEDROEOL___110</t>
  </si>
  <si>
    <t>SANT_SOLAR____110</t>
  </si>
  <si>
    <t>SANTA_BARBARA_013</t>
  </si>
  <si>
    <t>SANTA_BARBARA</t>
  </si>
  <si>
    <t>SANTA_BARBARA_066</t>
  </si>
  <si>
    <t>SANTA_ELENA___013</t>
  </si>
  <si>
    <t>SANTA_ELENA___110</t>
  </si>
  <si>
    <t>SANTA_MARTA___013</t>
  </si>
  <si>
    <t>SANTA_MARTA</t>
  </si>
  <si>
    <t>SANTA_MARTA___023</t>
  </si>
  <si>
    <t>SANTA_MARTA___110</t>
  </si>
  <si>
    <t>SANTA_RAQUEL__013</t>
  </si>
  <si>
    <t>SANTA_RAQUEL__110</t>
  </si>
  <si>
    <t>SANTA_ROSA_S__013</t>
  </si>
  <si>
    <t>SANTA_ROSA_S__110</t>
  </si>
  <si>
    <t>SANTACLARA____066</t>
  </si>
  <si>
    <t>SANTACRUZ_____066</t>
  </si>
  <si>
    <t>SARCO_________220</t>
  </si>
  <si>
    <t>SAUZAL________013</t>
  </si>
  <si>
    <t>SAUZAL________154</t>
  </si>
  <si>
    <t>SAUZAL1_______110</t>
  </si>
  <si>
    <t>SAUZAL2_______110</t>
  </si>
  <si>
    <t>SAUZALITO_____013</t>
  </si>
  <si>
    <t>SOLARJAMA_____220</t>
  </si>
  <si>
    <t>STA.ELISA_____023</t>
  </si>
  <si>
    <t>STA.ELISA</t>
  </si>
  <si>
    <t>STA.ELISA_____033</t>
  </si>
  <si>
    <t>STA.ELVIRA____013</t>
  </si>
  <si>
    <t>STA.ELVIRA</t>
  </si>
  <si>
    <t>STA.ELVIRA____066</t>
  </si>
  <si>
    <t>STA.LUISA_____154</t>
  </si>
  <si>
    <t>STA.ROSA______023</t>
  </si>
  <si>
    <t>STA.ROSA</t>
  </si>
  <si>
    <t>STA.ROSA______066</t>
  </si>
  <si>
    <t>STA_ISABEL____220</t>
  </si>
  <si>
    <t>STA_RAQUEL____020</t>
  </si>
  <si>
    <t>SULFUROS______220</t>
  </si>
  <si>
    <t>SUR___________013</t>
  </si>
  <si>
    <t>SUR___________110</t>
  </si>
  <si>
    <t>T.A.MELIP_____110</t>
  </si>
  <si>
    <t>T.AMARILLA____023</t>
  </si>
  <si>
    <t>T.AMARILLA</t>
  </si>
  <si>
    <t>T.AMARILLA____110</t>
  </si>
  <si>
    <t>T.BOCAS_______066</t>
  </si>
  <si>
    <t>T.LLANBLANCOS_220</t>
  </si>
  <si>
    <t>T.NIHUE_______066</t>
  </si>
  <si>
    <t>T.PINOS_______013</t>
  </si>
  <si>
    <t>T.PINOS_______066</t>
  </si>
  <si>
    <t>T.SEBASTIAN___066</t>
  </si>
  <si>
    <t>T_ALTAMIRANO__110</t>
  </si>
  <si>
    <t>T_L_DOMINICOS_110</t>
  </si>
  <si>
    <t>T_LA_CISTERNA_110</t>
  </si>
  <si>
    <t>T_LO_VALLEDOR_110</t>
  </si>
  <si>
    <t>T_S_BERNARDO__110</t>
  </si>
  <si>
    <t>T_STA_ELENA___110</t>
  </si>
  <si>
    <t>T_STA_RAQUEL__110</t>
  </si>
  <si>
    <t>TA.HOSPICIO___110</t>
  </si>
  <si>
    <t>TALCA_________013</t>
  </si>
  <si>
    <t>TALCA</t>
  </si>
  <si>
    <t>TALCA1________066</t>
  </si>
  <si>
    <t>TALCA2________066</t>
  </si>
  <si>
    <t>TALCAHUANO____013</t>
  </si>
  <si>
    <t>TALCAHUANO____066</t>
  </si>
  <si>
    <t>TALCAHUANO____154</t>
  </si>
  <si>
    <t>TALTAL________013</t>
  </si>
  <si>
    <t>TALTAL________110</t>
  </si>
  <si>
    <t>TAMARUGAL_____023</t>
  </si>
  <si>
    <t>TAMARUGAL</t>
  </si>
  <si>
    <t>TAMARUGAL_____066</t>
  </si>
  <si>
    <t>TAP.CONCON____110</t>
  </si>
  <si>
    <t>TAP.ELEDEN____110</t>
  </si>
  <si>
    <t>TAP.MANZANO___066</t>
  </si>
  <si>
    <t>TAP.QUINTAY___066</t>
  </si>
  <si>
    <t>TAP.RENACA____110</t>
  </si>
  <si>
    <t>TAP_BICENTENA_110</t>
  </si>
  <si>
    <t>TAP_BUIN______110</t>
  </si>
  <si>
    <t>TAP_BUREO_____220</t>
  </si>
  <si>
    <t>TAP_C_HIPICO__110</t>
  </si>
  <si>
    <t>TAP_CALEU_____044</t>
  </si>
  <si>
    <t>TAP_CARRASCAL_110</t>
  </si>
  <si>
    <t>TAP_CHACABUCO_110</t>
  </si>
  <si>
    <t>TAP_CHAGRES___110</t>
  </si>
  <si>
    <t>TAP_CHANARES__110</t>
  </si>
  <si>
    <t>TAP_CHICUREO__220</t>
  </si>
  <si>
    <t>TAP_DUQUECO___066</t>
  </si>
  <si>
    <t>TAP_EL_MAITEN_066</t>
  </si>
  <si>
    <t>TAP_EL_MAITEN</t>
  </si>
  <si>
    <t>TAP_ENTEL_____044</t>
  </si>
  <si>
    <t>TAP_FOPACO____154</t>
  </si>
  <si>
    <t>TAP_HIERROS2__110</t>
  </si>
  <si>
    <t>TAP_HOSPITAL__066</t>
  </si>
  <si>
    <t>TAP_LA_DEHESA_110</t>
  </si>
  <si>
    <t>TAP_LA_PALOMA_066</t>
  </si>
  <si>
    <t>TAP_LA_REINA__110</t>
  </si>
  <si>
    <t>TAP_LO_BOZA___110</t>
  </si>
  <si>
    <t>TAP_LOMA_ALTA_220</t>
  </si>
  <si>
    <t>TAP_MACUL_____110</t>
  </si>
  <si>
    <t>TAP_P.HONDO___066</t>
  </si>
  <si>
    <t>TAP_PAJARITOS_110</t>
  </si>
  <si>
    <t>TAP_PALACIOS__023</t>
  </si>
  <si>
    <t>TAP_PALACIOS</t>
  </si>
  <si>
    <t>TAP_POLPAICO__066</t>
  </si>
  <si>
    <t>TAP_PULELFU___066</t>
  </si>
  <si>
    <t>TAP_PUTAGAN___066</t>
  </si>
  <si>
    <t>TAP_QUILICURA_110</t>
  </si>
  <si>
    <t>TAP_RCOLORADO_066</t>
  </si>
  <si>
    <t>TAP_RECOLETA__110</t>
  </si>
  <si>
    <t>TAP_RIOHUASCO_110</t>
  </si>
  <si>
    <t>TAP_RIOHUASCO</t>
  </si>
  <si>
    <t>TAP_RIOTOLTEN_220</t>
  </si>
  <si>
    <t>TAP_ROSAL_____220</t>
  </si>
  <si>
    <t>TAP_S.RAFAEL__066</t>
  </si>
  <si>
    <t>TAP_SAN_JOSE__110</t>
  </si>
  <si>
    <t>TAP_STA_MARTA_110</t>
  </si>
  <si>
    <t>TAP_STA_MARTA_220</t>
  </si>
  <si>
    <t>TAP_TALINAY___220</t>
  </si>
  <si>
    <t>TAP_TRUPAN____220</t>
  </si>
  <si>
    <t>TAP_VICTORIA__066</t>
  </si>
  <si>
    <t>TAP_VITACURA__110</t>
  </si>
  <si>
    <t>TAP1_MAQUIS___110</t>
  </si>
  <si>
    <t>TAP2_MAQUIS___110</t>
  </si>
  <si>
    <t>TAPIMPULSO____110</t>
  </si>
  <si>
    <t>TAPLOA________220</t>
  </si>
  <si>
    <t>TAPMREDON_____220</t>
  </si>
  <si>
    <t>TAPNEVADO_____066</t>
  </si>
  <si>
    <t>TAPS.FELIPE___110</t>
  </si>
  <si>
    <t>TAPS.RAFAEL___110</t>
  </si>
  <si>
    <t>TAPTALTAL1____220</t>
  </si>
  <si>
    <t>TAPTALTAL2____220</t>
  </si>
  <si>
    <t>TARAPACA______220</t>
  </si>
  <si>
    <t>TARAPACA</t>
  </si>
  <si>
    <t>TBARRILES_____220</t>
  </si>
  <si>
    <t>TCAPRICORNIO__220</t>
  </si>
  <si>
    <t>TCERROBALCON__110</t>
  </si>
  <si>
    <t>TCHITACK______220</t>
  </si>
  <si>
    <t>TCHIZA________110</t>
  </si>
  <si>
    <t>TCUYA_________013</t>
  </si>
  <si>
    <t>TCUYA_________110</t>
  </si>
  <si>
    <t>TEMUCO________013</t>
  </si>
  <si>
    <t>TEMUCO</t>
  </si>
  <si>
    <t>TEMUCO________023</t>
  </si>
  <si>
    <t>TEMUCO________066</t>
  </si>
  <si>
    <t>TEMUCO________220</t>
  </si>
  <si>
    <t>TEN___________220</t>
  </si>
  <si>
    <t>TENO__________013</t>
  </si>
  <si>
    <t>TENO</t>
  </si>
  <si>
    <t>TENO__________066</t>
  </si>
  <si>
    <t>TENO__________154</t>
  </si>
  <si>
    <t>TENO1_________154</t>
  </si>
  <si>
    <t>TENO2_________154</t>
  </si>
  <si>
    <t>TESORO________023</t>
  </si>
  <si>
    <t>TESORO</t>
  </si>
  <si>
    <t>TESORO________220</t>
  </si>
  <si>
    <t>TIGRE_________220</t>
  </si>
  <si>
    <t>TILCOCO1______154</t>
  </si>
  <si>
    <t>TILCOCO2______154</t>
  </si>
  <si>
    <t>TILOS_BULNES__013</t>
  </si>
  <si>
    <t>TILOS_BULNES</t>
  </si>
  <si>
    <t>TILOS_BULNES__066</t>
  </si>
  <si>
    <t>TINGUIRIRICA__154</t>
  </si>
  <si>
    <t>TINGUIRIRICA__220</t>
  </si>
  <si>
    <t>TLIBERTADORES_110</t>
  </si>
  <si>
    <t>TMALPASO______110</t>
  </si>
  <si>
    <t>TMELON________012</t>
  </si>
  <si>
    <t>TMELON________044</t>
  </si>
  <si>
    <t>TNVICTORIA____220</t>
  </si>
  <si>
    <t>TOCOPILLA_____005</t>
  </si>
  <si>
    <t>TOCOPILLA_____110</t>
  </si>
  <si>
    <t>TOCOPILLA_____220</t>
  </si>
  <si>
    <t>TOESTE________220</t>
  </si>
  <si>
    <t>TOFF.DESALANT_110</t>
  </si>
  <si>
    <t>TOFF.DOLORES__023</t>
  </si>
  <si>
    <t>TOFF.DOLORES__110</t>
  </si>
  <si>
    <t>TOFF.QUIANI___066</t>
  </si>
  <si>
    <t>TOFF.QUILLA___220</t>
  </si>
  <si>
    <t>TOME__________023</t>
  </si>
  <si>
    <t>TOME__________066</t>
  </si>
  <si>
    <t>TORQUEMADA____110</t>
  </si>
  <si>
    <t>TOTORAL_______012</t>
  </si>
  <si>
    <t>TOTORAL</t>
  </si>
  <si>
    <t>TOTORAL_______066</t>
  </si>
  <si>
    <t>TOTORALICMP___220</t>
  </si>
  <si>
    <t>TOTORALILLO___110</t>
  </si>
  <si>
    <t>TRAIGUEN______013</t>
  </si>
  <si>
    <t>TRAIGUEN______066</t>
  </si>
  <si>
    <t>TRESESQUINAS__013</t>
  </si>
  <si>
    <t>TRESESQUINAS</t>
  </si>
  <si>
    <t>TRESESQUINAS__066</t>
  </si>
  <si>
    <t>TTAMARUGAL____066</t>
  </si>
  <si>
    <t>TUMBES________015</t>
  </si>
  <si>
    <t>TUMBES________066</t>
  </si>
  <si>
    <t>TUNICHE_______015</t>
  </si>
  <si>
    <t>TUNICHE</t>
  </si>
  <si>
    <t>TUNICHE_______066</t>
  </si>
  <si>
    <t>TUNICHE1______154</t>
  </si>
  <si>
    <t>TUNICHE2______154</t>
  </si>
  <si>
    <t>TURIBE________110</t>
  </si>
  <si>
    <t>TVITOR________023</t>
  </si>
  <si>
    <t>TVITOR</t>
  </si>
  <si>
    <t>TVITOR________110</t>
  </si>
  <si>
    <t>TVITOR2_______110</t>
  </si>
  <si>
    <t>URIBE_________023</t>
  </si>
  <si>
    <t>URIBE</t>
  </si>
  <si>
    <t>URIBE_________110</t>
  </si>
  <si>
    <t>V.ALEGRE______013</t>
  </si>
  <si>
    <t>V.ALEGRE</t>
  </si>
  <si>
    <t>V.ALEGRE______066</t>
  </si>
  <si>
    <t>V.PRAT________013</t>
  </si>
  <si>
    <t>V.PRAT</t>
  </si>
  <si>
    <t>V.PRAT________066</t>
  </si>
  <si>
    <t>VALDIVIA______013</t>
  </si>
  <si>
    <t>VALDIVIA</t>
  </si>
  <si>
    <t>VALDIVIA______066</t>
  </si>
  <si>
    <t>VALDIVIA______220</t>
  </si>
  <si>
    <t>VALLE_ESC_____220</t>
  </si>
  <si>
    <t>VALLENAR______013</t>
  </si>
  <si>
    <t>VALLENAR</t>
  </si>
  <si>
    <t>VALLENAR______110</t>
  </si>
  <si>
    <t>VALPARAISO____013</t>
  </si>
  <si>
    <t>VALPARAISO____110</t>
  </si>
  <si>
    <t>VENTANAS______110</t>
  </si>
  <si>
    <t>VENTANAS______220</t>
  </si>
  <si>
    <t>VICTORIA______013</t>
  </si>
  <si>
    <t>VICTORIA______066</t>
  </si>
  <si>
    <t>VICUNA________023</t>
  </si>
  <si>
    <t>VICUNA</t>
  </si>
  <si>
    <t>VICUNA________110</t>
  </si>
  <si>
    <t>VILLARRICA____013</t>
  </si>
  <si>
    <t>VILLARRICA____066</t>
  </si>
  <si>
    <t>VITACURA______013</t>
  </si>
  <si>
    <t>VITACURA______110</t>
  </si>
  <si>
    <t>Y.BUENAS______013</t>
  </si>
  <si>
    <t>Y.BUENAS</t>
  </si>
  <si>
    <t>Y.BUENAS______154</t>
  </si>
  <si>
    <t>ZALDIVAR______220</t>
  </si>
  <si>
    <t>ZONA_CAIDA____066</t>
  </si>
  <si>
    <t>ZONA_CAIDA____220</t>
  </si>
  <si>
    <t>DECRETO/RESOLUCION</t>
  </si>
  <si>
    <t>Precio Base de la Energia [$/kWh]</t>
  </si>
  <si>
    <t>Vigencia</t>
  </si>
  <si>
    <t>Periodo</t>
  </si>
  <si>
    <t>Barra Decreto</t>
  </si>
  <si>
    <t>Tensión Decreto</t>
  </si>
  <si>
    <t>Precio</t>
  </si>
  <si>
    <t>Barra Balance</t>
  </si>
  <si>
    <t>Tensión Balance</t>
  </si>
  <si>
    <t>Decreto</t>
  </si>
  <si>
    <t>Indexación</t>
  </si>
  <si>
    <t>Fecha Inicio Vigencia</t>
  </si>
  <si>
    <t>Fecha Fin Vigencia</t>
  </si>
  <si>
    <t>Clasificación</t>
  </si>
  <si>
    <t>Versión</t>
  </si>
  <si>
    <t>Tension [kV]</t>
  </si>
  <si>
    <t xml:space="preserve">Subestaciones del Sistema de Transmisión Nacional </t>
  </si>
  <si>
    <t>Barra decreto</t>
  </si>
  <si>
    <t>Tensión decreto</t>
  </si>
  <si>
    <t>Gap</t>
  </si>
  <si>
    <t>Bloque horario</t>
  </si>
  <si>
    <t>Version</t>
  </si>
  <si>
    <t>00:00:00 - 03:59:00</t>
  </si>
  <si>
    <t>04:00:00 - 07:59:00</t>
  </si>
  <si>
    <t>08:00:00 - 11:59:00</t>
  </si>
  <si>
    <t>12:00:00 - 15:59:00</t>
  </si>
  <si>
    <t>16:00:00 - 19:59:00</t>
  </si>
  <si>
    <t>20:00:00 - 23:59:00</t>
  </si>
  <si>
    <t>Barra</t>
  </si>
  <si>
    <t>Tensión</t>
  </si>
  <si>
    <t>Precio Valorizado</t>
  </si>
  <si>
    <t>Nudo</t>
  </si>
  <si>
    <t>aux</t>
  </si>
  <si>
    <t>Factor</t>
  </si>
  <si>
    <t>Fecha Inicio vigencia</t>
  </si>
  <si>
    <t>Fecha Fin vigencia</t>
  </si>
  <si>
    <t>rep</t>
  </si>
  <si>
    <t>A.CLARAS______004</t>
  </si>
  <si>
    <t>A.CLARAS______014</t>
  </si>
  <si>
    <t>A.JAHUEL2_____220</t>
  </si>
  <si>
    <t>AG.BLANCAS____220</t>
  </si>
  <si>
    <t>AGUILA________013</t>
  </si>
  <si>
    <t>ANCOA_________066</t>
  </si>
  <si>
    <t>ANDES_SNG_____023</t>
  </si>
  <si>
    <t>ANDESGX_______010</t>
  </si>
  <si>
    <t>ANDESGX_______110</t>
  </si>
  <si>
    <t>ANTUCO________013</t>
  </si>
  <si>
    <t>ANTUCOYA______023</t>
  </si>
  <si>
    <t>ARRIERO_______033</t>
  </si>
  <si>
    <t>B.BLANCO______220</t>
  </si>
  <si>
    <t>BARRILES______220</t>
  </si>
  <si>
    <t>BOLERO________220</t>
  </si>
  <si>
    <t>C.ARAUCO______066</t>
  </si>
  <si>
    <t>C.CHENA2______220</t>
  </si>
  <si>
    <t>C.CORRENTOSO__013</t>
  </si>
  <si>
    <t>C.PABELLON____220</t>
  </si>
  <si>
    <t>C.PALMAR______013</t>
  </si>
  <si>
    <t>CABRERO_______023</t>
  </si>
  <si>
    <t>CANDELARIA2___220</t>
  </si>
  <si>
    <t>CAREBAJO______023</t>
  </si>
  <si>
    <t>CD.IQUIQUE____013</t>
  </si>
  <si>
    <t>CD.IQUIQUE____066</t>
  </si>
  <si>
    <t>CERROCOLORADO_110</t>
  </si>
  <si>
    <t>CHAGRES_______044</t>
  </si>
  <si>
    <t>CHIBURGO______066</t>
  </si>
  <si>
    <t>CHOMECO_______220</t>
  </si>
  <si>
    <t>CIPRESES______013</t>
  </si>
  <si>
    <t>COLACO________066</t>
  </si>
  <si>
    <t>COLBUN________066</t>
  </si>
  <si>
    <t>COLBUN2_______220</t>
  </si>
  <si>
    <t>COLCURA_______015</t>
  </si>
  <si>
    <t>COMASA________066</t>
  </si>
  <si>
    <t>CONCEPCION____013</t>
  </si>
  <si>
    <t>COPIHUES______066</t>
  </si>
  <si>
    <t>CRUCEROSALAUX_220</t>
  </si>
  <si>
    <t>D.ALMAGRO1____220</t>
  </si>
  <si>
    <t>DOSVALLES_____023</t>
  </si>
  <si>
    <t>EL_PASO_______154</t>
  </si>
  <si>
    <t>ELRODEO_______220</t>
  </si>
  <si>
    <t>EMELDA________011</t>
  </si>
  <si>
    <t>EMELDA________110</t>
  </si>
  <si>
    <t>ENACAR________013</t>
  </si>
  <si>
    <t>ENAEX_________110</t>
  </si>
  <si>
    <t>ESPERANZA_SNG_023</t>
  </si>
  <si>
    <t>ETENO_________154</t>
  </si>
  <si>
    <t>FOPACO________015</t>
  </si>
  <si>
    <t>FORTUNA_______220</t>
  </si>
  <si>
    <t>GABY__________220</t>
  </si>
  <si>
    <t>IQUIQUE_______013</t>
  </si>
  <si>
    <t>IQUIQUE_______066</t>
  </si>
  <si>
    <t>L.BAYAS_______220</t>
  </si>
  <si>
    <t>L.CONFLUENCIA_154</t>
  </si>
  <si>
    <t>L.HIGUERA_____154</t>
  </si>
  <si>
    <t>L.LAJA_COYA___023</t>
  </si>
  <si>
    <t>L.LAJA_COYA___110</t>
  </si>
  <si>
    <t>L.MAQUIS______066</t>
  </si>
  <si>
    <t>L.NEGROS______013</t>
  </si>
  <si>
    <t>L.NEGROS______066</t>
  </si>
  <si>
    <t>L.VILOS_______110</t>
  </si>
  <si>
    <t>LAHUAYCA2_____023</t>
  </si>
  <si>
    <t>LAJA1_________220</t>
  </si>
  <si>
    <t>LANGELES______012</t>
  </si>
  <si>
    <t>LANGELES______044</t>
  </si>
  <si>
    <t>LCOLKDM_______023</t>
  </si>
  <si>
    <t>LCOLKDM_______110</t>
  </si>
  <si>
    <t>LIRCAY________066</t>
  </si>
  <si>
    <t>LLOLLELHUE_____66</t>
  </si>
  <si>
    <t>LOA___________023</t>
  </si>
  <si>
    <t>LSECA_________220</t>
  </si>
  <si>
    <t>M.ELENA_______023</t>
  </si>
  <si>
    <t>M.PATRIA______023</t>
  </si>
  <si>
    <t>M.V.CEN.______004</t>
  </si>
  <si>
    <t>MAMPIL________013</t>
  </si>
  <si>
    <t>MANQUEHUE_____066</t>
  </si>
  <si>
    <t>MEDELLIN______023</t>
  </si>
  <si>
    <t>MEDELLIN______220</t>
  </si>
  <si>
    <t>MEJILLONES_____PM</t>
  </si>
  <si>
    <t>MEJILLONES____013</t>
  </si>
  <si>
    <t>METRO_________020</t>
  </si>
  <si>
    <t>MINSAL________110</t>
  </si>
  <si>
    <t>OESTE_________110</t>
  </si>
  <si>
    <t>OVALLE________013</t>
  </si>
  <si>
    <t>P.ALMONTE_____013</t>
  </si>
  <si>
    <t>P.BARRANCO____220</t>
  </si>
  <si>
    <t>P.CORTES______154</t>
  </si>
  <si>
    <t>P.MONTT_______066</t>
  </si>
  <si>
    <t>PALTO_________044</t>
  </si>
  <si>
    <t>PAPOSO________015</t>
  </si>
  <si>
    <t>PEQ___________023</t>
  </si>
  <si>
    <t>PETRODOW______154</t>
  </si>
  <si>
    <t>PETROPOWER____013</t>
  </si>
  <si>
    <t>PICOLTUE______220</t>
  </si>
  <si>
    <t>PILAUCO_______220</t>
  </si>
  <si>
    <t>POXIDOS_______220</t>
  </si>
  <si>
    <t>PPEUCO________023</t>
  </si>
  <si>
    <t>PPEUCO2_______110</t>
  </si>
  <si>
    <t>PTENEGRO2_____220</t>
  </si>
  <si>
    <t>RANCAGUA______066</t>
  </si>
  <si>
    <t>RANDE_________220</t>
  </si>
  <si>
    <t>RIOHUASCO_____110</t>
  </si>
  <si>
    <t>RRAPEL________013</t>
  </si>
  <si>
    <t>RUCATAYO______220</t>
  </si>
  <si>
    <t>S.ANDRES______154</t>
  </si>
  <si>
    <t>S.LORENZO_____220</t>
  </si>
  <si>
    <t>FUENTECILLA___066</t>
  </si>
  <si>
    <t>SAN_ANDRES____154</t>
  </si>
  <si>
    <t>SAN_IGNACIO___066</t>
  </si>
  <si>
    <t>SAN_PABLO_____023</t>
  </si>
  <si>
    <t>SANPEDROEOL___030</t>
  </si>
  <si>
    <t>SDELCARMEN____110</t>
  </si>
  <si>
    <t>SPENCE________220</t>
  </si>
  <si>
    <t>STA.FE________154</t>
  </si>
  <si>
    <t>STA.MARIA_____220</t>
  </si>
  <si>
    <t>T.EL_MANZANO__220</t>
  </si>
  <si>
    <t>TA_DE_CORDOVA_110</t>
  </si>
  <si>
    <t>TALGARR.NORTE_066</t>
  </si>
  <si>
    <t>TALINAY_______220</t>
  </si>
  <si>
    <t>TANDES________110</t>
  </si>
  <si>
    <t>TAP.ALGARR____066</t>
  </si>
  <si>
    <t>TAP_ALAMEDA___066</t>
  </si>
  <si>
    <t>TAP_EL_NEVADO_066</t>
  </si>
  <si>
    <t>TAP_EL_ROMERO_220</t>
  </si>
  <si>
    <t>TAP_EL_ROSAL__220</t>
  </si>
  <si>
    <t>TAP_MCA_______220</t>
  </si>
  <si>
    <t>TAP_VILLASECA_154</t>
  </si>
  <si>
    <t>TAPLOMAALTA___220</t>
  </si>
  <si>
    <t>TAPOQUINDO____110</t>
  </si>
  <si>
    <t>TARAPACA______011</t>
  </si>
  <si>
    <t>TBATUCO_______110</t>
  </si>
  <si>
    <t>TFFCC_________110</t>
  </si>
  <si>
    <t>TL.COLORADAS__066</t>
  </si>
  <si>
    <t>TL.LAJA_______110</t>
  </si>
  <si>
    <t>TLAS_ACACIAS__110</t>
  </si>
  <si>
    <t>TLO_ESPEJO____110</t>
  </si>
  <si>
    <t>TO.LLANOS_____066</t>
  </si>
  <si>
    <t>TOFF.ARICA____110</t>
  </si>
  <si>
    <t>TOFF.LLANOS___066</t>
  </si>
  <si>
    <t>TOFF.LLANOS___220</t>
  </si>
  <si>
    <t>TOFF.PALES____220</t>
  </si>
  <si>
    <t>TOFFPAMPALINA_220</t>
  </si>
  <si>
    <t>TP.ANCHA______110</t>
  </si>
  <si>
    <t>TPAINE________154</t>
  </si>
  <si>
    <t>TPANAMERICANA_110</t>
  </si>
  <si>
    <t>TPLACERES_____110</t>
  </si>
  <si>
    <t>TPTATORO______110</t>
  </si>
  <si>
    <t>TPUDAHUEL_____110</t>
  </si>
  <si>
    <t>TQUILPUE______110</t>
  </si>
  <si>
    <t>TS.GORDA_E____220</t>
  </si>
  <si>
    <t>TSAN_JOAQUIN__110</t>
  </si>
  <si>
    <t>TSAN_PABLO____110</t>
  </si>
  <si>
    <t>TSANTA_ROSA_S_110</t>
  </si>
  <si>
    <t>TVALPARAISO___110</t>
  </si>
  <si>
    <t>TVITOR2_______023</t>
  </si>
  <si>
    <t>VICUNA________013</t>
  </si>
  <si>
    <t>YUNGAY________154</t>
  </si>
  <si>
    <t>N.LAMPA_______220</t>
  </si>
  <si>
    <t>TAPCCOMBARBAL_110</t>
  </si>
  <si>
    <t>CAITAN________066</t>
  </si>
  <si>
    <t>C.SANJAVIER___066</t>
  </si>
  <si>
    <t>QUILMO_II_____066</t>
  </si>
  <si>
    <t>LOS_OLMOS_____220</t>
  </si>
  <si>
    <t>66</t>
  </si>
  <si>
    <t>15</t>
  </si>
  <si>
    <t>23</t>
  </si>
  <si>
    <t>13</t>
  </si>
  <si>
    <t>220</t>
  </si>
  <si>
    <t>Estabilizado</t>
  </si>
  <si>
    <t>12</t>
  </si>
  <si>
    <t>110</t>
  </si>
  <si>
    <t>33</t>
  </si>
  <si>
    <t>Clave Medidor</t>
  </si>
  <si>
    <t>Descripción</t>
  </si>
  <si>
    <t>Empresa Balance</t>
  </si>
  <si>
    <t>AGUILA_013_C1_ECL</t>
  </si>
  <si>
    <t>G_CTRL_FV_AGUILA</t>
  </si>
  <si>
    <t>Engie Energía Chile S.A.</t>
  </si>
  <si>
    <t>ANDESAES_023_E2_FSN_kWhD</t>
  </si>
  <si>
    <t>G_PMG__FV_SDN</t>
  </si>
  <si>
    <t>Fotovoltaica Sol del Norte SpA</t>
  </si>
  <si>
    <t>ANDESAES_023_E3_FLA_kWhD</t>
  </si>
  <si>
    <t>G_PMG__FV_LOS_ANDES</t>
  </si>
  <si>
    <t>Fotovoltaica de Los Andes SpA</t>
  </si>
  <si>
    <t>ANDESAES_023_E4_FDD_kWhD</t>
  </si>
  <si>
    <t>G_PMG__FV_DELDESIERTO</t>
  </si>
  <si>
    <t>Fotovoltaica Del Desierto SpA</t>
  </si>
  <si>
    <t>Parque Eólico El Maitén SpA</t>
  </si>
  <si>
    <t>CCRDONES_006_GSC_CCA_kWhD</t>
  </si>
  <si>
    <t>G_PMG__FV_PILOTO_SOLAR_CARDONES</t>
  </si>
  <si>
    <t>Central Cardones S.A.</t>
  </si>
  <si>
    <t>CLASILLA_023_E1_PER_kWhD</t>
  </si>
  <si>
    <t>G_PMG__FV_LA_SILLA</t>
  </si>
  <si>
    <t>CLSCNDRS_023_E30_GSO_kWhR</t>
  </si>
  <si>
    <t>G_PMG__FV_CARACAS_II</t>
  </si>
  <si>
    <t>EnfraGen Chile Solar SpA</t>
  </si>
  <si>
    <t>CLSPDRAS_023_E5_ENL_kWhR</t>
  </si>
  <si>
    <t>G_PMG__FV_CHERCAN</t>
  </si>
  <si>
    <t>Enlasa Generación Chile S.A.</t>
  </si>
  <si>
    <t>CPAJONLS_023_E1_GNW_kWhR</t>
  </si>
  <si>
    <t>G_PMG__FV_NORTHWEST</t>
  </si>
  <si>
    <t>CRHUASCO_110_HT1_HRH_kWhD</t>
  </si>
  <si>
    <t>G_PMG__HP_RIO_HUASCO</t>
  </si>
  <si>
    <t>Hidroeléctrica Río Huasco S.A.</t>
  </si>
  <si>
    <t>G_CTRL_FV_ESPERANZA</t>
  </si>
  <si>
    <t>RTS Energía S.A.</t>
  </si>
  <si>
    <t>G_145000000IF</t>
  </si>
  <si>
    <t>G_PMGD_FV_CAS1</t>
  </si>
  <si>
    <t>Calama Solar 1 SpA</t>
  </si>
  <si>
    <t>G_2538L LOREMEL</t>
  </si>
  <si>
    <t>G_PMGD_FV_CACHIYUYO_ALIM PABELLON</t>
  </si>
  <si>
    <t>Carbon Free Chile SpA</t>
  </si>
  <si>
    <t>G_2539T AMAREMEL</t>
  </si>
  <si>
    <t>G_PMGD_FV_MALAQUITA_ALIM HORNITOS</t>
  </si>
  <si>
    <t>G_ALAMBRE_DOS</t>
  </si>
  <si>
    <t>G_PMGD_FV_ALAMBRE_DOS</t>
  </si>
  <si>
    <t>Sonnedix Metro Expansion SpA</t>
  </si>
  <si>
    <t>G_ALAMEDA</t>
  </si>
  <si>
    <t>G_PMGD_FV_ALAMEDA</t>
  </si>
  <si>
    <t>SAO PAULO SOLAR SPA</t>
  </si>
  <si>
    <t>G_ALBATROS</t>
  </si>
  <si>
    <t>G_PMGD_FV_ALBATROS</t>
  </si>
  <si>
    <t>G_ALBOR_SOLAR</t>
  </si>
  <si>
    <t>G_PMGD_FV_ALBOR_SOLAR</t>
  </si>
  <si>
    <t>Toesca Renovables SpA</t>
  </si>
  <si>
    <t>G_ALCALDESA</t>
  </si>
  <si>
    <t>G_PMGD_FV_ALCALDESA</t>
  </si>
  <si>
    <t>Parque Solar Alcaldesa SpA</t>
  </si>
  <si>
    <t>G_ALCON_SOLAR</t>
  </si>
  <si>
    <t>G_PMGD_FV_ALCON_SOLAR</t>
  </si>
  <si>
    <t>G_ALDEBARAN</t>
  </si>
  <si>
    <t>G_PMGD_FV_ALDEBARAN</t>
  </si>
  <si>
    <t>SOLAR TI TREINTA Y SIETE SpA</t>
  </si>
  <si>
    <t>G_ALHUE</t>
  </si>
  <si>
    <t>G_PMGD_FV_ALHUE</t>
  </si>
  <si>
    <t>Membrillo Solar SpA</t>
  </si>
  <si>
    <t>G_ALHUE_2_SUNLIGHT</t>
  </si>
  <si>
    <t>G_PMGD_FV_SUNLIGHT_2</t>
  </si>
  <si>
    <t>SETF Energías Renovables SpA</t>
  </si>
  <si>
    <t>G_ALIANZA</t>
  </si>
  <si>
    <t>G_PMGD_FV_ALIANZA</t>
  </si>
  <si>
    <t>Parque Solar Alianza SpA</t>
  </si>
  <si>
    <t>G_ALICAHUE</t>
  </si>
  <si>
    <t>G_PMGD_FV_ALICAHUE</t>
  </si>
  <si>
    <t>Parque Fotovoltaico Alicahue Solar SpA</t>
  </si>
  <si>
    <t>G_ALTO_CACHAPOAL</t>
  </si>
  <si>
    <t>Eléctrica Cipresillos SpA</t>
  </si>
  <si>
    <t>Espinos S.A.</t>
  </si>
  <si>
    <t>G_ALTURAS_OVALLE</t>
  </si>
  <si>
    <t>G_PMGD_FV_ALTURAS_OVALLE</t>
  </si>
  <si>
    <t>IEH Solar Chile SpA</t>
  </si>
  <si>
    <t>G_AMPARO_DEL_SOL</t>
  </si>
  <si>
    <t>G_PMGD_FV_AMPARO_DEL_SOL</t>
  </si>
  <si>
    <t>G_ANANUCA</t>
  </si>
  <si>
    <t>G_PMGD_FV_ANANUCA</t>
  </si>
  <si>
    <t>Pacana del Verano SpA</t>
  </si>
  <si>
    <t>G_ANCAHUAL_SOLAR</t>
  </si>
  <si>
    <t>G_PMGD_FV_ANCAHUAL_SOLAR</t>
  </si>
  <si>
    <t>G_ANTONIA_SOLAR</t>
  </si>
  <si>
    <t>G_PMGD_FV_ANTONIA_SOLAR</t>
  </si>
  <si>
    <t>G_ARICA</t>
  </si>
  <si>
    <t>G_PMGD_FV_ARICA</t>
  </si>
  <si>
    <t>G_ARMAZONES</t>
  </si>
  <si>
    <t>G_PMGD_FV_ARMAZONES</t>
  </si>
  <si>
    <t>Sociedad Generadora Austral S.A.</t>
  </si>
  <si>
    <t>G_AROMO_VERANO</t>
  </si>
  <si>
    <t>G_PMGD_FV_AROMO_DE_VERANO</t>
  </si>
  <si>
    <t>G_ASTILLAS</t>
  </si>
  <si>
    <t>G_PMGD_FV_ASTILLAS</t>
  </si>
  <si>
    <t>GR Carza SpA</t>
  </si>
  <si>
    <t>G_AVEL_SOLAR</t>
  </si>
  <si>
    <t>G_PMGD_FV_AVEL_SOLAR</t>
  </si>
  <si>
    <t>G_AVELLANO_SOLAR</t>
  </si>
  <si>
    <t>G_PMGD_FV_AVELLANO_SOLAR</t>
  </si>
  <si>
    <t>Santa Cecilia Solar SpA</t>
  </si>
  <si>
    <t>G_AVILES</t>
  </si>
  <si>
    <t>G_PMGD_FV_AVILES</t>
  </si>
  <si>
    <t>Avilés SpA</t>
  </si>
  <si>
    <t>G_AXEL_SOLAR</t>
  </si>
  <si>
    <t>G_PMGD_AXEL_SOLAR</t>
  </si>
  <si>
    <t>G_AYLA</t>
  </si>
  <si>
    <t>G_PMGD_FV_AYLA</t>
  </si>
  <si>
    <t>PFV Ayla Solar SpA</t>
  </si>
  <si>
    <t>G_BELEN</t>
  </si>
  <si>
    <t>G_PMGD_FV_BELEN_SOLAR</t>
  </si>
  <si>
    <t>G_BELLAVISTA</t>
  </si>
  <si>
    <t>G_PMGD_FV_BELLAVISTA</t>
  </si>
  <si>
    <t>Parque Solar Bellavista SpA</t>
  </si>
  <si>
    <t>G_BELLAVISTA1</t>
  </si>
  <si>
    <t>G_PMGD_FV_BELLAVISTA1</t>
  </si>
  <si>
    <t>Tamarugal Solar 1 S.A.</t>
  </si>
  <si>
    <t>G_BERGAMO</t>
  </si>
  <si>
    <t>G_PMGD_FV_BERGAMO</t>
  </si>
  <si>
    <t>GPG Generación Distribuida SpA</t>
  </si>
  <si>
    <t>G_BERRUECO</t>
  </si>
  <si>
    <t>G_PMGD_FV_BERRUECO</t>
  </si>
  <si>
    <t>G_BICENTENARIO</t>
  </si>
  <si>
    <t>G_PMGD_FV_BICENTENARIO</t>
  </si>
  <si>
    <t>Fotovoltaica Solar Laurel SpA</t>
  </si>
  <si>
    <t>G_BLANQUINA</t>
  </si>
  <si>
    <t>G_PMGD_FV_BLANQUINA</t>
  </si>
  <si>
    <t>G_BLU</t>
  </si>
  <si>
    <t>G_PMGD_FV_BLU</t>
  </si>
  <si>
    <t>Blu Solar SpA</t>
  </si>
  <si>
    <t>G_BOCO</t>
  </si>
  <si>
    <t>G_PMGD_FV_EL_BOCO</t>
  </si>
  <si>
    <t>G_BULNES_BARONES</t>
  </si>
  <si>
    <t>G_PMGD_FV_BULNES_LOS_BARONES</t>
  </si>
  <si>
    <t>G_BULNES_SOLAR</t>
  </si>
  <si>
    <t>G_PMGD_FV_BULNES_SOLAR</t>
  </si>
  <si>
    <t>G_BUREO</t>
  </si>
  <si>
    <t>G_PMGD_HP_BUREO</t>
  </si>
  <si>
    <t>PMGD Bio Bio Negrete S.A.</t>
  </si>
  <si>
    <t>G_CABILDO_SUNLIGHT</t>
  </si>
  <si>
    <t>G_PMGD_FV_CABILDO_SUNLIGHT</t>
  </si>
  <si>
    <t>G_CABILSOL</t>
  </si>
  <si>
    <t>G_PMGD_FV_CABILSOL</t>
  </si>
  <si>
    <t>G_CABRERO_SOLAR</t>
  </si>
  <si>
    <t>G_PMGD_FV_CABRERO_SOLAR</t>
  </si>
  <si>
    <t>Cabrero Solar SpA</t>
  </si>
  <si>
    <t>G_CACHANAS</t>
  </si>
  <si>
    <t>G_PMGD_FV_LAS_CACHANAS</t>
  </si>
  <si>
    <t>PFV Las Cachañas SpA</t>
  </si>
  <si>
    <t>G_CAEMSA</t>
  </si>
  <si>
    <t>G_PMGD_HP_CAEMSA</t>
  </si>
  <si>
    <t>Carbomet Energía S.A.</t>
  </si>
  <si>
    <t>G_CAIMI</t>
  </si>
  <si>
    <t>G_PMGD_FV_CAIMI</t>
  </si>
  <si>
    <t>Faro Corona SpA</t>
  </si>
  <si>
    <t>G_CALDERA_SOLAR</t>
  </si>
  <si>
    <t>G_PMGD_FV_CALDERA</t>
  </si>
  <si>
    <t>Caldera Solar SpA</t>
  </si>
  <si>
    <t>G_CALLE_LARGA</t>
  </si>
  <si>
    <t>G_PMGD_FV_CLARGA</t>
  </si>
  <si>
    <t>PMGD Calle Larga SpA</t>
  </si>
  <si>
    <t>G_CANDELARIA_SOLAR</t>
  </si>
  <si>
    <t>G_PMGD_FV_CANDELARIA</t>
  </si>
  <si>
    <t>Candelaria Solar SpA</t>
  </si>
  <si>
    <t>G_CANELILLO</t>
  </si>
  <si>
    <t>G_PMGD_FV_CANELILLO</t>
  </si>
  <si>
    <t>Agrosolar V SpA</t>
  </si>
  <si>
    <t>G_CANELO</t>
  </si>
  <si>
    <t>G_PMGD_HP_EL_CANELO</t>
  </si>
  <si>
    <t>Hidroeléctrica El Canelo S.A.</t>
  </si>
  <si>
    <t>G_CANESA</t>
  </si>
  <si>
    <t>G_PMGD_FV_CANESA</t>
  </si>
  <si>
    <t>G_CANONES_SUNLIGHT</t>
  </si>
  <si>
    <t>G_PMGD_FV_CANONES_SUNLIGHT</t>
  </si>
  <si>
    <t>G_CANTERA</t>
  </si>
  <si>
    <t>G_PMGD_FV_CANTERA</t>
  </si>
  <si>
    <t>G_CANTILLANA</t>
  </si>
  <si>
    <t>G_PMGD_FV_CANTILLANA</t>
  </si>
  <si>
    <t>Parque Solar Cantillana SpA</t>
  </si>
  <si>
    <t>G_CARA_DE_GALLO</t>
  </si>
  <si>
    <t>G_PMGD_FV_CARA_DE_GALLO</t>
  </si>
  <si>
    <t>Parque Fotovoltaico El Loreto SpA</t>
  </si>
  <si>
    <t>G_CARACAS</t>
  </si>
  <si>
    <t>G_PMGD_FV_CARACAS</t>
  </si>
  <si>
    <t>G_CARACOLES</t>
  </si>
  <si>
    <t>G_PMGD_FV_CARACOLES</t>
  </si>
  <si>
    <t>G_CASA_BERMEJA</t>
  </si>
  <si>
    <t>G_PMGD_FV_CASA_BERMEJA</t>
  </si>
  <si>
    <t>G_CASASBLANCAS</t>
  </si>
  <si>
    <t>G_PMGD_FV_CASAS_BLANCAS</t>
  </si>
  <si>
    <t>PSF Pama S.A.</t>
  </si>
  <si>
    <t>G_CASTILLA</t>
  </si>
  <si>
    <t>G_PMG__FV_CASTILLA</t>
  </si>
  <si>
    <t>Santa Ester Solar SpA</t>
  </si>
  <si>
    <t>G_CASUTO</t>
  </si>
  <si>
    <t>G_PMGD_FV_CASUTO</t>
  </si>
  <si>
    <t>Solar TI Diez SpA</t>
  </si>
  <si>
    <t>G_CATAN</t>
  </si>
  <si>
    <t>G_PMGD_FV_CATAN</t>
  </si>
  <si>
    <t>Planeta Investments SpA</t>
  </si>
  <si>
    <t>G_CATAPILCO</t>
  </si>
  <si>
    <t>G_PMGD_SGT_CATAPILCO</t>
  </si>
  <si>
    <t>San Marino Solar SpA</t>
  </si>
  <si>
    <t>G_CATEMU</t>
  </si>
  <si>
    <t>G_PMGD_FV_CATEMUSPA</t>
  </si>
  <si>
    <t>Parque Solar Catemu SpA</t>
  </si>
  <si>
    <t>G_CAUQUENES</t>
  </si>
  <si>
    <t>G_PMGD_FV_CAUQUENES</t>
  </si>
  <si>
    <t>G_CEFALU</t>
  </si>
  <si>
    <t>G_PMGD_FV_CEFALU</t>
  </si>
  <si>
    <t>Cefalú Solar SpA</t>
  </si>
  <si>
    <t>G_CENTAURO_SOLAR</t>
  </si>
  <si>
    <t>G_PMGD_FV_CENTAURO_SOLAR</t>
  </si>
  <si>
    <t>Centauro Solar SpA</t>
  </si>
  <si>
    <t>G_CHACABUCO</t>
  </si>
  <si>
    <t>G_PMGD_FV_CHACABUCO</t>
  </si>
  <si>
    <t>G_CHACAICO</t>
  </si>
  <si>
    <t>G_PMGD_FV_CHACAICO</t>
  </si>
  <si>
    <t>Sol del sur 15 SpA</t>
  </si>
  <si>
    <t>G_CHALINGA_SOLAR</t>
  </si>
  <si>
    <t>G_PMGD_FV_CHALINGA_SOLAR</t>
  </si>
  <si>
    <t>G_CHAMPA</t>
  </si>
  <si>
    <t>G_PMGD_FV_CHAMPA</t>
  </si>
  <si>
    <t>G_CHANAR</t>
  </si>
  <si>
    <t>G_PMGD_FV_CHANAR_DEL_VERANO</t>
  </si>
  <si>
    <t>G_CHANCON</t>
  </si>
  <si>
    <t>G_PMGD_FV_CHANCON</t>
  </si>
  <si>
    <t>G_CHAPEANA</t>
  </si>
  <si>
    <t>G_PMGD_FV_CHAPEANA</t>
  </si>
  <si>
    <t>La Chapeana SpA</t>
  </si>
  <si>
    <t>G_CHEQUEN</t>
  </si>
  <si>
    <t>G_PMGD_FV_CHEQUEN_SOLAR</t>
  </si>
  <si>
    <t>Chequen Solar SpA</t>
  </si>
  <si>
    <t>G_CHERCAN</t>
  </si>
  <si>
    <t>G_PMGD_FV_EL_CHERCAN</t>
  </si>
  <si>
    <t>PFV El Chercan SpA</t>
  </si>
  <si>
    <t>G_CHICAUMA_VERANO</t>
  </si>
  <si>
    <t>G_PMGD_FV_CHICAUMA_VERANO</t>
  </si>
  <si>
    <t>PUNTIAGUDO ENERGY SPA</t>
  </si>
  <si>
    <t>G_CHILCAS</t>
  </si>
  <si>
    <t>G_PMGD_FV_CHILCAS_SOLAR</t>
  </si>
  <si>
    <t>Las Chilcas Solar SpA</t>
  </si>
  <si>
    <t>G_CHILENER</t>
  </si>
  <si>
    <t>G_PMGD_FV_CHILENER</t>
  </si>
  <si>
    <t>Chilener II SpA</t>
  </si>
  <si>
    <t>G_CHIMBARONGO</t>
  </si>
  <si>
    <t>G_PMGD_FV_CHIMBARONGO</t>
  </si>
  <si>
    <t>G_CHINCOL</t>
  </si>
  <si>
    <t>G_PMGD_FV_CHINCOL</t>
  </si>
  <si>
    <t>G_CHUCHINI</t>
  </si>
  <si>
    <t>G_PMGD_FV_CHUCHINI</t>
  </si>
  <si>
    <t>SPV P4 SpA</t>
  </si>
  <si>
    <t>Imelsa Energía SpA</t>
  </si>
  <si>
    <t>G_CIPRES</t>
  </si>
  <si>
    <t>G_PMGD_FV_CIPRES</t>
  </si>
  <si>
    <t>Ciprés SpA</t>
  </si>
  <si>
    <t>G_CITRINO</t>
  </si>
  <si>
    <t>G_PMGD_FV_CITRINO</t>
  </si>
  <si>
    <t>Solar TI Once SpA</t>
  </si>
  <si>
    <t>G_CKILIR</t>
  </si>
  <si>
    <t>G_PMGD_FV_CKILIR</t>
  </si>
  <si>
    <t>G_CLEMENTINA</t>
  </si>
  <si>
    <t>G_PMGD_FV_CLEMENTINA</t>
  </si>
  <si>
    <t>CVE Proyecto Veintiuno SpA</t>
  </si>
  <si>
    <t>G_CMPC TISSUE</t>
  </si>
  <si>
    <t>G_CTRL_BM_CMPC TISSUE</t>
  </si>
  <si>
    <t>Bioenergías Forestales SpA</t>
  </si>
  <si>
    <t>G_COCHARCAS</t>
  </si>
  <si>
    <t>G_PMGD_FV_COCHARCAS</t>
  </si>
  <si>
    <t>Fotovoltaica Alfa SpA</t>
  </si>
  <si>
    <t>G_COCINILLAS</t>
  </si>
  <si>
    <t>G_PMGD_FV_COCINILLAS</t>
  </si>
  <si>
    <t>Agrosolar IV SpA</t>
  </si>
  <si>
    <t>G_COINCO</t>
  </si>
  <si>
    <t>G_PMGD_FV_COINCO</t>
  </si>
  <si>
    <t>G_COLCHAGUA</t>
  </si>
  <si>
    <t>G_PMGD_FV_COLCHAGUA</t>
  </si>
  <si>
    <t>G_COLTAUCO_ALMENDRO</t>
  </si>
  <si>
    <t>G_PMGD_FV_COLTAUCO_ALMENDRO</t>
  </si>
  <si>
    <t>G_CONCON</t>
  </si>
  <si>
    <t>G_PMGD_FV_CONCON</t>
  </si>
  <si>
    <t>Abastible S.A.</t>
  </si>
  <si>
    <t>G_CONDOR_CHEPICA</t>
  </si>
  <si>
    <t>G_PMGD_FV_CONDOR_CHEPICA</t>
  </si>
  <si>
    <t>Energías Renovables Holding S.A.</t>
  </si>
  <si>
    <t>G_CONDOR_PELVIN</t>
  </si>
  <si>
    <t>G_PMGD_FV_CONDOR_PELVIN</t>
  </si>
  <si>
    <t>G_CONDOR_PETORCA</t>
  </si>
  <si>
    <t>G_PMGD_FV_CONDOR_PETORCA</t>
  </si>
  <si>
    <t>G_COPIULEMU</t>
  </si>
  <si>
    <t>G_PMGD_TE_COPIULEMU</t>
  </si>
  <si>
    <t>Duero Energía Copiulemu SpA</t>
  </si>
  <si>
    <t>G_CORDILLERILLA</t>
  </si>
  <si>
    <t>G_PMGD_FV_CORDILLERILLA</t>
  </si>
  <si>
    <t>G_CORTIJO</t>
  </si>
  <si>
    <t>G_PMGD_FV_CORTIJO</t>
  </si>
  <si>
    <t>Apolo Solar SpA</t>
  </si>
  <si>
    <t>G_COSAPILLA</t>
  </si>
  <si>
    <t>G_PMGD_HP_COSAPILLA</t>
  </si>
  <si>
    <t>G_COVADONGA</t>
  </si>
  <si>
    <t>G_PMGD_FV_COVADONGA</t>
  </si>
  <si>
    <t>Chungungo Solar SpA</t>
  </si>
  <si>
    <t>G_COYUNCHE</t>
  </si>
  <si>
    <t>G_PMGD_FV_COYUNCHE</t>
  </si>
  <si>
    <t>Per Parinacota SpA</t>
  </si>
  <si>
    <t>G_CRUCERO</t>
  </si>
  <si>
    <t>G_PMGD_FV_CRUCERO</t>
  </si>
  <si>
    <t>G_CRUZ_SOLAR</t>
  </si>
  <si>
    <t>G_PMGD_FV_CRUZ_SOLAR</t>
  </si>
  <si>
    <t>G_CURACAVI</t>
  </si>
  <si>
    <t>G_PMGD_FV_CURACAVI</t>
  </si>
  <si>
    <t>G_CURICURA</t>
  </si>
  <si>
    <t>G_PMGD_FV_CURICURA</t>
  </si>
  <si>
    <t>Parque Solar Aurora SpA</t>
  </si>
  <si>
    <t>G_CUZCUZ</t>
  </si>
  <si>
    <t>G_PMGD_FV_CUZCUZ</t>
  </si>
  <si>
    <t>G_DADINCO</t>
  </si>
  <si>
    <t>G_PMGD_FV_DADINCO</t>
  </si>
  <si>
    <t>G_DALMAGROSOLAR</t>
  </si>
  <si>
    <t>G_PMGD_FV_DALMAGROSOLAR</t>
  </si>
  <si>
    <t>G_DARLIN_SOLAR</t>
  </si>
  <si>
    <t>G_PMGD_FV_DARLIN_SOLAR</t>
  </si>
  <si>
    <t>G_DIVISADERO</t>
  </si>
  <si>
    <t>G_PMGD_FV_DIVISADERO</t>
  </si>
  <si>
    <t>Divisadero SpA.</t>
  </si>
  <si>
    <t>G_DON_ANDRONICO</t>
  </si>
  <si>
    <t>G_PMGD_FV_DON_ANDRONICO</t>
  </si>
  <si>
    <t>Parque Solar Cancha SpA</t>
  </si>
  <si>
    <t>G_DON_ENRIQUE</t>
  </si>
  <si>
    <t>G_PMGD_FV_DON_ENRIQUE</t>
  </si>
  <si>
    <t>G_DON_EUGENIO</t>
  </si>
  <si>
    <t>G_PMGD_FV_DON_EUGENIO</t>
  </si>
  <si>
    <t>G_DON_JORGE</t>
  </si>
  <si>
    <t>G_PMGD_FV_DON_JORGE</t>
  </si>
  <si>
    <t>Betel SpA</t>
  </si>
  <si>
    <t>G_DON_MARIANO</t>
  </si>
  <si>
    <t>G_PMGD_FV_DON_MARIANO</t>
  </si>
  <si>
    <t>Don Mariano Energy SpA</t>
  </si>
  <si>
    <t>G_DON_MARTIN</t>
  </si>
  <si>
    <t>G_PMGD_FV_DON_MARTIN</t>
  </si>
  <si>
    <t>G_DON_MATIAS</t>
  </si>
  <si>
    <t>G_PMGD_FV_DON_MATIAS</t>
  </si>
  <si>
    <t>Parque Fotovoltaico Don Matías SpA</t>
  </si>
  <si>
    <t>G_PMGD_FV_DON_RODRIGO</t>
  </si>
  <si>
    <t>G_DON_SIMON</t>
  </si>
  <si>
    <t>G_PMGD_FV_DON_SIMON</t>
  </si>
  <si>
    <t>SOLAR TI TREINTA Y SEIS SPA</t>
  </si>
  <si>
    <t>G_DONA_IGNA</t>
  </si>
  <si>
    <t>G_PMGD_FV_DONA_IGNA</t>
  </si>
  <si>
    <t>Parque Fotovoltaico Doña Igna SpA</t>
  </si>
  <si>
    <t>G_DONA_REGINA_SOLAR</t>
  </si>
  <si>
    <t>G_PMGD_FV_DONA_REGINA_SOLAR</t>
  </si>
  <si>
    <t>G_DONIHUE</t>
  </si>
  <si>
    <t>G_PMGD_FV_DONIHUE</t>
  </si>
  <si>
    <t>G_DUQUECO_SOLAR</t>
  </si>
  <si>
    <t>G_PMGD_FV_DUQUECO_SOLAR</t>
  </si>
  <si>
    <t>Cocharcas Solar SpA</t>
  </si>
  <si>
    <t>G_ECLIPSE</t>
  </si>
  <si>
    <t>G_PMGD_FV_ECLIPSE_SOLAR</t>
  </si>
  <si>
    <t>Eclipse Solar SpA</t>
  </si>
  <si>
    <t>G_EL_CAIQUEN</t>
  </si>
  <si>
    <t>G_PMGD_FV_EL_CAIQUEN</t>
  </si>
  <si>
    <t>PFV El Caiquén SpA</t>
  </si>
  <si>
    <t>G_EL_CARDENAL</t>
  </si>
  <si>
    <t>G_PMGD_FV_EL_CARDENAL</t>
  </si>
  <si>
    <t>G_EL_CARPINTERO</t>
  </si>
  <si>
    <t>G_PMGD_FV_EL_CARPINTERO</t>
  </si>
  <si>
    <t>PFV El Carpintero SpA</t>
  </si>
  <si>
    <t>G_EL_CASTANO</t>
  </si>
  <si>
    <t>G_PMGD_FV_EL_CASTANO</t>
  </si>
  <si>
    <t>El Castaño SpA</t>
  </si>
  <si>
    <t>G_EL_CERNICALO_I</t>
  </si>
  <si>
    <t>G_PMGD_FV_EL_CERNICALO_I</t>
  </si>
  <si>
    <t>G_EL_CERNICALO_II</t>
  </si>
  <si>
    <t>G_PMGD_FV_EL_CERNICALO_II</t>
  </si>
  <si>
    <t>G_EL_CHUCAO</t>
  </si>
  <si>
    <t>G_PMGD_FV_EL_CHUCAO</t>
  </si>
  <si>
    <t>PFV El Chucao SpA</t>
  </si>
  <si>
    <t>G_EL_CONDOR</t>
  </si>
  <si>
    <t>G_PMGD_FV_EL_CONDOR</t>
  </si>
  <si>
    <t>PFV El Cóndor SpA</t>
  </si>
  <si>
    <t>G_EL_CUERVO</t>
  </si>
  <si>
    <t>G_PMGD_FV_EL_CUERVO</t>
  </si>
  <si>
    <t>PFV El Cuervo SpA</t>
  </si>
  <si>
    <t>G_EL_ESTERO</t>
  </si>
  <si>
    <t>G_PMGD_FV_G_EL_ESTERO</t>
  </si>
  <si>
    <t>Fotovoltaica El Manzano SpA</t>
  </si>
  <si>
    <t>G_EL_FLAMENCO</t>
  </si>
  <si>
    <t>G_PMGD_FV_FLAMENCO</t>
  </si>
  <si>
    <t>PFV El Flamenco SpA</t>
  </si>
  <si>
    <t>G_EL_HUASO</t>
  </si>
  <si>
    <t>G_PMGD_FV_EL_HUASO</t>
  </si>
  <si>
    <t>Parque Solar Salamanca SpA</t>
  </si>
  <si>
    <t>G_EL_INGENIO</t>
  </si>
  <si>
    <t>G_PMGD_FV_EL_INGENIO</t>
  </si>
  <si>
    <t>G_EL_INTERLOCUTOR</t>
  </si>
  <si>
    <t>G_PMGD_FV_EL_INTERLOCUTOR</t>
  </si>
  <si>
    <t>Parque Fotovoltaico Idahuillo SpA</t>
  </si>
  <si>
    <t>G_EL_MIRLO</t>
  </si>
  <si>
    <t>G_PMGD_FV_EL_MIRLO</t>
  </si>
  <si>
    <t>PFV El Mirlo SpA</t>
  </si>
  <si>
    <t>G_EL_MONTE</t>
  </si>
  <si>
    <t>G_PMGD_FV_EL_MONTE</t>
  </si>
  <si>
    <t>Callaqui de Verano SpA</t>
  </si>
  <si>
    <t>G_EL_NOGAL</t>
  </si>
  <si>
    <t>G_PMGD_EO_EL_NOGAL</t>
  </si>
  <si>
    <t>Parque Eólico el Nogal SpA</t>
  </si>
  <si>
    <t>G_EL_OLIVAR</t>
  </si>
  <si>
    <t>G_PMGD_FV_OLIVAR</t>
  </si>
  <si>
    <t>G_EL_PERAL</t>
  </si>
  <si>
    <t>G_PMGD_FV_EL_PERAL</t>
  </si>
  <si>
    <t>G_EL_PIUQUEN</t>
  </si>
  <si>
    <t>G_PMGD_FV_EL_PIUQUEN</t>
  </si>
  <si>
    <t>PFV El Piuquen SpA</t>
  </si>
  <si>
    <t>G_EL_QUELTEHUE</t>
  </si>
  <si>
    <t>G_PMGD_FV_EL_QUELTEHUE</t>
  </si>
  <si>
    <t>G_EL_QUEMADO</t>
  </si>
  <si>
    <t>G_PMGD_FV_EL_QUEMADO</t>
  </si>
  <si>
    <t>Reden Cabildo Solar SpA</t>
  </si>
  <si>
    <t>G_EL_QUEULE</t>
  </si>
  <si>
    <t>G_PMGD_FV_EL_QUEULE</t>
  </si>
  <si>
    <t>G_EL_RAYADOR</t>
  </si>
  <si>
    <t>G_PMGD_FV_EL_RAYADOR</t>
  </si>
  <si>
    <t>PFV El Rayador SpA</t>
  </si>
  <si>
    <t>G_EL_ROBLE</t>
  </si>
  <si>
    <t>G_PMGD_FV_EL_ROBLE</t>
  </si>
  <si>
    <t>Chester Solar IV SpA</t>
  </si>
  <si>
    <t>G_EL_SALITRAL</t>
  </si>
  <si>
    <t>G_PMGD_FV_EL_SALITRAL</t>
  </si>
  <si>
    <t>PSF El Salitral S.A.</t>
  </si>
  <si>
    <t>G_EL_SAUCE</t>
  </si>
  <si>
    <t>G_PMGD_FV_EL_SAUCE</t>
  </si>
  <si>
    <t>Chester Solar V SpA</t>
  </si>
  <si>
    <t>G_EL_SHARON</t>
  </si>
  <si>
    <t>G_PMGD_FV_EL_SHARON</t>
  </si>
  <si>
    <t>G_EL_TIUQUE</t>
  </si>
  <si>
    <t>G_PMGD_FV_EL_TIUQUE</t>
  </si>
  <si>
    <t>G_EL_TRIGAL</t>
  </si>
  <si>
    <t>G_PMGD_FV_EL_TRIGAL</t>
  </si>
  <si>
    <t>G_ELPASO</t>
  </si>
  <si>
    <t>G_PMGD_FV_EL_PASO</t>
  </si>
  <si>
    <t>G_ELPITIO</t>
  </si>
  <si>
    <t>G_PMGD_FV_ELPITIO</t>
  </si>
  <si>
    <t>G_ELRANGUIL</t>
  </si>
  <si>
    <t>G_PMGD_FV_ELRANGUIL</t>
  </si>
  <si>
    <t>G_EMILIA_SOLAR</t>
  </si>
  <si>
    <t>G_PMG__FV_EMILIA</t>
  </si>
  <si>
    <t>G_EMILIO_SOLAR</t>
  </si>
  <si>
    <t>G_PMGD_FV_EMILIO_SOLAR</t>
  </si>
  <si>
    <t>G_ENAMI_SOLAR</t>
  </si>
  <si>
    <t>G_PMGD_FV_ENAMI_SOLAR</t>
  </si>
  <si>
    <t>G_ENCINO</t>
  </si>
  <si>
    <t>G_PMGD_FV_ENCINO</t>
  </si>
  <si>
    <t>Energía Renovable Encino SpA</t>
  </si>
  <si>
    <t>G_ENCON</t>
  </si>
  <si>
    <t>G_PMGD_FV_ENCON</t>
  </si>
  <si>
    <t>G_ERINOME</t>
  </si>
  <si>
    <t>G_PMGD_FV_ERINOME</t>
  </si>
  <si>
    <t>Luciano Solar SpA</t>
  </si>
  <si>
    <t>G_ESCORIAL</t>
  </si>
  <si>
    <t>G_PMGD_FV_ESCORIAL</t>
  </si>
  <si>
    <t>Corcovado de Verano SpA</t>
  </si>
  <si>
    <t>G_ESFENA</t>
  </si>
  <si>
    <t>G_PMGD_FV_ESFENA</t>
  </si>
  <si>
    <t>CVE Proyecto Nueve SpA</t>
  </si>
  <si>
    <t>G_FARAMALLA</t>
  </si>
  <si>
    <t>G_PMGD_FV_FARAMALLA</t>
  </si>
  <si>
    <t>Parque Fotovoltaico Faramalla SpA</t>
  </si>
  <si>
    <t>G_FARDELA</t>
  </si>
  <si>
    <t>G_PMGD_FV_FARDELA</t>
  </si>
  <si>
    <t>Fardela Negra SpA</t>
  </si>
  <si>
    <t>G_FAROL</t>
  </si>
  <si>
    <t>G_PMGD_FV_FAROL_SOLAR</t>
  </si>
  <si>
    <t>Farol Solar SpA</t>
  </si>
  <si>
    <t>G_FILOMENA_SOLAR</t>
  </si>
  <si>
    <t>G_PMGD_FV_FILOMENA_SOLAR</t>
  </si>
  <si>
    <t>G_FLORI3</t>
  </si>
  <si>
    <t>G_CTRL_HP_FLORIDA_3</t>
  </si>
  <si>
    <t>Asoc. de Canal. Sociedad del Canal de Maipo</t>
  </si>
  <si>
    <t>G_FOTOVOLT_1</t>
  </si>
  <si>
    <t>G_PMGD_FV_FOTOVOLT_1</t>
  </si>
  <si>
    <t>Ailin Fotovoltaica SpA</t>
  </si>
  <si>
    <t>G_FRANCISCO</t>
  </si>
  <si>
    <t>G_PMGD_FV_FRANCISCO</t>
  </si>
  <si>
    <t>G_FULGOR</t>
  </si>
  <si>
    <t>G_PMGD_FV_FULGOR</t>
  </si>
  <si>
    <t>Neoelectra Energía Chile SpA</t>
  </si>
  <si>
    <t>G_FUSTER</t>
  </si>
  <si>
    <t>G_PMGD_FV_FUSTER</t>
  </si>
  <si>
    <t>LASCAR ENERGY SPA</t>
  </si>
  <si>
    <t>G_FV_ARGOMEDO</t>
  </si>
  <si>
    <t>G_PMGD_FV_ARGOMEDO</t>
  </si>
  <si>
    <t>G_FV_MACHICURA</t>
  </si>
  <si>
    <t>G_PMG__FV_MACHICURA</t>
  </si>
  <si>
    <t>Colbún S.A.</t>
  </si>
  <si>
    <t>G_FV_SANTA_LAURA</t>
  </si>
  <si>
    <t>G_PMGD_FV_SANTALAURA</t>
  </si>
  <si>
    <t>FV Santa Laura SpA</t>
  </si>
  <si>
    <t>G_FVARIZTIA</t>
  </si>
  <si>
    <t>G_PMGD_FV_ARIZTIA</t>
  </si>
  <si>
    <t>Fotovoltaica Ariztía SpA</t>
  </si>
  <si>
    <t>G_GABARDO</t>
  </si>
  <si>
    <t>G_PMGD_FV_GABARDO</t>
  </si>
  <si>
    <t>Salado Energy SpA</t>
  </si>
  <si>
    <t>G_GAVIOTIN</t>
  </si>
  <si>
    <t>G_PMGD_FV_GAVIOTIN</t>
  </si>
  <si>
    <t>PFV El Gaviotín SpA</t>
  </si>
  <si>
    <t>G_GIRASOLES</t>
  </si>
  <si>
    <t>G_PMGD_FV_LOS_GIRASOLES</t>
  </si>
  <si>
    <t>G_GORRIONES</t>
  </si>
  <si>
    <t>G_PMGD_FV_GORRIONES</t>
  </si>
  <si>
    <t>G_GRANADA</t>
  </si>
  <si>
    <t>G_PMGD_FV_GRANADA</t>
  </si>
  <si>
    <t>Granada SpA</t>
  </si>
  <si>
    <t>G_GRANATE</t>
  </si>
  <si>
    <t>G_PMGD_FV_GRANATE</t>
  </si>
  <si>
    <t>G_GUADALAO</t>
  </si>
  <si>
    <t>G_PMGD_FV_GUADALAO</t>
  </si>
  <si>
    <t>Fotovoltaica Mañio SpA</t>
  </si>
  <si>
    <t>G_GUADALUPE</t>
  </si>
  <si>
    <t>G_PMGD_FV_EL_SAUCE_(GUADALUPE)</t>
  </si>
  <si>
    <t>Guadalupe Solar SpA</t>
  </si>
  <si>
    <t>G_GUANACO_SOLAR</t>
  </si>
  <si>
    <t>G_PMGD_FV_GUANACO_SOLAR</t>
  </si>
  <si>
    <t>Incahuasi Energy SpA</t>
  </si>
  <si>
    <t>G_GUARANA</t>
  </si>
  <si>
    <t>G_PMGD_FV_GUARANA</t>
  </si>
  <si>
    <t>Solar TI Dieciséis SpA</t>
  </si>
  <si>
    <t>G_HELIOS</t>
  </si>
  <si>
    <t>G_PMGD_FV_ILLAPEL</t>
  </si>
  <si>
    <t>G_HLCORRALES</t>
  </si>
  <si>
    <t>G_PMG__HP_CORRALES</t>
  </si>
  <si>
    <t>Hidroeléctrica Los Corrales SpA</t>
  </si>
  <si>
    <t>G_HOMERO</t>
  </si>
  <si>
    <t>G_PMGD_FV_HOMERO</t>
  </si>
  <si>
    <t>G_HORIZONTE</t>
  </si>
  <si>
    <t>G_PMGD_FV_HORIZONTE</t>
  </si>
  <si>
    <t>G_HORMIGA</t>
  </si>
  <si>
    <t>G_PMGD_FV_HORMIGA</t>
  </si>
  <si>
    <t>Hormiga Solar SpA</t>
  </si>
  <si>
    <t>G_HUAPE</t>
  </si>
  <si>
    <t>G_PMGD_FV_HUAPE</t>
  </si>
  <si>
    <t>Farmdo Energy Chile SpA</t>
  </si>
  <si>
    <t>G_HUAQUELON</t>
  </si>
  <si>
    <t>G_PMGD_FV_HUAQUELON</t>
  </si>
  <si>
    <t>G_HURTADO</t>
  </si>
  <si>
    <t>G_PMGD_FV_HURTADO</t>
  </si>
  <si>
    <t>Patricia Solar SpA</t>
  </si>
  <si>
    <t>G_ICB</t>
  </si>
  <si>
    <t>G_PMGD_FV_ICB</t>
  </si>
  <si>
    <t>G_IDAHUE</t>
  </si>
  <si>
    <t>G_PMGD_FV_IDAHUE_DEL_VERANO</t>
  </si>
  <si>
    <t>Palpana de Verano SpA</t>
  </si>
  <si>
    <t>G_ILLAPEL_5X</t>
  </si>
  <si>
    <t>G_PMGD_FV_ILLAPEL_5X</t>
  </si>
  <si>
    <t>G_INDEPENDENCIA</t>
  </si>
  <si>
    <t>G_PMGD_FV_INDEPENDENCIA</t>
  </si>
  <si>
    <t>La Independencia Solar SpA</t>
  </si>
  <si>
    <t>G_ITAHUE_SOLAR</t>
  </si>
  <si>
    <t>G_PMGD_FV_ITAHUE_SOLAR</t>
  </si>
  <si>
    <t>G_ITIHUE</t>
  </si>
  <si>
    <t>G_PMGD_FV_ITIHUE</t>
  </si>
  <si>
    <t>Parque Solar Itihue SpA</t>
  </si>
  <si>
    <t>G_JAHUEL</t>
  </si>
  <si>
    <t>G_PMGD_FV_JAHUEL</t>
  </si>
  <si>
    <t>Chester Solar I SpA</t>
  </si>
  <si>
    <t>G_JARDIN_PETORCA</t>
  </si>
  <si>
    <t>G_PMGD_FV_JARDIN_PETORCA</t>
  </si>
  <si>
    <t>G_JAURURO</t>
  </si>
  <si>
    <t>G_PMGD_FV_JAURURO</t>
  </si>
  <si>
    <t>Pingüino Emperador SpA</t>
  </si>
  <si>
    <t>G_JAVIERA_CARRERA</t>
  </si>
  <si>
    <t>G_PMGD_FV_JAVIERA_CARRERA</t>
  </si>
  <si>
    <t>GR Torres del Paine SpA</t>
  </si>
  <si>
    <t>G_JILGUERO</t>
  </si>
  <si>
    <t>G_PMGD_FV_JILGUERO</t>
  </si>
  <si>
    <t>G_JOTABECHE</t>
  </si>
  <si>
    <t>G_PMGD_FV_JOTABECHE</t>
  </si>
  <si>
    <t>G_JR_VSE</t>
  </si>
  <si>
    <t>G_PMGD_FV_VALLE_SOLAR_ESTE_2</t>
  </si>
  <si>
    <t>G_JR_VSO</t>
  </si>
  <si>
    <t>G_PMGD_FV_VALLE_SOLAR_OESTE_2</t>
  </si>
  <si>
    <t>G_KAUFMANN</t>
  </si>
  <si>
    <t>G_PMGD_FV_KAUFMANN</t>
  </si>
  <si>
    <t>AES Andes S.A.</t>
  </si>
  <si>
    <t>G_KONDA</t>
  </si>
  <si>
    <t>G_PMGD_FV_KONDA</t>
  </si>
  <si>
    <t>Konda Solar SpA</t>
  </si>
  <si>
    <t>G_L PERALES</t>
  </si>
  <si>
    <t>G_PMGD_FV_LOS_PERALES</t>
  </si>
  <si>
    <t>PMGD Solar Los Perales I SpA</t>
  </si>
  <si>
    <t>G_LA_CHIMBA</t>
  </si>
  <si>
    <t>G_PMGD_FV_LA_CHIMBA</t>
  </si>
  <si>
    <t>La Chimba Bis SpA</t>
  </si>
  <si>
    <t>G_LA_COLONIA</t>
  </si>
  <si>
    <t>G_PMGD_FV_LA_COLONIA</t>
  </si>
  <si>
    <t>G_LA_ESPERANZA</t>
  </si>
  <si>
    <t>G_PMG_EO_LA_ESPERANZA</t>
  </si>
  <si>
    <t>Eólica La Esperanza S.A.</t>
  </si>
  <si>
    <t>G_LA_ESPERANZA_2</t>
  </si>
  <si>
    <t>G_PMGD_FV_LA_ESPERANZA_II</t>
  </si>
  <si>
    <t>GR Araucaria SpA</t>
  </si>
  <si>
    <t>G_LA_ESTANCIA</t>
  </si>
  <si>
    <t>G_PMGD_FV_LA_ESTANCIA</t>
  </si>
  <si>
    <t>G_LA_FORESTA</t>
  </si>
  <si>
    <t>G_PMGD_FV_LA_FORESTA</t>
  </si>
  <si>
    <t>Sociedad de Energías Renovables Los Lirios SpA</t>
  </si>
  <si>
    <t>G_LA_FRONTERA</t>
  </si>
  <si>
    <t>G_PMGD_FV_LA_FRONTERA</t>
  </si>
  <si>
    <t>G_LA_GAMBOINA</t>
  </si>
  <si>
    <t>G_PMGD_FV_LA_GAMBOINA</t>
  </si>
  <si>
    <t>G_LA_HUERTA</t>
  </si>
  <si>
    <t>G_PMGD_FV_LA_HUERTA</t>
  </si>
  <si>
    <t>La Huerta SPA</t>
  </si>
  <si>
    <t>G_LA_LIGUA</t>
  </si>
  <si>
    <t>G_PMGD_FV_LA_LIGUA</t>
  </si>
  <si>
    <t>Illalolen S.A.</t>
  </si>
  <si>
    <t>G_LA_MANGA_I</t>
  </si>
  <si>
    <t>G_PMGD_FV_LA_MANGA_I</t>
  </si>
  <si>
    <t>La Manga Energy SpA</t>
  </si>
  <si>
    <t>G_LA_PALMA</t>
  </si>
  <si>
    <t>G_PMGD_FV_LA_PALMA</t>
  </si>
  <si>
    <t>G_LA_PAZ</t>
  </si>
  <si>
    <t>G_PMGD_FV_LA_PAZ</t>
  </si>
  <si>
    <t>G_LA_SANTA_ROSA</t>
  </si>
  <si>
    <t>G_PMGD_FV_LA_SANTA_ROSA</t>
  </si>
  <si>
    <t>GR Chaquihue SpA</t>
  </si>
  <si>
    <t>G_LA_VENDIMIA</t>
  </si>
  <si>
    <t>G_PMGD_FV_LA_VENDIMIA</t>
  </si>
  <si>
    <t>Energías Renovables El Boldo SpA</t>
  </si>
  <si>
    <t>G_LA_VICTORIA</t>
  </si>
  <si>
    <t>G_PMGD_FV_LA_VICTORIA</t>
  </si>
  <si>
    <t>Magdalena Solar SpA</t>
  </si>
  <si>
    <t>G_LAACACIA</t>
  </si>
  <si>
    <t>G_PMGD_FV_LAACACIA</t>
  </si>
  <si>
    <t>La Acacia SpA</t>
  </si>
  <si>
    <t>G_LAGUNILLA</t>
  </si>
  <si>
    <t>G_PMGD_FV_LAGUNILLA</t>
  </si>
  <si>
    <t>G_LAJA_ANDINO</t>
  </si>
  <si>
    <t>G_PMGD_FV_LAJA_ANDINO</t>
  </si>
  <si>
    <t>Andina Solar 10 SpA</t>
  </si>
  <si>
    <t>G_LAS_ARBOLEDAS</t>
  </si>
  <si>
    <t>G_PMGD_FV_LAS_ARBOLEDAS</t>
  </si>
  <si>
    <t>Teno III SpA</t>
  </si>
  <si>
    <t>G_LAS_BANDURRIAS</t>
  </si>
  <si>
    <t>G_PMGD_FV_LAS_BANDURRIAS</t>
  </si>
  <si>
    <t>G_LAS_CABRAS</t>
  </si>
  <si>
    <t>G_PMGD_FV_LAS_CABRAS</t>
  </si>
  <si>
    <t>RCL Solar SpA</t>
  </si>
  <si>
    <t>G_LAS_CATITAS</t>
  </si>
  <si>
    <t>G_PMGD_FV_LAS_CATITAS</t>
  </si>
  <si>
    <t>PFV Las Catitas SpA</t>
  </si>
  <si>
    <t>G_LAS_CHACRAS</t>
  </si>
  <si>
    <t>G_PMGD_FV_LAS_CHACRAS</t>
  </si>
  <si>
    <t>Las Chacras Energy SpA</t>
  </si>
  <si>
    <t>G_LAS_CODORNICES</t>
  </si>
  <si>
    <t>G_PMGD_FV_LAS_CODORNICES</t>
  </si>
  <si>
    <t>G_LAS_GOLONDRINAS</t>
  </si>
  <si>
    <t>G_PMGD_FV_LAS_GOLONDRINAS</t>
  </si>
  <si>
    <t>PFV Las Golondrinas SpA</t>
  </si>
  <si>
    <t>G_LAS_LECHUZAS</t>
  </si>
  <si>
    <t>G_PMGD_FV_LAS_LECHUZAS</t>
  </si>
  <si>
    <t>PFV Las Lechuzas SpA</t>
  </si>
  <si>
    <t>G_LAS_MERCEDES_I</t>
  </si>
  <si>
    <t>G_PMGD_FV_LAS_MERCEDES_I</t>
  </si>
  <si>
    <t>G_LAS_PALMAS</t>
  </si>
  <si>
    <t>G_PMGD_FV_LAS_PALMAS</t>
  </si>
  <si>
    <t>Capurata del Verano SpA</t>
  </si>
  <si>
    <t>G_LAS_PAMPAS</t>
  </si>
  <si>
    <t>G_PMGD_BM_LAS PAMPAS</t>
  </si>
  <si>
    <t>Bio Energía Las Pampas SpA</t>
  </si>
  <si>
    <t>G_LAS_PENAS</t>
  </si>
  <si>
    <t>G_PMGD_EO_LAS_PENAS</t>
  </si>
  <si>
    <t>Eólico Las Peñas SpA</t>
  </si>
  <si>
    <t>G_LAS_PERDICES</t>
  </si>
  <si>
    <t>G_PMGD_FV_LAS_PERDICES</t>
  </si>
  <si>
    <t>G_LAS_ROJAS</t>
  </si>
  <si>
    <t>G_PMGD_FV_LAS_ROJAS</t>
  </si>
  <si>
    <t>Sonnedix La Serena SpA</t>
  </si>
  <si>
    <t>G_LAS_TENCAS</t>
  </si>
  <si>
    <t>G_PMGD_FV_LAS_TENCAS</t>
  </si>
  <si>
    <t>PFV Las Tencas SpA</t>
  </si>
  <si>
    <t>G_LAS_TERRAZAS</t>
  </si>
  <si>
    <t>G_PMGD_FV_LAS_TERRAZAS</t>
  </si>
  <si>
    <t>Energía Atacama S.A.</t>
  </si>
  <si>
    <t>G_LAS_TORCAZAS</t>
  </si>
  <si>
    <t>G_PMGD_FV_LAS TORCAZAS</t>
  </si>
  <si>
    <t>PFV Las Torcazas SpA</t>
  </si>
  <si>
    <t>G_LAS_TORTOLAS</t>
  </si>
  <si>
    <t>G_PMGD_FV_LAS_TORTOLAS</t>
  </si>
  <si>
    <t>PFV Las Tortolas SpA</t>
  </si>
  <si>
    <t>G_LAS_TORTOLAS_DEL_VERANO</t>
  </si>
  <si>
    <t>G_PMGD_FV_LAS_TORTOLAS_DEL_VERANO</t>
  </si>
  <si>
    <t>Calbuco de Verano SpA</t>
  </si>
  <si>
    <t>G_LASTURCAS</t>
  </si>
  <si>
    <t>G_PMGD_FV_LAS_TURCAS</t>
  </si>
  <si>
    <t>G_LAURELITO</t>
  </si>
  <si>
    <t>G_PMGD_FV_LAURELITO</t>
  </si>
  <si>
    <t>Laurel SpA</t>
  </si>
  <si>
    <t>G_LEMU</t>
  </si>
  <si>
    <t>G_PMGD_FV_LEMU</t>
  </si>
  <si>
    <t>G_LIEBRE_DEL_VERANO</t>
  </si>
  <si>
    <t>G_PMGD_FV_LIEBRE_DEL_VERANO</t>
  </si>
  <si>
    <t>G_LIMA</t>
  </si>
  <si>
    <t>G_PMGD_FV_LIMA</t>
  </si>
  <si>
    <t>G_LINARES_SOLAR</t>
  </si>
  <si>
    <t>G_PMGD_FV_LINARES_SOLAR</t>
  </si>
  <si>
    <t>G_LINGUE</t>
  </si>
  <si>
    <t>G_PMGD_FV_LINGUE</t>
  </si>
  <si>
    <t>Lingue SpA</t>
  </si>
  <si>
    <t>G_PMGD_FV_LIPANGUE</t>
  </si>
  <si>
    <t>G_LIQUIDAMBAR</t>
  </si>
  <si>
    <t>G_PMGD_FV_LIQUIDAMBAR</t>
  </si>
  <si>
    <t>CVE Proyecto Siete SpA</t>
  </si>
  <si>
    <t>G_LIRIO_DE_CAMPO</t>
  </si>
  <si>
    <t>G_PMGD_FV_LIRIO_DE_CAMPO</t>
  </si>
  <si>
    <t>Lirio de Campo Solar SpA</t>
  </si>
  <si>
    <t>G_LIRIOS</t>
  </si>
  <si>
    <t>G_PMGD_FV_LOS_LIRIOS</t>
  </si>
  <si>
    <t>G_LITORAL_SUNLIGHT</t>
  </si>
  <si>
    <t>G_PMGD_FV_LITORAL_SUNLIGHT</t>
  </si>
  <si>
    <t>G_LITRE_SOLAR_II</t>
  </si>
  <si>
    <t>G_PMGD_FV_LITRE_SOLAR_II</t>
  </si>
  <si>
    <t>G_LLANOS_POTROSO</t>
  </si>
  <si>
    <t>G_PMGD_FV_LLANOS_POTROSO</t>
  </si>
  <si>
    <t>G_LLAYLLAY</t>
  </si>
  <si>
    <t>G_PMGD_FV_LLAYLLAY</t>
  </si>
  <si>
    <t>Xue Solar SpA</t>
  </si>
  <si>
    <t>G_LLIU_LLIU</t>
  </si>
  <si>
    <t>G_PMGD_FV_LLIU_LLIU</t>
  </si>
  <si>
    <t>Andina Solar 6 SpA</t>
  </si>
  <si>
    <t>G_LLOICAS</t>
  </si>
  <si>
    <t>G_PMGD_FV_LLOICAS</t>
  </si>
  <si>
    <t>G_LO_BOZA</t>
  </si>
  <si>
    <t>G_PMGD_FV_LO_BOZA</t>
  </si>
  <si>
    <t>G_LO_CHACON</t>
  </si>
  <si>
    <t>G_PMGD_FV_LO_CHACON</t>
  </si>
  <si>
    <t>PFV Lo Chacón SpA</t>
  </si>
  <si>
    <t>G_LO_MIGUEL</t>
  </si>
  <si>
    <t>G_PMGD_FV_LO_MIGUEL</t>
  </si>
  <si>
    <t>G_LO_SIERRA</t>
  </si>
  <si>
    <t>G_PMGD_FV_LO_SIERRA</t>
  </si>
  <si>
    <t>Parque Solar H6 SpA</t>
  </si>
  <si>
    <t>G_LOCKMA</t>
  </si>
  <si>
    <t>G_PMGD_FV_LOCKMA</t>
  </si>
  <si>
    <t>G_LOICA</t>
  </si>
  <si>
    <t>G_PMGD_FV_LOICA</t>
  </si>
  <si>
    <t>Loica SpA</t>
  </si>
  <si>
    <t>G_LOMA_TENDIDA_DEL_VERANO</t>
  </si>
  <si>
    <t>G_PMGD_FV_LOMA_TENDIDA_DEL_VERANO</t>
  </si>
  <si>
    <t>G_LOMASCOLORADAS</t>
  </si>
  <si>
    <t>G_PMGD_FV_LOMAS_COLORADAS</t>
  </si>
  <si>
    <t>PSF Lomas Coloradas S.A.</t>
  </si>
  <si>
    <t>G_LONCURA</t>
  </si>
  <si>
    <t>G_PMGD_FV_LONCURA</t>
  </si>
  <si>
    <t>Tedlar Diemos SpA</t>
  </si>
  <si>
    <t>G_LORETO_SOLAR</t>
  </si>
  <si>
    <t>G_PMGD_FV_LORETO_SOLAR</t>
  </si>
  <si>
    <t>Fotovoltaica Acacia SpA</t>
  </si>
  <si>
    <t>G_LORO_CHOROY</t>
  </si>
  <si>
    <t>G_PMGD_FV_LORO_CHOROY</t>
  </si>
  <si>
    <t>PFV El Loro Choroy SpA</t>
  </si>
  <si>
    <t>G_LOS_BANOS</t>
  </si>
  <si>
    <t>G_PMGD_FV_LOS_BANOS</t>
  </si>
  <si>
    <t>Parque Solar Esmeralda SpA</t>
  </si>
  <si>
    <t>G_LOS_CISNES</t>
  </si>
  <si>
    <t>G_PMGD_FVLOS_CISNES</t>
  </si>
  <si>
    <t>PFV Los Cisnes SpA</t>
  </si>
  <si>
    <t>G_LOS_JOTES</t>
  </si>
  <si>
    <t>G_PMGD_FV_LOS_JOTES</t>
  </si>
  <si>
    <t>G_LOS_LAGOS</t>
  </si>
  <si>
    <t>G_PMGD_FV_LOS_LAGOS</t>
  </si>
  <si>
    <t>Los Lagos SpA</t>
  </si>
  <si>
    <t>G_LOS_LIBERTADORES</t>
  </si>
  <si>
    <t>G_PMGD_FV_LOS_LIBERTADORES</t>
  </si>
  <si>
    <t>G_LOS_MAGNOLIOS</t>
  </si>
  <si>
    <t>G_PMGD_FV_LOS_MAGNOLIOS_SOLAR</t>
  </si>
  <si>
    <t>Litre SpA</t>
  </si>
  <si>
    <t>G_LOS_MOLINOS</t>
  </si>
  <si>
    <t>G_PMGD_FV_LOS_MOLINOS</t>
  </si>
  <si>
    <t>Los Molinos SpA</t>
  </si>
  <si>
    <t>G_LOS_PALTOS</t>
  </si>
  <si>
    <t>G_PMGD_FV_LOS_PALTOS</t>
  </si>
  <si>
    <t>G_LOS_ROBLES</t>
  </si>
  <si>
    <t>G_PMGD_FV_LOS_ROBLES</t>
  </si>
  <si>
    <t>Panguilemo SpA</t>
  </si>
  <si>
    <t>G_LOS_TAURETES</t>
  </si>
  <si>
    <t>G_PMGD_FV_LOS_TAURETES</t>
  </si>
  <si>
    <t>CVE Proyecto Ocho SpA</t>
  </si>
  <si>
    <t>G_LOS_TILOS</t>
  </si>
  <si>
    <t>G_PMGD_FV_LOS_TILOS</t>
  </si>
  <si>
    <t>Parque Fotovoltaico Ocoa II SpA</t>
  </si>
  <si>
    <t>G_LOS_TORDOS</t>
  </si>
  <si>
    <t>G_PMGD_FV_LOS_TORDOS</t>
  </si>
  <si>
    <t>PFV Los Tordos SpA</t>
  </si>
  <si>
    <t>G_LOSBAJOS</t>
  </si>
  <si>
    <t>G_PMGD_HP_LOS_BAJOS</t>
  </si>
  <si>
    <t>G_LUCAS_SOLAR</t>
  </si>
  <si>
    <t>G_PMG__FV_LUCAS</t>
  </si>
  <si>
    <t>G_LUCE_SOLAR</t>
  </si>
  <si>
    <t>G_PMGD_FV_LUCE_SOLAR</t>
  </si>
  <si>
    <t>Luce Solar SpA</t>
  </si>
  <si>
    <t>G_LUDERS</t>
  </si>
  <si>
    <t>G_PMGD_FV_LUDERS</t>
  </si>
  <si>
    <t>G_LUMBRERAS</t>
  </si>
  <si>
    <t>G_PMGD_FV_LUMBRERAS</t>
  </si>
  <si>
    <t>G_LUNA</t>
  </si>
  <si>
    <t>G_PMGD_FV_LUNA</t>
  </si>
  <si>
    <t>Luna Energy SpA</t>
  </si>
  <si>
    <t>G_LUNA_DEL_NORTE</t>
  </si>
  <si>
    <t>G_PMGD_FV_LUNA_DEL_NORTE</t>
  </si>
  <si>
    <t>G_MACAO</t>
  </si>
  <si>
    <t>G_PMGD_FV_MACAO</t>
  </si>
  <si>
    <t>MACAO SOLAR SPA</t>
  </si>
  <si>
    <t>G_MACARENA_SOLAR</t>
  </si>
  <si>
    <t>G_PMGD_FV_MACARENA_SOLAR</t>
  </si>
  <si>
    <t>CVE Proyecto Veintiséis SpA</t>
  </si>
  <si>
    <t>G_MAIKONO</t>
  </si>
  <si>
    <t>G_PMGD_FV_MAIKONO</t>
  </si>
  <si>
    <t>Tórtola SpA</t>
  </si>
  <si>
    <t>G_MAIMALICAN</t>
  </si>
  <si>
    <t>G_PMGD_FV_MAIMALICAN</t>
  </si>
  <si>
    <t>PS Maimalican SpA</t>
  </si>
  <si>
    <t>G_MAITEN</t>
  </si>
  <si>
    <t>G_PMG__EO_MAITEN</t>
  </si>
  <si>
    <t>G_MAITENLAHUE</t>
  </si>
  <si>
    <t>G_PMGD_FVMAITENLAHUE</t>
  </si>
  <si>
    <t>Fotovoltaica Santa Rosario SpA</t>
  </si>
  <si>
    <t>G_MAJADAS</t>
  </si>
  <si>
    <t>G_PMGD_FV_LAS_MAJADAS</t>
  </si>
  <si>
    <t>G_MALINKE</t>
  </si>
  <si>
    <t>G_PMGD_FV_MALINKE</t>
  </si>
  <si>
    <t>G_MALLOCO</t>
  </si>
  <si>
    <t>G_PMGD_FV_MALLOCO</t>
  </si>
  <si>
    <t>G_MALVILLA</t>
  </si>
  <si>
    <t>G_PMGD_FV_MALVILLA</t>
  </si>
  <si>
    <t>G_MANAO</t>
  </si>
  <si>
    <t>G_PMGD_FV_MANAO</t>
  </si>
  <si>
    <t>Solar TI Doce SpA</t>
  </si>
  <si>
    <t>G_MANDINGA</t>
  </si>
  <si>
    <t>G_PMGD_MANDINGA_I</t>
  </si>
  <si>
    <t>Mandinga Solar SpA</t>
  </si>
  <si>
    <t>G_MANGA_SOLAR</t>
  </si>
  <si>
    <t>G_PMGD_FV_MANGA_SOLAR</t>
  </si>
  <si>
    <t>G_MARAMBIO</t>
  </si>
  <si>
    <t>G_PMGD_FV_MARAMBIO</t>
  </si>
  <si>
    <t>Parque Solar Colina SpA</t>
  </si>
  <si>
    <t>G_MARANON_II</t>
  </si>
  <si>
    <t>G_PMGD_FV_MARANON_II</t>
  </si>
  <si>
    <t>PSF Santa Isabel SpA</t>
  </si>
  <si>
    <t>G_MARCHIGUE_II</t>
  </si>
  <si>
    <t>G_PMGD_FV_MARCHIGUE_II</t>
  </si>
  <si>
    <t>GR Canelo SpA</t>
  </si>
  <si>
    <t>G_MARCHIHUE_VII</t>
  </si>
  <si>
    <t>G_PMGD_FV_MARCHIHUE_VII</t>
  </si>
  <si>
    <t>G_MARIA_PINTO</t>
  </si>
  <si>
    <t>G_PMGD_FV_MARIA_PINTO</t>
  </si>
  <si>
    <t>PFV María Pinto SpA</t>
  </si>
  <si>
    <t>G_MARIN</t>
  </si>
  <si>
    <t>G_PMGD_FV_MARIN</t>
  </si>
  <si>
    <t>G_MAYOS_2</t>
  </si>
  <si>
    <t>G_PMGD_FV_MAYOS_2</t>
  </si>
  <si>
    <t>Parque Solar Santa Cruz SpA</t>
  </si>
  <si>
    <t>G_MECO_CHILLAN</t>
  </si>
  <si>
    <t>G_PMGD_FV_MECO</t>
  </si>
  <si>
    <t>Parque Solar Meco Chillan SpA</t>
  </si>
  <si>
    <t>G_MELI</t>
  </si>
  <si>
    <t>G_PMGD_FV_MELI</t>
  </si>
  <si>
    <t>Meli SpA</t>
  </si>
  <si>
    <t>G_MEMBRILLO</t>
  </si>
  <si>
    <t>G_PMGD_FV_MEMBRILLO</t>
  </si>
  <si>
    <t>Fotovoltaica Avellano SpA</t>
  </si>
  <si>
    <t>G_MERCURIO_SUR</t>
  </si>
  <si>
    <t>G_PMGD_FV_MERCURIO_SUR</t>
  </si>
  <si>
    <t>Los Libertadores Solar Spa</t>
  </si>
  <si>
    <t>G_MILAN</t>
  </si>
  <si>
    <t>G_PMGD_FV_MILAN_A</t>
  </si>
  <si>
    <t>G_MITCHI</t>
  </si>
  <si>
    <t>G_PMGD_FV_MITCHI</t>
  </si>
  <si>
    <t>G_MOLLACAS</t>
  </si>
  <si>
    <t>G_PMGD_FV_MOLLACAS</t>
  </si>
  <si>
    <t>Las Mollacas SpA</t>
  </si>
  <si>
    <t>G_MONTT_SOLAR</t>
  </si>
  <si>
    <t>G_PMGD_FV_MONTT_SOLAR</t>
  </si>
  <si>
    <t>G_MOSTAZAL</t>
  </si>
  <si>
    <t>G_PMGD_FV_MOSTAZAL</t>
  </si>
  <si>
    <t>G_MOYA</t>
  </si>
  <si>
    <t>G_PMGD_FV_MOYA</t>
  </si>
  <si>
    <t>Suvan Solar SpA</t>
  </si>
  <si>
    <t>G_MUNILQUE_1</t>
  </si>
  <si>
    <t>G_PMGD_HP_MUNILQUE1</t>
  </si>
  <si>
    <t>G_MUNILQUE_2</t>
  </si>
  <si>
    <t>G_PMGD_HP_MUNILQUE2</t>
  </si>
  <si>
    <t>G_MURALLA</t>
  </si>
  <si>
    <t>G_PMGD_FV_MURALLA</t>
  </si>
  <si>
    <t>Parque Solar La Muralla SpA</t>
  </si>
  <si>
    <t>G_MUTUPIN</t>
  </si>
  <si>
    <t>G_PMGD_FV_MUTUPIN</t>
  </si>
  <si>
    <t>G_NAHUEN</t>
  </si>
  <si>
    <t>G_PMGD_FV_NAHUEN</t>
  </si>
  <si>
    <t>GR Pilo SpA</t>
  </si>
  <si>
    <t>G_NAN</t>
  </si>
  <si>
    <t>G_PMGD_FV_NAN</t>
  </si>
  <si>
    <t>Nextpower III Chile Holdco II SpA</t>
  </si>
  <si>
    <t>G_PMGD_FV_NANCAGUA</t>
  </si>
  <si>
    <t>G_NAZARINO</t>
  </si>
  <si>
    <t>G_PMGD_FV_NAZARINO_DE_VERANO_SOLAR</t>
  </si>
  <si>
    <t>Socompa de Verano SpA</t>
  </si>
  <si>
    <t>G_NEWENTUN</t>
  </si>
  <si>
    <t>G_PMGD_FV_NEWENTUN</t>
  </si>
  <si>
    <t>Newentun SpA</t>
  </si>
  <si>
    <t>G_NIHUE</t>
  </si>
  <si>
    <t>G_PMGD_FV_NIHUE</t>
  </si>
  <si>
    <t>G_NILHUE</t>
  </si>
  <si>
    <t>G_PMGD_FV_NILHUE</t>
  </si>
  <si>
    <t>Gestel Ingeniería Limitada</t>
  </si>
  <si>
    <t>G_NILO_GABRIELA</t>
  </si>
  <si>
    <t>G_PMGD_FV_NILO_GABRIELA</t>
  </si>
  <si>
    <t>G_NIQUEN</t>
  </si>
  <si>
    <t>G_PMGD_FV_NIQUEN</t>
  </si>
  <si>
    <t>Maitén SpA</t>
  </si>
  <si>
    <t>G_NORTE_CHICO</t>
  </si>
  <si>
    <t>G_PMGD_FV_NORTE_CHICO_I</t>
  </si>
  <si>
    <t>G_OCOA</t>
  </si>
  <si>
    <t>G_PMGD_FV_OCOA</t>
  </si>
  <si>
    <t>Parque Fotovoltaico Ocoa SpA</t>
  </si>
  <si>
    <t>G_OLIVIA</t>
  </si>
  <si>
    <t>G_PMGD_FVOLIVIA</t>
  </si>
  <si>
    <t>G_OLIVIER</t>
  </si>
  <si>
    <t>G_PMGD_FV_OLIVIER</t>
  </si>
  <si>
    <t>G_OLIVILLO</t>
  </si>
  <si>
    <t>G_PMGD_FV_OLIVILLO</t>
  </si>
  <si>
    <t>G_ORION</t>
  </si>
  <si>
    <t>G_PMGD_FV_ORION</t>
  </si>
  <si>
    <t>G_ORQUIDEA</t>
  </si>
  <si>
    <t>G_PMGD_FV_ORQUIDEA</t>
  </si>
  <si>
    <t>CVE Proyecto Quince SpA</t>
  </si>
  <si>
    <t>G_OVALLE_NORTE</t>
  </si>
  <si>
    <t>G_PMGD_FV_OVALLE_NORTE</t>
  </si>
  <si>
    <t>Parque Solar Ovalle Norte SpA</t>
  </si>
  <si>
    <t>G_OVEJERIA</t>
  </si>
  <si>
    <t>G_PMGD_FV_OVEJERIA</t>
  </si>
  <si>
    <t>G_PACHIRA</t>
  </si>
  <si>
    <t>G_PMGD_FV_PACHIRA</t>
  </si>
  <si>
    <t>G_PAILLIHUE</t>
  </si>
  <si>
    <t>G_PMGD_FV_PAILLIHUE</t>
  </si>
  <si>
    <t>Andina Solar 17 Este SpA</t>
  </si>
  <si>
    <t>G_PAINE</t>
  </si>
  <si>
    <t>G_PMGD_FV_PAINE</t>
  </si>
  <si>
    <t>G_PALOMA</t>
  </si>
  <si>
    <t>G_PMGD_HP_LA_PALOMA</t>
  </si>
  <si>
    <t>Hidropaloma S.A.</t>
  </si>
  <si>
    <t>G_PALOMAS</t>
  </si>
  <si>
    <t>G_PMGD_FV_PALOMAS</t>
  </si>
  <si>
    <t>G_PALTO_SUNLIGHT</t>
  </si>
  <si>
    <t>G_PMGD_FV_PALTO_SUNLIGHT</t>
  </si>
  <si>
    <t>G_PAMPA_CAMARONES</t>
  </si>
  <si>
    <t>G_FV_PAMPA_CAMARONES</t>
  </si>
  <si>
    <t>G_PANGUI_AEROPUERTO</t>
  </si>
  <si>
    <t>G_PMGD_FV_PANGUI_AEROPUERTO</t>
  </si>
  <si>
    <t>Parque Solar Retiro SpA</t>
  </si>
  <si>
    <t>G_PANQUEHUE_II</t>
  </si>
  <si>
    <t>G_PMGD_FV_PANQUEHUE_II</t>
  </si>
  <si>
    <t>G_PARAGUAY</t>
  </si>
  <si>
    <t>G_PMGD_FV_PARAGUAY</t>
  </si>
  <si>
    <t>G_PARANAL</t>
  </si>
  <si>
    <t>G_PMGD_FV_PARANAL</t>
  </si>
  <si>
    <t>G_PARQUE_VALPARAISO</t>
  </si>
  <si>
    <t>G_PMGD_FV_PARQUE_VALPARAISO</t>
  </si>
  <si>
    <t>G_PASTRAN</t>
  </si>
  <si>
    <t>G_PMGD_FV_PASTRAN</t>
  </si>
  <si>
    <t>G_PATOS</t>
  </si>
  <si>
    <t>G_PMGD_FV_PATOS</t>
  </si>
  <si>
    <t>G_PATRICIA_DEL_VERANO</t>
  </si>
  <si>
    <t>G_PMGD_FV_PATRICIA_DEL_VERANO_SOLAR</t>
  </si>
  <si>
    <t>Pomerape SpA</t>
  </si>
  <si>
    <t>G_PEDREROS</t>
  </si>
  <si>
    <t>G_PMGD_FV_PEDREROS</t>
  </si>
  <si>
    <t>G_PEGASUS</t>
  </si>
  <si>
    <t>G_PMGD_FV_PEGASUS</t>
  </si>
  <si>
    <t>G_PELLIN</t>
  </si>
  <si>
    <t>G_PMGD_FV_PELLIN</t>
  </si>
  <si>
    <t>Solar Ti Quince SpA</t>
  </si>
  <si>
    <t>G_PELUMPEN</t>
  </si>
  <si>
    <t>G_PMGD_FV_PELUMPEN</t>
  </si>
  <si>
    <t>CVE Proyecto Dieciocho SpA</t>
  </si>
  <si>
    <t>G_PENAFLOR</t>
  </si>
  <si>
    <t>G_PMGD_FV_PENAFLOR</t>
  </si>
  <si>
    <t>G_PENAFLOR_II</t>
  </si>
  <si>
    <t>G_PMGD_FV_PENAFLOR_II</t>
  </si>
  <si>
    <t>G_PENCAHUE</t>
  </si>
  <si>
    <t>G_PMGD_FV_PENCAHUE</t>
  </si>
  <si>
    <t>G_PENCAHUE_ESTE</t>
  </si>
  <si>
    <t>G_PMGD_FV_PENCAHUE_ESTE</t>
  </si>
  <si>
    <t>Parque Solar Porvenir SpA</t>
  </si>
  <si>
    <t>G_PEPA_SOLAR</t>
  </si>
  <si>
    <t>G_PMGD_FV_PEPA_SOLAR</t>
  </si>
  <si>
    <t>G_PEQUEN</t>
  </si>
  <si>
    <t>G_PMGD_FV_PEQUEN</t>
  </si>
  <si>
    <t>G_PERALILLO</t>
  </si>
  <si>
    <t>G_PMGD_FV_PERALILLO</t>
  </si>
  <si>
    <t>G_PESARO</t>
  </si>
  <si>
    <t>G_PMGD_FV_PESARO</t>
  </si>
  <si>
    <t>Pesaro Solar SpA</t>
  </si>
  <si>
    <t>G_PEUMO</t>
  </si>
  <si>
    <t>G_PMGD_FV_PEUMO</t>
  </si>
  <si>
    <t>GR Ciprés SpA</t>
  </si>
  <si>
    <t>G_PFV_COLINA</t>
  </si>
  <si>
    <t>G_PMGD_FV_PFV_COLINA</t>
  </si>
  <si>
    <t>Chacabuco Solar SpA</t>
  </si>
  <si>
    <t>G_PFV_LOS_NOGALES</t>
  </si>
  <si>
    <t>G_PMGD_FV_PFV_LOS_NOGALES</t>
  </si>
  <si>
    <t>G_PICHILONCO</t>
  </si>
  <si>
    <t>G_PMGD_HP_PICHILONCO II</t>
  </si>
  <si>
    <t>G_PICHON</t>
  </si>
  <si>
    <t>G_PMGD_FV_EL_PICHON</t>
  </si>
  <si>
    <t>G_PICUNCHE</t>
  </si>
  <si>
    <t>G_PMGD_FV_PICUNCHE</t>
  </si>
  <si>
    <t>G_PICURIO</t>
  </si>
  <si>
    <t>G_PMGD_FV_PICURIO</t>
  </si>
  <si>
    <t>G_PIDUCO</t>
  </si>
  <si>
    <t>G_PMGD_FV_PIDUCO</t>
  </si>
  <si>
    <t>G_PILPEN</t>
  </si>
  <si>
    <t>G_PMGD_FV_PILPEN</t>
  </si>
  <si>
    <t>G_PILPILEN</t>
  </si>
  <si>
    <t>G_PMGD_FV_PILPILEN</t>
  </si>
  <si>
    <t>Pilpilén SpA</t>
  </si>
  <si>
    <t>G_PIQUERO</t>
  </si>
  <si>
    <t>G_PMGD_FV_PIQUERO</t>
  </si>
  <si>
    <t>Piquero SpA</t>
  </si>
  <si>
    <t>G_PIRQUE</t>
  </si>
  <si>
    <t>G_PMGD_FV_PIRQUE</t>
  </si>
  <si>
    <t>Solar TI Cuatro SpA</t>
  </si>
  <si>
    <t>G_PITAO</t>
  </si>
  <si>
    <t>G_PMGD_FV_PITAO</t>
  </si>
  <si>
    <t>GR Pitao SpA</t>
  </si>
  <si>
    <t>G_PITRA</t>
  </si>
  <si>
    <t>G_PMGD_FV_PITRA</t>
  </si>
  <si>
    <t>Pitra SpA</t>
  </si>
  <si>
    <t>G_PLACILLA_SOLAR</t>
  </si>
  <si>
    <t>G_PMGD_FV_PLACILLA_SOLAR</t>
  </si>
  <si>
    <t>G_PLAYERITO</t>
  </si>
  <si>
    <t>G_PMGD_FV_PLAYERITO</t>
  </si>
  <si>
    <t>Playero SpA</t>
  </si>
  <si>
    <t>G_PLAYERO</t>
  </si>
  <si>
    <t>G_PMGD_FV_PLAYERO</t>
  </si>
  <si>
    <t>G_PLAYERON</t>
  </si>
  <si>
    <t>G_PMGD_FV_PLAYERON</t>
  </si>
  <si>
    <t>G_PLAZA_SUNLIGHT</t>
  </si>
  <si>
    <t>G_PMGD_PLAZA_SUNLIGHT</t>
  </si>
  <si>
    <t>G_PLAZUELA</t>
  </si>
  <si>
    <t>G_PMGD_FV_PLAZUELA</t>
  </si>
  <si>
    <t>G_PLOMO_DE_VERANO</t>
  </si>
  <si>
    <t>G_PMGD_FV_PLOMO_DE_VERANO</t>
  </si>
  <si>
    <t>Linzor de Verano SpA</t>
  </si>
  <si>
    <t>G_PM5700</t>
  </si>
  <si>
    <t>G_PMGD_FV_ANAKENA</t>
  </si>
  <si>
    <t>G_POBLACION</t>
  </si>
  <si>
    <t>G_PMGD_FV_POBLACION</t>
  </si>
  <si>
    <t>G_POCILLAS</t>
  </si>
  <si>
    <t>G_PMGD_FV_POCILLAS</t>
  </si>
  <si>
    <t>G_POMUYETO</t>
  </si>
  <si>
    <t>G_PMGD_FV_POMUYETO</t>
  </si>
  <si>
    <t>G_PORTEZUELO</t>
  </si>
  <si>
    <t>G_PMGD_FV_G_PORTEZUELO</t>
  </si>
  <si>
    <t>G_PRETTY_FIELD</t>
  </si>
  <si>
    <t>G_PMGD_FV_PRETTY_FIELD</t>
  </si>
  <si>
    <t>Campo Lindo SpA</t>
  </si>
  <si>
    <t>G_PUANGUE</t>
  </si>
  <si>
    <t>G_PMGD_FV_PUANGUE</t>
  </si>
  <si>
    <t>G_PUCLA</t>
  </si>
  <si>
    <t>G_PMGD_HP_PUCLARO</t>
  </si>
  <si>
    <t>Hidroelectrica Puclaro S.A.</t>
  </si>
  <si>
    <t>G_PUEBLO_HUNDIDO</t>
  </si>
  <si>
    <t>G_PMGD_FV_PUEBLO_HUNDIDO</t>
  </si>
  <si>
    <t>Fotovoltaica Pueblo Hundido SpA</t>
  </si>
  <si>
    <t>G_PUEBLO_SECO</t>
  </si>
  <si>
    <t>G_PMGD_FV_PUEBLO_SECO</t>
  </si>
  <si>
    <t>Parque Solar Pueblo Seco SpA</t>
  </si>
  <si>
    <t>G_PUELCHE</t>
  </si>
  <si>
    <t>EMOAC SpA</t>
  </si>
  <si>
    <t>G_PUENTE_SOLAR</t>
  </si>
  <si>
    <t>G_PMGD_FV_PUENTE</t>
  </si>
  <si>
    <t>PMGD Puente SpA</t>
  </si>
  <si>
    <t>G_PULLALLI_SOLAR</t>
  </si>
  <si>
    <t>G_PMGD_FV_PULLALLI</t>
  </si>
  <si>
    <t>Fotovoltaica La Ligua SpA</t>
  </si>
  <si>
    <t>G_PUNTA_BAJA</t>
  </si>
  <si>
    <t>G_PMGD_FV_PUNTA_BAJA</t>
  </si>
  <si>
    <t>G_PV_PITOTOY</t>
  </si>
  <si>
    <t>G_PV_QUELTEHE</t>
  </si>
  <si>
    <t>G_QUEBRADA_TALCA</t>
  </si>
  <si>
    <t>G_PMGD_FV_QUEBRADA_TALCA</t>
  </si>
  <si>
    <t>G_QUEMADOS</t>
  </si>
  <si>
    <t>G_PMGD_FV_QUEMADOS</t>
  </si>
  <si>
    <t>G_QUETENA</t>
  </si>
  <si>
    <t>G_PMGD_FV_QUETENA</t>
  </si>
  <si>
    <t>G_QUILLAILEO</t>
  </si>
  <si>
    <t>G_PMGD_HP_QUILLAILEO</t>
  </si>
  <si>
    <t>G_QUILLAY</t>
  </si>
  <si>
    <t>G_PMGD_FV_QUILLAY</t>
  </si>
  <si>
    <t>Quillay Solar SpA</t>
  </si>
  <si>
    <t>G_QUILMO_SOLAR</t>
  </si>
  <si>
    <t>G_PMGD_FV_QUILMO_SOLAR</t>
  </si>
  <si>
    <t>QUILMO SOLAR SPA</t>
  </si>
  <si>
    <t>G_QUINANTU</t>
  </si>
  <si>
    <t>G_PMGD_FV_QUINANTU</t>
  </si>
  <si>
    <t>Taltal Solar S.A.</t>
  </si>
  <si>
    <t>G_QUINTA_SOLAR</t>
  </si>
  <si>
    <t>G_PMGD_FV_QUINTA_SOLAR</t>
  </si>
  <si>
    <t>Quinta Solar SpA</t>
  </si>
  <si>
    <t>G_RATULEMUS</t>
  </si>
  <si>
    <t>G_PMGD_FV_RATULEMUS</t>
  </si>
  <si>
    <t>G_RAULI</t>
  </si>
  <si>
    <t>G_PMGD_FV_RAULI</t>
  </si>
  <si>
    <t>G_RAUQUEN</t>
  </si>
  <si>
    <t>G_PMGD_FV_RAUQUEN</t>
  </si>
  <si>
    <t>G_RCU</t>
  </si>
  <si>
    <t>G_PMGD_FV_RCU</t>
  </si>
  <si>
    <t>RTN SOLAR SPA</t>
  </si>
  <si>
    <t>G_RDCL_SAN</t>
  </si>
  <si>
    <t>G_PMGD_FV_RDCL_SAN</t>
  </si>
  <si>
    <t>San Alfonso Solar SpA</t>
  </si>
  <si>
    <t>G_RECOLETA</t>
  </si>
  <si>
    <t>G_PMGD_FV_RECOLETA</t>
  </si>
  <si>
    <t>Diego de Almagro Solar 3 S.A.</t>
  </si>
  <si>
    <t>G_RECONQUISTADOR</t>
  </si>
  <si>
    <t>G_PMGD_FV_RECONQUISTADOR</t>
  </si>
  <si>
    <t>Parque Solar El Conquistador SpA</t>
  </si>
  <si>
    <t>G_REN</t>
  </si>
  <si>
    <t>G_PMGD_FV_REN</t>
  </si>
  <si>
    <t>G_RENGO_SOLAR</t>
  </si>
  <si>
    <t>G_PMGD_FV_RENGO_SOLAR</t>
  </si>
  <si>
    <t>G_REXNER</t>
  </si>
  <si>
    <t>G_PMGD_FV_REXNER_SOLAR</t>
  </si>
  <si>
    <t>Energía First SpA</t>
  </si>
  <si>
    <t>G_RIMINI</t>
  </si>
  <si>
    <t>G_PMGD_FV_RIMINI</t>
  </si>
  <si>
    <t>Rimini Solar SpA</t>
  </si>
  <si>
    <t>G_RINCONADA</t>
  </si>
  <si>
    <t>GR Tamarugo SpA</t>
  </si>
  <si>
    <t>G_RINCONADA_ALCONES</t>
  </si>
  <si>
    <t>G_PMGD_FV_RINCONADA_ALCONES</t>
  </si>
  <si>
    <t>G_RINCONADA2</t>
  </si>
  <si>
    <t>G_PMGD_FV_RINCONADA</t>
  </si>
  <si>
    <t>FV Rinconada SpA</t>
  </si>
  <si>
    <t>G_RIO_LLUTA</t>
  </si>
  <si>
    <t>G_PMGD_FV_RIO_LLUTA</t>
  </si>
  <si>
    <t>El Peral SpA</t>
  </si>
  <si>
    <t>G_RIO_MULCHEN</t>
  </si>
  <si>
    <t>G_PMGD_HP_RIOMULCHEN</t>
  </si>
  <si>
    <t>Central Hidroeléctrica Río Mulchén S.A.</t>
  </si>
  <si>
    <t>G_RIO_PEUCO</t>
  </si>
  <si>
    <t>G_PMGD_FV_RIO_PEUCO</t>
  </si>
  <si>
    <t>Nueva Esperanza Solar SpA</t>
  </si>
  <si>
    <t>G_RLA_SOLAR</t>
  </si>
  <si>
    <t>G_PMGD_FV_RLA_SOLAR</t>
  </si>
  <si>
    <t>RLA Solar SpA</t>
  </si>
  <si>
    <t>G_RODEO</t>
  </si>
  <si>
    <t>G_PMGD_FV_RODEO</t>
  </si>
  <si>
    <t>G_ROMA</t>
  </si>
  <si>
    <t>G_PMGD_FV_ROMA</t>
  </si>
  <si>
    <t>G_ROMERAL</t>
  </si>
  <si>
    <t>G_PMGD_FV_ROMERAL</t>
  </si>
  <si>
    <t>G_ROMERIA</t>
  </si>
  <si>
    <t>G_PMGD_FV_ROMERIA</t>
  </si>
  <si>
    <t>Parque Solar el Sauce SpA</t>
  </si>
  <si>
    <t>G_ROSARIO</t>
  </si>
  <si>
    <t>G_PMGD_FV_ROSARIO</t>
  </si>
  <si>
    <t>G_ROVIAN</t>
  </si>
  <si>
    <t>G_PMGD_FV_ROVIAN</t>
  </si>
  <si>
    <t>G_RUCAPAINE</t>
  </si>
  <si>
    <t>G_PMGD_FV_RUCAPAINE</t>
  </si>
  <si>
    <t>Energía Renovable Rucapaine SpA</t>
  </si>
  <si>
    <t>G_SAGRADA_FAMILIA_LA_FORTUNA</t>
  </si>
  <si>
    <t>G_PMGD_FV_SAGRADA_FAMILIA_LA_FORTUNA</t>
  </si>
  <si>
    <t>G_SALERNO_SOLAR</t>
  </si>
  <si>
    <t>G_PMGD_FV_SALERNO_SOLAR</t>
  </si>
  <si>
    <t>PMGD Salerno SpA</t>
  </si>
  <si>
    <t>G_SAMO_BAJO</t>
  </si>
  <si>
    <t>G_PMGD_FV_SAMO_BAJO</t>
  </si>
  <si>
    <t>Samo Bajo SpA</t>
  </si>
  <si>
    <t>G_SAN_ALBERTO</t>
  </si>
  <si>
    <t>G_PMGD_FV_SAN_ALBERTO</t>
  </si>
  <si>
    <t>Draco Solar SpA</t>
  </si>
  <si>
    <t>G_SAN_ANTONIO</t>
  </si>
  <si>
    <t>G_PMGD_FV_SAN_ANTONIO</t>
  </si>
  <si>
    <t>Cuenca Solar SpA</t>
  </si>
  <si>
    <t>G_SAN_CAMILO</t>
  </si>
  <si>
    <t>G_PMGD_FV_SAN_CAMILO</t>
  </si>
  <si>
    <t>G_SAN_CARLOS</t>
  </si>
  <si>
    <t>G_PMGD_FV_SAN_CARLOS</t>
  </si>
  <si>
    <t>G_SAN_CLEMENTE_FLOR_DEL_LLANO</t>
  </si>
  <si>
    <t>G_PMGD_FV_SAN_CLEMENTE_FLOR_DEL_LLANO</t>
  </si>
  <si>
    <t>VESPA SOLAR SpA</t>
  </si>
  <si>
    <t>G_SAN_EDUARDO</t>
  </si>
  <si>
    <t>G_PMGD_FV_SAN_EDUARDO</t>
  </si>
  <si>
    <t>Joel Solar SpA</t>
  </si>
  <si>
    <t>G_SAN_EUGENIO_SOLAR</t>
  </si>
  <si>
    <t>G_PMGD_FV_SAN_EUGENIO_SOLAR</t>
  </si>
  <si>
    <t>San Eugenio Solar SpA</t>
  </si>
  <si>
    <t>G_SAN_FRANCISCO</t>
  </si>
  <si>
    <t>G_PMGD_FV_SAN_FRANCISCO</t>
  </si>
  <si>
    <t>San Francisco Solar SpA</t>
  </si>
  <si>
    <t>G_SAN_FRANCISCO_PARRAL</t>
  </si>
  <si>
    <t>G_PMGD_FV_SAN_FRANCISCO_PARRAL</t>
  </si>
  <si>
    <t>Parque Solar Don Flavio SpA</t>
  </si>
  <si>
    <t>G_SAN_ISIDRO</t>
  </si>
  <si>
    <t>G_PMGD_FV_SAN_ISIDRO</t>
  </si>
  <si>
    <t>G_SAN_JOSE_II</t>
  </si>
  <si>
    <t>G_PMGD_FV_SAN_JOSE_II</t>
  </si>
  <si>
    <t>G_SAN_PEDRO_GR</t>
  </si>
  <si>
    <t>G_PMGD_FV_SAN_PEDRO_GR</t>
  </si>
  <si>
    <t>G_SAN_RAFAEL</t>
  </si>
  <si>
    <t>G_PMGD_FV_SAN_RAFAEL</t>
  </si>
  <si>
    <t>G_SAN_RAMIRO</t>
  </si>
  <si>
    <t>G_PMGD_FV_SAN_RAMIRO</t>
  </si>
  <si>
    <t>Pelequén Sur SpA</t>
  </si>
  <si>
    <t>G_SANTA_ADRIANA</t>
  </si>
  <si>
    <t>G_PMGD_FV_SANTA_ADRIANA</t>
  </si>
  <si>
    <t>Parque Fotovoltaico Santa Adriana SpA</t>
  </si>
  <si>
    <t>G_SANTA_AMELIA</t>
  </si>
  <si>
    <t>G_PMGD_FV_SANTA_AMELIA</t>
  </si>
  <si>
    <t>G_SANTA_BLANCA</t>
  </si>
  <si>
    <t>G_PMGD_FV_SANTA_BLANCA</t>
  </si>
  <si>
    <t>G_SANTA_CAROLINA</t>
  </si>
  <si>
    <t>G_PMGD_FV_STA_CAROLINA</t>
  </si>
  <si>
    <t>G_SANTA_CLARA</t>
  </si>
  <si>
    <t>G_PMGD_FV_SANTA_CLARA</t>
  </si>
  <si>
    <t>Impulso Solar Las Lloysas SpA</t>
  </si>
  <si>
    <t>G_SANTA_CRUZ</t>
  </si>
  <si>
    <t>G_PMGD_FV_SANTA_CRUZ</t>
  </si>
  <si>
    <t>Parque Solar Lo Chacón SpA</t>
  </si>
  <si>
    <t>G_SANTA_ELIZABETH</t>
  </si>
  <si>
    <t>G_PMGD_FV_SANTA_ELIZABETH</t>
  </si>
  <si>
    <t>G_SANTA_EMILIA</t>
  </si>
  <si>
    <t>G_PMGD_FV_SANTA_EMILIA</t>
  </si>
  <si>
    <t>G_SANTA_ESTER</t>
  </si>
  <si>
    <t>G_PMGD_FV_SANTA_ESTER</t>
  </si>
  <si>
    <t>G_SANTA_FE</t>
  </si>
  <si>
    <t>G_PMGD_FV_SANTA_FE</t>
  </si>
  <si>
    <t>G_SANTA_FRANCISCA</t>
  </si>
  <si>
    <t>G_PMGD_FV_SANTA_FRANCISCA</t>
  </si>
  <si>
    <t>CVE Proyecto Diecisiete SpA</t>
  </si>
  <si>
    <t>G_SANTA_INES_SOLAR</t>
  </si>
  <si>
    <t>G_PMGD_FV_SANTA_INES_SOLAR</t>
  </si>
  <si>
    <t>CVE Proyecto Seis SpA</t>
  </si>
  <si>
    <t>G_SANTA_LAURA</t>
  </si>
  <si>
    <t>G_PMGD_FV_SANTA_LAURA</t>
  </si>
  <si>
    <t>Parque Solar Santa Laura SpA</t>
  </si>
  <si>
    <t>G_SANTA_LUCIA</t>
  </si>
  <si>
    <t>G_PMGD_FV_SANTA_LUCIA</t>
  </si>
  <si>
    <t>G_SANTA_LUISA</t>
  </si>
  <si>
    <t>G_PMGD_FV_SANTA_LUISA</t>
  </si>
  <si>
    <t>G_SANTA_MARGARITA</t>
  </si>
  <si>
    <t>G_PMGD_FV_SANTA_MARGARITA</t>
  </si>
  <si>
    <t>Fotovoltaica Peumo SpA</t>
  </si>
  <si>
    <t>G_SANTA_PAMELA</t>
  </si>
  <si>
    <t>G_PMGD_FV_SANTA_PAMELA</t>
  </si>
  <si>
    <t>RUBÉN SOLAR SPA</t>
  </si>
  <si>
    <t>G_SANTA_RITA</t>
  </si>
  <si>
    <t>G_PMGD_FV_SANTA_RITA</t>
  </si>
  <si>
    <t>G_SANTA_TERESITA</t>
  </si>
  <si>
    <t>G_PMGD_FV_SANTA_TERESITA</t>
  </si>
  <si>
    <t>G_SANTACECILIA</t>
  </si>
  <si>
    <t>G_PMGD_FV_SANTA_CECILIA</t>
  </si>
  <si>
    <t>Commonplace Energy SpA</t>
  </si>
  <si>
    <t>G_SANTUARIO</t>
  </si>
  <si>
    <t>G_PMGD_FV_SANTUARIO_SOLAR</t>
  </si>
  <si>
    <t>G_SATURNO</t>
  </si>
  <si>
    <t>G_PMGD_FV_SATURNO</t>
  </si>
  <si>
    <t>G_SIETE_COLORES</t>
  </si>
  <si>
    <t>G_PMGD_FV_SIETE_COLORES</t>
  </si>
  <si>
    <t>Siete Colores SpA</t>
  </si>
  <si>
    <t>G_SLK_CB9</t>
  </si>
  <si>
    <t>G_PMGD_FV_SLK_CB9</t>
  </si>
  <si>
    <t>SLK CB Nueve SpA</t>
  </si>
  <si>
    <t>G_SOFIA</t>
  </si>
  <si>
    <t>G_PMGD_FV_SOFIA</t>
  </si>
  <si>
    <t>G_SOL_DE_SEPTIEMBRE</t>
  </si>
  <si>
    <t>G_PMGD_FV_SOL_DE_SEPTIEMBRE</t>
  </si>
  <si>
    <t>G_SOL_DEL_MAULE</t>
  </si>
  <si>
    <t>G_PMGD_FV_SOL_DEL_MAULE</t>
  </si>
  <si>
    <t>G_SOL_DEL_NORTE</t>
  </si>
  <si>
    <t>G_PMGD_FV_SOL_DEL_NORTE</t>
  </si>
  <si>
    <t>G_SOLAIRE</t>
  </si>
  <si>
    <t>G_PMG__FV_SOLAIRE_DIRECT_1</t>
  </si>
  <si>
    <t>G_SOLAR_PACK_V ALEMANA</t>
  </si>
  <si>
    <t>G_PMGD_FV_SOLAR_PACK_V ALEMANA</t>
  </si>
  <si>
    <t>Anumar Energía del Sol 1 SpA</t>
  </si>
  <si>
    <t>G_SOLARPACK_MALLOA</t>
  </si>
  <si>
    <t>G_PMGD_FV_SOLARPACK_MALLOA</t>
  </si>
  <si>
    <t>Chronos Solar SpA</t>
  </si>
  <si>
    <t>G_SOLSTAINES</t>
  </si>
  <si>
    <t>G_SOY_SOLAR</t>
  </si>
  <si>
    <t>G_PMGD_FV_SOY_SOLAR</t>
  </si>
  <si>
    <t>G_STAJULIA</t>
  </si>
  <si>
    <t>G_PMGD_FV_STAJULIA</t>
  </si>
  <si>
    <t>G_SUNHUNTER</t>
  </si>
  <si>
    <t>G_PMGD_FV_SUNHUNTER</t>
  </si>
  <si>
    <t>G_TABOLANGO</t>
  </si>
  <si>
    <t>G_PMGD_FV_TABOLANGO</t>
  </si>
  <si>
    <t>ANDINA SOLAR 2 SPA</t>
  </si>
  <si>
    <t>G_TAGUAS</t>
  </si>
  <si>
    <t>G_PMGD_FV_TAGUAS</t>
  </si>
  <si>
    <t>PFV Las Taguas SpA</t>
  </si>
  <si>
    <t>G_TALAGANTE</t>
  </si>
  <si>
    <t>G_PMGD_FV_TALAGANTE</t>
  </si>
  <si>
    <t>Tedlar Jupiter SpA</t>
  </si>
  <si>
    <t>G_TALCA</t>
  </si>
  <si>
    <t>G_PMGD_FV_TALCA</t>
  </si>
  <si>
    <t>Santa Catalina Solar SpA</t>
  </si>
  <si>
    <t>G_TALHUEN</t>
  </si>
  <si>
    <t>G_PMGD_FV_TALHUEN</t>
  </si>
  <si>
    <t>Reden Talhuen Solar SpA</t>
  </si>
  <si>
    <t>G_TALLADO</t>
  </si>
  <si>
    <t>G_PMGD_FV_TALLADO</t>
  </si>
  <si>
    <t>G_TAMARUGO</t>
  </si>
  <si>
    <t>G_PMGD_FV_TAMARUGO</t>
  </si>
  <si>
    <t>Baobab Energías Renovables SpA</t>
  </si>
  <si>
    <t>G_TAMBOREAL_PMGD</t>
  </si>
  <si>
    <t>G_PMGD_FV_TAMBO_REAL</t>
  </si>
  <si>
    <t>Generadora Eléctrica Kaltemp Ltda.</t>
  </si>
  <si>
    <t>G_TARANTO</t>
  </si>
  <si>
    <t>G_PMGD_FV_TARANTO</t>
  </si>
  <si>
    <t>G_TENO_FV_SOLAR</t>
  </si>
  <si>
    <t>G_PMG__FV_TENO_SOLAR</t>
  </si>
  <si>
    <t>G_TIERRA</t>
  </si>
  <si>
    <t>G_PMGD_FV_TIERRA</t>
  </si>
  <si>
    <t>G_TIJERAL</t>
  </si>
  <si>
    <t>G_PMGD_FV_TIJERAL</t>
  </si>
  <si>
    <t>G_TILTIL</t>
  </si>
  <si>
    <t>G_PMGD_FV_TILTIL</t>
  </si>
  <si>
    <t>G_TITIL4X</t>
  </si>
  <si>
    <t>G_PMGD_FV_TITIL4X</t>
  </si>
  <si>
    <t>CFC HOLDINGS SPA</t>
  </si>
  <si>
    <t>G_TOPACIO</t>
  </si>
  <si>
    <t>G_PMGD_FV_TOPACIO</t>
  </si>
  <si>
    <t>G_TORINO</t>
  </si>
  <si>
    <t>G_PMGD_FV_SOLAR_TORINO</t>
  </si>
  <si>
    <t>G_TORTUGA_SOLAR</t>
  </si>
  <si>
    <t>G_PMGD_FV_TORTUGA_SOLAR</t>
  </si>
  <si>
    <t>Tortuga Solar SpA</t>
  </si>
  <si>
    <t>G_TRANQUE</t>
  </si>
  <si>
    <t>G_PMGD_FV_TRANQUE</t>
  </si>
  <si>
    <t>Andina Solar 13 SpA</t>
  </si>
  <si>
    <t>G_TRAVESIA</t>
  </si>
  <si>
    <t>Parque Solar Tabolango SpA.</t>
  </si>
  <si>
    <t>G_TREBAL_SOLAR</t>
  </si>
  <si>
    <t>G_PMGD_FV_TREBAL_SOLAR</t>
  </si>
  <si>
    <t>G_TREBO</t>
  </si>
  <si>
    <t>G_PMGD_FV_TREBO</t>
  </si>
  <si>
    <t>Solar TI Diecisiete SpA</t>
  </si>
  <si>
    <t>G_TRICA_DOS</t>
  </si>
  <si>
    <t>G_PMGD_FV_TRICA_DOS</t>
  </si>
  <si>
    <t>Tricahue SpA</t>
  </si>
  <si>
    <t>G_TRICAHUE</t>
  </si>
  <si>
    <t>G_PMGD_FV_TRICAHUE2</t>
  </si>
  <si>
    <t>Tricahue Solar SpA</t>
  </si>
  <si>
    <t>G_TRILE</t>
  </si>
  <si>
    <t>G_PMGD_FV_TRILE</t>
  </si>
  <si>
    <t>PFV El Trile SpA</t>
  </si>
  <si>
    <t>G_TRINIDAD</t>
  </si>
  <si>
    <t>G_PMGD_FV_TRINIDAD</t>
  </si>
  <si>
    <t>G_TUCUQUERE</t>
  </si>
  <si>
    <t>G_PMGD_FV_TUCUQUERE</t>
  </si>
  <si>
    <t>Tucuquere SpA</t>
  </si>
  <si>
    <t>G_TURPIAL</t>
  </si>
  <si>
    <t>G_PMGD_FV_TURPIAL</t>
  </si>
  <si>
    <t>G_TURQUIA</t>
  </si>
  <si>
    <t>G_PMGD_FV_TURQUIA</t>
  </si>
  <si>
    <t>Tedlar Luna SpA</t>
  </si>
  <si>
    <t>G_UNIHUE</t>
  </si>
  <si>
    <t>G_PMGD_FV_UNIHUE</t>
  </si>
  <si>
    <t>Parque Solar Unihue SpA</t>
  </si>
  <si>
    <t>G_UTFSM_VALPARAISO</t>
  </si>
  <si>
    <t>G_PMGD_FV_UTFSM_VALPARAISO</t>
  </si>
  <si>
    <t>MGM Innova Capital Chile SpA</t>
  </si>
  <si>
    <t>G_UTFSM_VINADELMAR</t>
  </si>
  <si>
    <t>G_PMGD_FV_UTFSM_VINADELMAR</t>
  </si>
  <si>
    <t>G_VALLE_LUNA_2</t>
  </si>
  <si>
    <t>G_PMGD_FV_VALLE_LUNA_2</t>
  </si>
  <si>
    <t>Valle de la Luna II SpA</t>
  </si>
  <si>
    <t>G_VELASCO_SOLAR</t>
  </si>
  <si>
    <t>G_PMGD_FV_VELASCO_SOLAR</t>
  </si>
  <si>
    <t>SANTA BARBARA ENERGY SPA</t>
  </si>
  <si>
    <t>G_VENTISQUERO</t>
  </si>
  <si>
    <t>G_PMGD_FV_VENTISQUERO</t>
  </si>
  <si>
    <t>G_VENTURADA</t>
  </si>
  <si>
    <t>G_PMGD_FV_VENTURADA</t>
  </si>
  <si>
    <t>G_VERONA</t>
  </si>
  <si>
    <t>G_PMGD_FV_VERONA</t>
  </si>
  <si>
    <t>Verona Solar SpA</t>
  </si>
  <si>
    <t>G_VICENTE</t>
  </si>
  <si>
    <t>G_PMGD_FV_VICENTE</t>
  </si>
  <si>
    <t>Solar TI Dos SpA</t>
  </si>
  <si>
    <t>G_VICTORIA</t>
  </si>
  <si>
    <t>G_PMGD_FV_VICTORIA</t>
  </si>
  <si>
    <t>G_VILLA_ALEGRE</t>
  </si>
  <si>
    <t>G_PMGD_FV_VILLA_ALEGRE</t>
  </si>
  <si>
    <t>G_VILLA_CRUZ</t>
  </si>
  <si>
    <t>G_PMGD_FV_VILLA_CRUZ</t>
  </si>
  <si>
    <t>G_VILLA_MOSCOSO</t>
  </si>
  <si>
    <t>G_PMGD_FV_VILLA_MOSCOSO</t>
  </si>
  <si>
    <t>G_VILLA_SOLAR</t>
  </si>
  <si>
    <t>G_PMGD_FV_VILLASOLAR</t>
  </si>
  <si>
    <t>Villaprat SpA</t>
  </si>
  <si>
    <t>G_VILLAPRAT</t>
  </si>
  <si>
    <t>G_PMGD_FV_VILLAPRAT</t>
  </si>
  <si>
    <t>G_VILLASECA</t>
  </si>
  <si>
    <t>G_PMGD_FV_VILLASECA</t>
  </si>
  <si>
    <t>G_VINAS_SOL</t>
  </si>
  <si>
    <t>G_PMGD_FV_VINAS_DEL_SOL</t>
  </si>
  <si>
    <t>ANDINA SOLAR 1 SPA</t>
  </si>
  <si>
    <t>G_VIOLETA</t>
  </si>
  <si>
    <t>G_PMGD_FVVIOLETA</t>
  </si>
  <si>
    <t>G_VITUCO</t>
  </si>
  <si>
    <t>G_PMGD_FV_VITUCO</t>
  </si>
  <si>
    <t>G_YAHUTELA</t>
  </si>
  <si>
    <t>G_PMGD_FVYAHUTELA</t>
  </si>
  <si>
    <t>Catemu Solar SpA</t>
  </si>
  <si>
    <t>G_ZORZAL</t>
  </si>
  <si>
    <t>G_PMGD_FV_ZORZAL</t>
  </si>
  <si>
    <t>PFV El Zorzal SpA</t>
  </si>
  <si>
    <t>GLEBU3</t>
  </si>
  <si>
    <t>G_PMGD_EO_LEBU_III_CRISTORO</t>
  </si>
  <si>
    <t>Parque Eólico Lebu-Toro SpA</t>
  </si>
  <si>
    <t>GPALMONTE1</t>
  </si>
  <si>
    <t>G_PMGD_FV_PALMONTE1</t>
  </si>
  <si>
    <t>Pozo Almonte Solar 1 SpA</t>
  </si>
  <si>
    <t>GPICA</t>
  </si>
  <si>
    <t>G_PMGD_FV_PICA</t>
  </si>
  <si>
    <t>PALMONTE_013_C1_SOP_kWhD</t>
  </si>
  <si>
    <t>G_CTRL_FV_PALMONTE2</t>
  </si>
  <si>
    <t>Pozo Almonte Solar 2 S.A.</t>
  </si>
  <si>
    <t>PILARAMA_013_PMGD1_RTS_kWhR</t>
  </si>
  <si>
    <t>G_PMG__FV_EL_PILAR</t>
  </si>
  <si>
    <t>PSESOLAR_023_E1_SOP_kWhR</t>
  </si>
  <si>
    <t>G_PMG__FV_PSS</t>
  </si>
  <si>
    <t>Calama Solar 2 SpA</t>
  </si>
  <si>
    <t>QUILMO_033_F2_QIM_kWhR</t>
  </si>
  <si>
    <t>G_PMG_FV_QUILMO</t>
  </si>
  <si>
    <t>Tralka SpA</t>
  </si>
  <si>
    <t>check</t>
  </si>
  <si>
    <t>suma</t>
  </si>
  <si>
    <t>cuenta</t>
  </si>
  <si>
    <t>G_CANQUEN</t>
  </si>
  <si>
    <t>G_PMGD_FV_CANQUEN</t>
  </si>
  <si>
    <t>G_EL_TREBOL</t>
  </si>
  <si>
    <t>G_PMGD_FV_EL_TREBOL</t>
  </si>
  <si>
    <t>Portezuelo SpA</t>
  </si>
  <si>
    <t>G_EL_TRIUNFO</t>
  </si>
  <si>
    <t>G_PMGD_FV_EL_TRIUNFO</t>
  </si>
  <si>
    <t>Blue Solar Ocho SpA</t>
  </si>
  <si>
    <t>G_MARGARITA_X</t>
  </si>
  <si>
    <t>G_PMGD_FV_MARGARITA_X</t>
  </si>
  <si>
    <t>Margarita Solar SpA</t>
  </si>
  <si>
    <t>G_NANDU</t>
  </si>
  <si>
    <t>G_PMGD_FV_NANDU</t>
  </si>
  <si>
    <t>G_PMGD_FV_SAN_VICENTE_TT</t>
  </si>
  <si>
    <t>Blue Solar Doce SpA</t>
  </si>
  <si>
    <t>G_SAND_SOLAR</t>
  </si>
  <si>
    <t>G_PMGD_FV_SAND_SOLAR</t>
  </si>
  <si>
    <t>Pacific SpA</t>
  </si>
  <si>
    <t>G_SIRIMAVO</t>
  </si>
  <si>
    <t>G_PMGD_FV_SIRIMAVO</t>
  </si>
  <si>
    <t>G_TARUCA</t>
  </si>
  <si>
    <t>G_PMGD_FV_TARUCA</t>
  </si>
  <si>
    <t>Taruca Solar SpA</t>
  </si>
  <si>
    <t>G_PIEDRAS_NEGRAS</t>
  </si>
  <si>
    <t>G_ALTO_BELLAVISTA_SUNLIGHT</t>
  </si>
  <si>
    <t>G_LA_PERLA</t>
  </si>
  <si>
    <t>G_LA_ROSA</t>
  </si>
  <si>
    <t>G_LENGA_SOLAR</t>
  </si>
  <si>
    <t>G_PALERMO</t>
  </si>
  <si>
    <t>G_PATAGUA</t>
  </si>
  <si>
    <t>G_DON_OSCAR</t>
  </si>
  <si>
    <t>G_EL_PALQUI</t>
  </si>
  <si>
    <t>G_BARCELONA</t>
  </si>
  <si>
    <t>G_CARANCA</t>
  </si>
  <si>
    <t>G_CATO_SOLAR</t>
  </si>
  <si>
    <t>G_GENOVA_SOLAR</t>
  </si>
  <si>
    <t>G_QUINTA_CABRERO</t>
  </si>
  <si>
    <t>G_SAN_ANTONIO_EL_MONTE</t>
  </si>
  <si>
    <t>G_SGT_CHOLGUAN</t>
  </si>
  <si>
    <t>G_SGT_TUCAPEL</t>
  </si>
  <si>
    <t>G_TES_SOLAR</t>
  </si>
  <si>
    <t>G_MARIA_DOLORES</t>
  </si>
  <si>
    <t>G_CHILLAN_HUAMBALI_HIPER</t>
  </si>
  <si>
    <t>G_COLIBRI</t>
  </si>
  <si>
    <t>G_CONDOR_LIGUA</t>
  </si>
  <si>
    <t>G_CURACO</t>
  </si>
  <si>
    <t>%</t>
  </si>
  <si>
    <t>Sistema Zonal</t>
  </si>
  <si>
    <t>Factor de Pérdidas</t>
  </si>
  <si>
    <t>Fecha Inicio de Vigencia</t>
  </si>
  <si>
    <t>Fecha Fin de Vigencia</t>
  </si>
  <si>
    <t>G_PMGD_FV_ALTO_BELLAVISTA_SUNLIGHT</t>
  </si>
  <si>
    <t>G_PMGD_FV_BARCELONA</t>
  </si>
  <si>
    <t>Belén Solar SpA</t>
  </si>
  <si>
    <t>GS Inima Chile S.A.</t>
  </si>
  <si>
    <t>G_PMGD_FV_CARANCA</t>
  </si>
  <si>
    <t>G_PMGD_FV_CATO_SOLAR</t>
  </si>
  <si>
    <t>G_PMGD_FV_CHILLAN_HUAMBALI_HIPER</t>
  </si>
  <si>
    <t>Tauro Solar SpA</t>
  </si>
  <si>
    <t>G_PMGD_FV_COLIBRI</t>
  </si>
  <si>
    <t>G_PMGD_FV_CONDOR_LIGUA</t>
  </si>
  <si>
    <t>G_PMGD_FV_CURACO</t>
  </si>
  <si>
    <t>SOLAR TI TREINTA Y OCHO SPA</t>
  </si>
  <si>
    <t>G_PMGD_FV_EL_PALQUI</t>
  </si>
  <si>
    <t>Parque Fulgor SpA</t>
  </si>
  <si>
    <t>G_PMGD_FV_GENOVA</t>
  </si>
  <si>
    <t>Génova Solar SpA</t>
  </si>
  <si>
    <t>G_PMGD_FV_LA_PERLA</t>
  </si>
  <si>
    <t>MVC Solar 38 SpA</t>
  </si>
  <si>
    <t>G_PMGD_FV_LA_ROSA</t>
  </si>
  <si>
    <t>G_PMGD_FV_LENGA_SOLAR</t>
  </si>
  <si>
    <t>Antu Energy SpA</t>
  </si>
  <si>
    <t>G_PMGD_FV_MARIA_DOLORES</t>
  </si>
  <si>
    <t>Pedro Solar SpA</t>
  </si>
  <si>
    <t>G_PMG_FV_PALERMO</t>
  </si>
  <si>
    <t>G_PMGD_FV_PATAGUA</t>
  </si>
  <si>
    <t>Hidroeléctrica Pichilonco S.A.</t>
  </si>
  <si>
    <t>G_PMGD_FV_QUINTA_CABRERO</t>
  </si>
  <si>
    <t>Sol del Sur 9 SpA</t>
  </si>
  <si>
    <t>G_PMGD_FV_SAN_ANTONIO_EL_MONTE</t>
  </si>
  <si>
    <t>G_PMGD_FV_SGT_CHOLGUAN</t>
  </si>
  <si>
    <t>Ravenna Solar SpA</t>
  </si>
  <si>
    <t>G_PMGD_FV_SGT_TUCAPEL</t>
  </si>
  <si>
    <t>Cox Energy Comercializadora SpA</t>
  </si>
  <si>
    <t>G_PMGD_FV_TES_SOLAR</t>
  </si>
  <si>
    <t>Linxergy SpA</t>
  </si>
  <si>
    <t>Atacama Solar SpA</t>
  </si>
  <si>
    <t>G_PMG__FV_OSCAR</t>
  </si>
  <si>
    <t>G_PMG__HP_PIEDRAS_NEGRAS</t>
  </si>
  <si>
    <t>Hidroeléctrica Piedras Negras SpA</t>
  </si>
  <si>
    <t>SISTEMA A</t>
  </si>
  <si>
    <t>SISTEMA B</t>
  </si>
  <si>
    <t>SISTEMA C</t>
  </si>
  <si>
    <t>SISTEMA D</t>
  </si>
  <si>
    <t>SISTEMA E</t>
  </si>
  <si>
    <t>SISTEMA F</t>
  </si>
  <si>
    <t>Check Homol Nudo</t>
  </si>
  <si>
    <t>Check Homol Estabilizado</t>
  </si>
  <si>
    <t>tiene Barra decreto?</t>
  </si>
  <si>
    <t>G_CTRL_HP_ALTO_CACHAPOAL</t>
  </si>
  <si>
    <t>G_CAUCE_SOLAR</t>
  </si>
  <si>
    <t>G_PMGD_FV_CAUCE_SOLAR</t>
  </si>
  <si>
    <t>Cauce Solar SpA</t>
  </si>
  <si>
    <t>Diego de Almagro Solar SpA</t>
  </si>
  <si>
    <t>G_DON_RODRIGO</t>
  </si>
  <si>
    <t>G_EATT</t>
  </si>
  <si>
    <t>G_PMGD_FV_EATT</t>
  </si>
  <si>
    <t>EVOL SpA</t>
  </si>
  <si>
    <t>G_EL_RESPLANDOR</t>
  </si>
  <si>
    <t>G_PMGD_FV_EL_RESPLANDOR</t>
  </si>
  <si>
    <t>Impulso Solar El Resplandor SpA</t>
  </si>
  <si>
    <t>G_FENIX</t>
  </si>
  <si>
    <t>G_PMGD_FV_FENIX</t>
  </si>
  <si>
    <t>G_MILLAHUE</t>
  </si>
  <si>
    <t>G_PMGD_FV_MILLAHUE</t>
  </si>
  <si>
    <t>G_SAN_ISIDRO_SOLAR</t>
  </si>
  <si>
    <t>G_PMGD_FV_SAN_ISIDRO_SOLAR</t>
  </si>
  <si>
    <t>Parque Solar San Isidro SpA</t>
  </si>
  <si>
    <t>Florida Energía SpA</t>
  </si>
  <si>
    <t>G_PARQUE_CAUQUENES</t>
  </si>
  <si>
    <t>G_PMG_FV_PARQUE_CAUQUENES</t>
  </si>
  <si>
    <t>Parque Solar Viveros SpA</t>
  </si>
  <si>
    <t>G_PERSEFONE</t>
  </si>
  <si>
    <t xml:space="preserve">G_PMGD_FV_PERSEFONE </t>
  </si>
  <si>
    <t>CVE Proyecto Treinta y Uno SpA</t>
  </si>
  <si>
    <t>G_PMGD_FV_TRAVESIA</t>
  </si>
  <si>
    <t>G_EA_SF_GRANEROS</t>
  </si>
  <si>
    <t>G_PMGD_FV_EA_SF_GRANEROS</t>
  </si>
  <si>
    <t>G_FRAGATA</t>
  </si>
  <si>
    <t>G_PMGD_FV_FRAGATA</t>
  </si>
  <si>
    <t>PFV Fragata SpA</t>
  </si>
  <si>
    <t>G_LA_GONZALINA</t>
  </si>
  <si>
    <t>G_PMGD_FV_LA_GONZALINA_DE_TUNICHE_SUNLIGHT</t>
  </si>
  <si>
    <t>G_PERLA_DEL_NORTE</t>
  </si>
  <si>
    <t>G_PMGD_FV_PERLA_DEL_NORTE</t>
  </si>
  <si>
    <t>G_SUNRAY</t>
  </si>
  <si>
    <t>G_PMGD_FV_SUNRAY</t>
  </si>
  <si>
    <t>G_VENEZIA</t>
  </si>
  <si>
    <t>G_PMG_FV_VENEZIA_SOLAR</t>
  </si>
  <si>
    <t>Venezia Solar SpA</t>
  </si>
  <si>
    <t>G_PMG__FV_ANTAY</t>
  </si>
  <si>
    <t>TERMOPACIFIC</t>
  </si>
  <si>
    <t>Generadora del Pacífico SpA</t>
  </si>
  <si>
    <t>G_ALTO_DEL_SOL</t>
  </si>
  <si>
    <t>G_PMG_FV_ALTO_DEL_SOL</t>
  </si>
  <si>
    <t>Larqui Solar SpA</t>
  </si>
  <si>
    <t>G_PUMAS</t>
  </si>
  <si>
    <t>G_PMGD_FV_PUMAS</t>
  </si>
  <si>
    <t>G_TAMARAMA</t>
  </si>
  <si>
    <t>G_PMGD_FV_TAMARAMA</t>
  </si>
  <si>
    <t>TPPAGLLA_044_FT1_PGL_kWhR</t>
  </si>
  <si>
    <t>G_PMG_FV_PATAGUILLA</t>
  </si>
  <si>
    <t>CARENA</t>
  </si>
  <si>
    <t>44</t>
  </si>
  <si>
    <t>nombre_barra</t>
  </si>
  <si>
    <t>tension</t>
  </si>
  <si>
    <t>nombre_barra_decreto_index</t>
  </si>
  <si>
    <t>tension_decreto_index</t>
  </si>
  <si>
    <t>factor_referenciacion</t>
  </si>
  <si>
    <t>bloque_pe</t>
  </si>
  <si>
    <t>precio_estabilizado_decreto_index</t>
  </si>
  <si>
    <t>decreto_pe</t>
  </si>
  <si>
    <t>indexacion_pe</t>
  </si>
  <si>
    <t>factor_perdida</t>
  </si>
  <si>
    <t>zona_transmision</t>
  </si>
  <si>
    <t>precio_estabilizado</t>
  </si>
  <si>
    <t>Indexacion_pe</t>
  </si>
  <si>
    <t>Nivel de tensión</t>
  </si>
  <si>
    <t>Barra infotécnica</t>
  </si>
  <si>
    <t>Código barra CNE</t>
  </si>
  <si>
    <t>Nombre barra CNE</t>
  </si>
  <si>
    <t>Subestación</t>
  </si>
  <si>
    <t>Comuna</t>
  </si>
  <si>
    <t>Calificación</t>
  </si>
  <si>
    <t>Zona concesión</t>
  </si>
  <si>
    <t>Empresa Propietaria</t>
  </si>
  <si>
    <t>Zona Transmisión</t>
  </si>
  <si>
    <t>SIC-0013</t>
  </si>
  <si>
    <t>Aihuapi 023</t>
  </si>
  <si>
    <t>S/E AIHUAPI</t>
  </si>
  <si>
    <t>Zonal F</t>
  </si>
  <si>
    <t>SIC</t>
  </si>
  <si>
    <t>Enel Green Power Chile Ltda.</t>
  </si>
  <si>
    <t>SIC-0040</t>
  </si>
  <si>
    <t>Ancoa 220</t>
  </si>
  <si>
    <t>S/E ANCOA</t>
  </si>
  <si>
    <t>Dedicado uso regulado</t>
  </si>
  <si>
    <t>SIC-000</t>
  </si>
  <si>
    <t>Armazones 023</t>
  </si>
  <si>
    <t>S/E ARMAZONES</t>
  </si>
  <si>
    <t>Zonal B</t>
  </si>
  <si>
    <t>BOMBEO3</t>
  </si>
  <si>
    <t>SING-0467</t>
  </si>
  <si>
    <t>SE Bombeo 3 4.16</t>
  </si>
  <si>
    <t>S/E TAP OFF ESTACION DE BOMBEO N°3</t>
  </si>
  <si>
    <t>Dedicado</t>
  </si>
  <si>
    <t>SIC-0123</t>
  </si>
  <si>
    <t>Carrera Pinto 220</t>
  </si>
  <si>
    <t>S/E CARRERA PINTO</t>
  </si>
  <si>
    <t>Nacional Antigua</t>
  </si>
  <si>
    <t>CANETE</t>
  </si>
  <si>
    <t>SIC-0113</t>
  </si>
  <si>
    <t>Cañete 023</t>
  </si>
  <si>
    <t>S/E CANETE</t>
  </si>
  <si>
    <t>Zonal E</t>
  </si>
  <si>
    <t>SIC-0136</t>
  </si>
  <si>
    <t>Catemu 044</t>
  </si>
  <si>
    <t>S/E CATEMU</t>
  </si>
  <si>
    <t>Zonal C</t>
  </si>
  <si>
    <t>sin_nombre</t>
  </si>
  <si>
    <t>S/E SIN_NOMBRE</t>
  </si>
  <si>
    <t>SIC-0194</t>
  </si>
  <si>
    <t>Chocalan 13.2</t>
  </si>
  <si>
    <t>S/E CHOCALAN</t>
  </si>
  <si>
    <t>COLACO</t>
  </si>
  <si>
    <t>SIC-0218</t>
  </si>
  <si>
    <t>Colaco 023</t>
  </si>
  <si>
    <t>S/E COLACO</t>
  </si>
  <si>
    <t>CONVENTOVIEJO</t>
  </si>
  <si>
    <t>Convento Viejo 154</t>
  </si>
  <si>
    <t>SIC-0262</t>
  </si>
  <si>
    <t>Curico 13.2 A</t>
  </si>
  <si>
    <t>S/E CURICO</t>
  </si>
  <si>
    <t>SIC-0309</t>
  </si>
  <si>
    <t>El Peñon 13.2</t>
  </si>
  <si>
    <t>S/E EL PEnON</t>
  </si>
  <si>
    <t>SIC-0289</t>
  </si>
  <si>
    <t>El Maiten 13.2</t>
  </si>
  <si>
    <t>S/E EL MAITEN</t>
  </si>
  <si>
    <t>ESMERALDA</t>
  </si>
  <si>
    <t>SING-0171</t>
  </si>
  <si>
    <t>Esmeralda 220</t>
  </si>
  <si>
    <t>S/E ESMERALDA</t>
  </si>
  <si>
    <t>Zonal A</t>
  </si>
  <si>
    <t>FOPACO</t>
  </si>
  <si>
    <t>Fopaco 006</t>
  </si>
  <si>
    <t>S/E FPC</t>
  </si>
  <si>
    <t>SIC-0368</t>
  </si>
  <si>
    <t>Hualañe 13.2</t>
  </si>
  <si>
    <t>S/E HUALANE</t>
  </si>
  <si>
    <t>SIC-0393</t>
  </si>
  <si>
    <t>Itahue 066</t>
  </si>
  <si>
    <t>S/E ITAHUE (FFCC)</t>
  </si>
  <si>
    <t>L.HIGUERA</t>
  </si>
  <si>
    <t>La Higuera 220</t>
  </si>
  <si>
    <t>SIC-1127</t>
  </si>
  <si>
    <t>La Polvora 220</t>
  </si>
  <si>
    <t>S/E LA POLVORA</t>
  </si>
  <si>
    <t>IT_ZC</t>
  </si>
  <si>
    <t>SIC-0441</t>
  </si>
  <si>
    <t>Laja 066</t>
  </si>
  <si>
    <t>S/E LAJA (FFCC)</t>
  </si>
  <si>
    <t>LASENCINAS</t>
  </si>
  <si>
    <t>Las Encinas 066</t>
  </si>
  <si>
    <t>LIQCAU1</t>
  </si>
  <si>
    <t>S/E LIQCAU</t>
  </si>
  <si>
    <t>Edelnor Transmisión S.A.</t>
  </si>
  <si>
    <t>LO_VALLEDOR</t>
  </si>
  <si>
    <t>Lo Valledor 110</t>
  </si>
  <si>
    <t>Zonal D</t>
  </si>
  <si>
    <t>LOS_TAMBORES</t>
  </si>
  <si>
    <t>SIC-0559</t>
  </si>
  <si>
    <t>Los Tambores 023</t>
  </si>
  <si>
    <t>S/E LOS TAMBORES</t>
  </si>
  <si>
    <t>Maipu 110</t>
  </si>
  <si>
    <t>MATILLA</t>
  </si>
  <si>
    <t>MIRAJE</t>
  </si>
  <si>
    <t>Miraje 220</t>
  </si>
  <si>
    <t>SIC-0656</t>
  </si>
  <si>
    <t>Nacimiento 220</t>
  </si>
  <si>
    <t>S/E CELULOSA LAJA</t>
  </si>
  <si>
    <t>OESTE</t>
  </si>
  <si>
    <t>SING-0277</t>
  </si>
  <si>
    <t>Oeste 220</t>
  </si>
  <si>
    <t>S/E Sin_Nombre</t>
  </si>
  <si>
    <t>P.CORTES2</t>
  </si>
  <si>
    <t>PALMUCHO</t>
  </si>
  <si>
    <t>Palmucho 066</t>
  </si>
  <si>
    <t>Parral 154</t>
  </si>
  <si>
    <t>Pichirropulli 066</t>
  </si>
  <si>
    <t>SIC-0790</t>
  </si>
  <si>
    <t>Polpaico Chilectra 023</t>
  </si>
  <si>
    <t>S/E POLPAICO (ENEL TRANSMISION)</t>
  </si>
  <si>
    <t>PUNITAQUI2</t>
  </si>
  <si>
    <t>SIC-0820</t>
  </si>
  <si>
    <t>Punitaqui 13.2 B</t>
  </si>
  <si>
    <t>S/E PUNITAQUI</t>
  </si>
  <si>
    <t>QUILLECO</t>
  </si>
  <si>
    <t>RACONCAGUA</t>
  </si>
  <si>
    <t>Rio Aconcagua 110</t>
  </si>
  <si>
    <t>RIECILLOS</t>
  </si>
  <si>
    <t>Riecillo 044</t>
  </si>
  <si>
    <t>San Felipe 110</t>
  </si>
  <si>
    <t>S.SEBASTIAN</t>
  </si>
  <si>
    <t>San Sebastian 066</t>
  </si>
  <si>
    <t>SAN_PABLO</t>
  </si>
  <si>
    <t>San Pablo 110</t>
  </si>
  <si>
    <t>SAUZALITO</t>
  </si>
  <si>
    <t>SIC-0997</t>
  </si>
  <si>
    <t>Sauzal 13.8</t>
  </si>
  <si>
    <t>T.SEBASTIAN</t>
  </si>
  <si>
    <t>Tap San Sebastian 066</t>
  </si>
  <si>
    <t>T_ALTAMIRANO</t>
  </si>
  <si>
    <t>Tap Altamirano 110</t>
  </si>
  <si>
    <t>T_L_DOMINICOS</t>
  </si>
  <si>
    <t>Tap Los Dominicos 110</t>
  </si>
  <si>
    <t>T_LA_CISTERNA</t>
  </si>
  <si>
    <t>Tap La Cisterna 110</t>
  </si>
  <si>
    <t>T_LO_VALLEDOR</t>
  </si>
  <si>
    <t>Tap Lo Valledor 110</t>
  </si>
  <si>
    <t>T_S_BERNARDO</t>
  </si>
  <si>
    <t>Tap San Bernardo 110</t>
  </si>
  <si>
    <t>T_STA_ELENA</t>
  </si>
  <si>
    <t>Tap Santa Elena 110</t>
  </si>
  <si>
    <t>T_STA_RAQUEL</t>
  </si>
  <si>
    <t>Tap Santa Raquel 110</t>
  </si>
  <si>
    <t>TA.HOSPICIO</t>
  </si>
  <si>
    <t>Tap Alto Hospicio 110</t>
  </si>
  <si>
    <t>SIC-1003</t>
  </si>
  <si>
    <t>Talca 1 13.8</t>
  </si>
  <si>
    <t>S/E TALCA</t>
  </si>
  <si>
    <t>SENORAZA</t>
  </si>
  <si>
    <t>SIC-1202</t>
  </si>
  <si>
    <t>La Señoraza 066</t>
  </si>
  <si>
    <t>S/E LA SEÑORAZA [EN_REVISION]</t>
  </si>
  <si>
    <t>Sociedad Austral de Transmisión Troncal S.A.</t>
  </si>
  <si>
    <t>SIC-1201</t>
  </si>
  <si>
    <t>La Señoraza 220</t>
  </si>
  <si>
    <t>SOLARJAMA</t>
  </si>
  <si>
    <t>Solar Jama 220</t>
  </si>
  <si>
    <t>SOLIS</t>
  </si>
  <si>
    <t>SIC-30026</t>
  </si>
  <si>
    <t>Solis 154</t>
  </si>
  <si>
    <t>S/E SOLIS</t>
  </si>
  <si>
    <t>SIC-0981</t>
  </si>
  <si>
    <t>Santa Elisa 023</t>
  </si>
  <si>
    <t>S/E SANTA ELISA</t>
  </si>
  <si>
    <t>Santa Elisa 033</t>
  </si>
  <si>
    <t>SIC-0983</t>
  </si>
  <si>
    <t>Santa Elvira 015</t>
  </si>
  <si>
    <t>S/E SANTA ELVIRA</t>
  </si>
  <si>
    <t>SIC-0984</t>
  </si>
  <si>
    <t>Santa Elvira 066</t>
  </si>
  <si>
    <t>STA.LUISA</t>
  </si>
  <si>
    <t>SIC-0992</t>
  </si>
  <si>
    <t>Santa Rosa 023</t>
  </si>
  <si>
    <t>S/E SANTA ROSA (CGE)</t>
  </si>
  <si>
    <t>Santa Rosa 066</t>
  </si>
  <si>
    <t>STA_ISABEL</t>
  </si>
  <si>
    <t>Santa Isabel 220</t>
  </si>
  <si>
    <t>STA_RAQUEL</t>
  </si>
  <si>
    <t>SIC-0990</t>
  </si>
  <si>
    <t>Santa Raquel 020</t>
  </si>
  <si>
    <t>S/E SANTA RAQUEL</t>
  </si>
  <si>
    <t>SULFUROS</t>
  </si>
  <si>
    <t>Sulfuros 220</t>
  </si>
  <si>
    <t>S/E SULFUROS</t>
  </si>
  <si>
    <t>SUM_OGP1</t>
  </si>
  <si>
    <t>OGP1 220</t>
  </si>
  <si>
    <t>S/E OGP1</t>
  </si>
  <si>
    <t>SUR</t>
  </si>
  <si>
    <t>SING-0357</t>
  </si>
  <si>
    <t>Sur 13.8</t>
  </si>
  <si>
    <t>S/E SUR</t>
  </si>
  <si>
    <t>SING-0356</t>
  </si>
  <si>
    <t>Sur 110</t>
  </si>
  <si>
    <t>T.A.MELIP</t>
  </si>
  <si>
    <t>Tap Alto Melipilla 2 110</t>
  </si>
  <si>
    <t>T.ACCNORTE</t>
  </si>
  <si>
    <t>Tap acceso norte 110</t>
  </si>
  <si>
    <t>SIC-1163</t>
  </si>
  <si>
    <t>Tierra Amarilla 023</t>
  </si>
  <si>
    <t>S/E TIERRA AMARILLA</t>
  </si>
  <si>
    <t>SIC-1164</t>
  </si>
  <si>
    <t>Tierra Amarilla 110</t>
  </si>
  <si>
    <t>T.BOCAS</t>
  </si>
  <si>
    <t>Tres Bocas 066</t>
  </si>
  <si>
    <t>T.LLANBLANCOS</t>
  </si>
  <si>
    <t>Llanos blancos 220</t>
  </si>
  <si>
    <t>S/E C.R. LLANOS BLANCOS</t>
  </si>
  <si>
    <t>T.NIHUE</t>
  </si>
  <si>
    <t>Tap Nihue 066</t>
  </si>
  <si>
    <t>T.PINOS</t>
  </si>
  <si>
    <t>SIC-1179</t>
  </si>
  <si>
    <t>Tres Pinos 13.2</t>
  </si>
  <si>
    <t>S/E TRES PINOS</t>
  </si>
  <si>
    <t>Tres Pinos 066</t>
  </si>
  <si>
    <t>TALCA1</t>
  </si>
  <si>
    <t>Talca 1 066</t>
  </si>
  <si>
    <t>TAP_STA_MARTA</t>
  </si>
  <si>
    <t>Tap Santa Marta 110</t>
  </si>
  <si>
    <t>TAP_TALINAY</t>
  </si>
  <si>
    <t>Tap Talinay 220</t>
  </si>
  <si>
    <t>TAP_TRUPAN</t>
  </si>
  <si>
    <t>Tap Trupan 220</t>
  </si>
  <si>
    <t>TAP_VICTORIA</t>
  </si>
  <si>
    <t>SIC-1151</t>
  </si>
  <si>
    <t>Tap Victoria EFE 066</t>
  </si>
  <si>
    <t>S/E VICTORIA (FFCC)</t>
  </si>
  <si>
    <t>TAP_VITACURA</t>
  </si>
  <si>
    <t>Tap Vitacura 110</t>
  </si>
  <si>
    <t>TAP1_MAQUIS</t>
  </si>
  <si>
    <t>Tap Los Maquis 110</t>
  </si>
  <si>
    <t>TAP2_MAQUIS</t>
  </si>
  <si>
    <t>TAPCSJAVIER</t>
  </si>
  <si>
    <t>San Javier 066</t>
  </si>
  <si>
    <t>S/E CENTRAL SAN JAVIER</t>
  </si>
  <si>
    <t>Prime Energía Quickstart SpA</t>
  </si>
  <si>
    <t>TAPIMPULSO</t>
  </si>
  <si>
    <t>SIC-1049</t>
  </si>
  <si>
    <t>Tap Impulsion 110</t>
  </si>
  <si>
    <t>TAPLLANQUIHUE</t>
  </si>
  <si>
    <t>Tap Llanquihue 220</t>
  </si>
  <si>
    <t>TAPLLAUQUEREO</t>
  </si>
  <si>
    <t>TAPLOA</t>
  </si>
  <si>
    <t>Tap El Loa 220</t>
  </si>
  <si>
    <t>TAPMREDON</t>
  </si>
  <si>
    <t>TAPNEVADO</t>
  </si>
  <si>
    <t>Tap El Nevado 066</t>
  </si>
  <si>
    <t>TAPS.FELIPE</t>
  </si>
  <si>
    <t>Tap San Felipe 110</t>
  </si>
  <si>
    <t>TAPS.RAFAEL</t>
  </si>
  <si>
    <t>Tap San Rafael 110</t>
  </si>
  <si>
    <t>TAPTALTAL1</t>
  </si>
  <si>
    <t>Tap Taltal 1 220</t>
  </si>
  <si>
    <t>TAPTALTAL2</t>
  </si>
  <si>
    <t>Tap Taltal 2 220</t>
  </si>
  <si>
    <t>S/E PAPOSO</t>
  </si>
  <si>
    <t>SING-0452</t>
  </si>
  <si>
    <t>Tarapaca 220</t>
  </si>
  <si>
    <t>S/E TARAPACA</t>
  </si>
  <si>
    <t>TBARRILES</t>
  </si>
  <si>
    <t>Barriles 220</t>
  </si>
  <si>
    <t>TCAPRICORNIO</t>
  </si>
  <si>
    <t>Capricornio 220</t>
  </si>
  <si>
    <t>TCERROBALCON</t>
  </si>
  <si>
    <t>Tap Cerro Balcon 110</t>
  </si>
  <si>
    <t>TCHITACK</t>
  </si>
  <si>
    <t>Tchitack 220</t>
  </si>
  <si>
    <t>S/E TCHITACK</t>
  </si>
  <si>
    <t>TCHIZA</t>
  </si>
  <si>
    <t>Tap Chiza 110</t>
  </si>
  <si>
    <t>TALCA2</t>
  </si>
  <si>
    <t>Talca 2 066</t>
  </si>
  <si>
    <t>TCUYA</t>
  </si>
  <si>
    <t>SING-0120</t>
  </si>
  <si>
    <t>Tap Cuya 13.8</t>
  </si>
  <si>
    <t>S/E TAP OFF CUYA</t>
  </si>
  <si>
    <t>Tap Cuya 110</t>
  </si>
  <si>
    <t>SIC-1154</t>
  </si>
  <si>
    <t>Temuco 13.8</t>
  </si>
  <si>
    <t>S/E TEMUCO</t>
  </si>
  <si>
    <t>SIC-1155</t>
  </si>
  <si>
    <t>Temuco 023</t>
  </si>
  <si>
    <t>Temuco 066</t>
  </si>
  <si>
    <t>SIC-1158</t>
  </si>
  <si>
    <t>Temuco 220</t>
  </si>
  <si>
    <t>TEN</t>
  </si>
  <si>
    <t>Ten 220</t>
  </si>
  <si>
    <t>S/E TEN GIS</t>
  </si>
  <si>
    <t>SIC-1161</t>
  </si>
  <si>
    <t>Teno 13.2</t>
  </si>
  <si>
    <t>S/E TENO</t>
  </si>
  <si>
    <t>Teno 066</t>
  </si>
  <si>
    <t>SIC-1162</t>
  </si>
  <si>
    <t>Teno 154</t>
  </si>
  <si>
    <t>TENO1</t>
  </si>
  <si>
    <t>Tap Teno I 154</t>
  </si>
  <si>
    <t>TENO2</t>
  </si>
  <si>
    <t>Tap Teno II 154</t>
  </si>
  <si>
    <t>SING-0000</t>
  </si>
  <si>
    <t>SIN_NOMBRE</t>
  </si>
  <si>
    <t>S/E CENTRAL TERMOPACIFICO</t>
  </si>
  <si>
    <t>SING</t>
  </si>
  <si>
    <t>SING-0156</t>
  </si>
  <si>
    <t>El Tesoro 023</t>
  </si>
  <si>
    <t>S/E EL TESORO</t>
  </si>
  <si>
    <t>SING-0157</t>
  </si>
  <si>
    <t>El Tesoro 220</t>
  </si>
  <si>
    <t>TIGRE</t>
  </si>
  <si>
    <t>Tigre 220</t>
  </si>
  <si>
    <t>TILCOCO1</t>
  </si>
  <si>
    <t>Tap Tilcoco I 154</t>
  </si>
  <si>
    <t>TILCOCO2</t>
  </si>
  <si>
    <t>Tap Tilcoco II 154</t>
  </si>
  <si>
    <t>Los Tilos 13.8</t>
  </si>
  <si>
    <t>S/E LOS TILOS BULNES</t>
  </si>
  <si>
    <t>Los Tilos 066</t>
  </si>
  <si>
    <t>TINGUIRIRICA</t>
  </si>
  <si>
    <t>Tinguiririca 154</t>
  </si>
  <si>
    <t>Tinguiririca 220</t>
  </si>
  <si>
    <t>Nacional</t>
  </si>
  <si>
    <t>TLIBERTADORES</t>
  </si>
  <si>
    <t>Tap Los Libertadores 110 1</t>
  </si>
  <si>
    <t>S/E TAP OFF LIBERTADORES</t>
  </si>
  <si>
    <t>TMALPASO</t>
  </si>
  <si>
    <t>TMAYACA</t>
  </si>
  <si>
    <t>Tap Mayaca 1 110</t>
  </si>
  <si>
    <t>TMELON</t>
  </si>
  <si>
    <t>SIC-1184</t>
  </si>
  <si>
    <t>Tunel Melon 012</t>
  </si>
  <si>
    <t>S/E TUNEL EL MELON</t>
  </si>
  <si>
    <t>Tunel Melon 044</t>
  </si>
  <si>
    <t>TNVICTORIA</t>
  </si>
  <si>
    <t>TOCOPILLA</t>
  </si>
  <si>
    <t>SING-0454</t>
  </si>
  <si>
    <t>Tocopilla 005</t>
  </si>
  <si>
    <t>S/E TOCOPILLA</t>
  </si>
  <si>
    <t>Tocopilla 023</t>
  </si>
  <si>
    <t>Tocopilla 110</t>
  </si>
  <si>
    <t>Tocopilla 220</t>
  </si>
  <si>
    <t>TOESTE</t>
  </si>
  <si>
    <t>TOFF.DESALANT</t>
  </si>
  <si>
    <t>Tap Desalant 110</t>
  </si>
  <si>
    <t>TOFF.DOLORES</t>
  </si>
  <si>
    <t>SING-0395</t>
  </si>
  <si>
    <t>Tap Off Dolores 023</t>
  </si>
  <si>
    <t>S/E TAP OFF DOLORES</t>
  </si>
  <si>
    <t>Tap Dolores 110</t>
  </si>
  <si>
    <t>TOFF.QUIANI</t>
  </si>
  <si>
    <t>Tap Quiani 066</t>
  </si>
  <si>
    <t>TOFF.QUILLA</t>
  </si>
  <si>
    <t>TOLPAN</t>
  </si>
  <si>
    <t>Tolpan Sur 220</t>
  </si>
  <si>
    <t>TOME</t>
  </si>
  <si>
    <t>SIC-1168</t>
  </si>
  <si>
    <t>Tome 023</t>
  </si>
  <si>
    <t>S/E TOME</t>
  </si>
  <si>
    <t>Tome 066</t>
  </si>
  <si>
    <t>TORQUEMADA</t>
  </si>
  <si>
    <t>SIC-1170</t>
  </si>
  <si>
    <t>Torquemada 110</t>
  </si>
  <si>
    <t>S/E TORQUEMADA</t>
  </si>
  <si>
    <t>SIC-0321</t>
  </si>
  <si>
    <t>El Totoral 12.5</t>
  </si>
  <si>
    <t>S/E EL TOTORAL</t>
  </si>
  <si>
    <t>El Totoral 066</t>
  </si>
  <si>
    <t>TOTORALICMP</t>
  </si>
  <si>
    <t>SIC-1173</t>
  </si>
  <si>
    <t>Totoralillo 220</t>
  </si>
  <si>
    <t>S/E TOTORALILLO (CAP CMP)</t>
  </si>
  <si>
    <t>TOTORALILLO</t>
  </si>
  <si>
    <t>Totoralillo 110</t>
  </si>
  <si>
    <t>TRAIGUEN</t>
  </si>
  <si>
    <t>SIC-1175</t>
  </si>
  <si>
    <t>Traiguen 13.2</t>
  </si>
  <si>
    <t>S/E TRAIGUEN</t>
  </si>
  <si>
    <t>Traiguen 066</t>
  </si>
  <si>
    <t>SIC-1146</t>
  </si>
  <si>
    <t>Tres Esquinas 13.8</t>
  </si>
  <si>
    <t>S/E TRES ESQUINAS</t>
  </si>
  <si>
    <t>Tap Tres Esquinas 066</t>
  </si>
  <si>
    <t>TTAMARUGAL</t>
  </si>
  <si>
    <t>Tap Tamarugal 066</t>
  </si>
  <si>
    <t>TUMBES</t>
  </si>
  <si>
    <t>SIC-1182</t>
  </si>
  <si>
    <t>Tumbes 015</t>
  </si>
  <si>
    <t>S/E TUMBES</t>
  </si>
  <si>
    <t>Tumbes 066</t>
  </si>
  <si>
    <t>SIC-1186</t>
  </si>
  <si>
    <t>Tuniche 015</t>
  </si>
  <si>
    <t>S/E TUNICHE</t>
  </si>
  <si>
    <t>Tuniche 066</t>
  </si>
  <si>
    <t>TUNICHE1</t>
  </si>
  <si>
    <t>Tap Tuniche I 154</t>
  </si>
  <si>
    <t>TUNICHE2</t>
  </si>
  <si>
    <t>Tap Tuniche II 154</t>
  </si>
  <si>
    <t>TURIBE</t>
  </si>
  <si>
    <t>Tap Uribe A 110</t>
  </si>
  <si>
    <t>SING-0450</t>
  </si>
  <si>
    <t>Tap Vitor 2 023</t>
  </si>
  <si>
    <t>Tap Vitor 110</t>
  </si>
  <si>
    <t>TVITOR2</t>
  </si>
  <si>
    <t>Tap Vitor 2 110</t>
  </si>
  <si>
    <t>SING-0463</t>
  </si>
  <si>
    <t>Uribe 023</t>
  </si>
  <si>
    <t>S/E URIBE</t>
  </si>
  <si>
    <t>SING-0464</t>
  </si>
  <si>
    <t>Uribe 110</t>
  </si>
  <si>
    <t>URIBE_SOLAR</t>
  </si>
  <si>
    <t>Uribe Solar 110</t>
  </si>
  <si>
    <t>Villa Alegre 13.2</t>
  </si>
  <si>
    <t>S/E VILLA ALEGRE</t>
  </si>
  <si>
    <t>Villa Alegre 066</t>
  </si>
  <si>
    <t>S/E VILLA ALEGRE (FFCC)</t>
  </si>
  <si>
    <t>SIC-1204</t>
  </si>
  <si>
    <t>Villa Prat 13.2</t>
  </si>
  <si>
    <t>S/E VILLA PRAT</t>
  </si>
  <si>
    <t>Villa Prat 066</t>
  </si>
  <si>
    <t>SIC-1190</t>
  </si>
  <si>
    <t>Valdivia 13.2</t>
  </si>
  <si>
    <t>S/E VALDIVIA (STS)</t>
  </si>
  <si>
    <t>Valdivia 066 1</t>
  </si>
  <si>
    <t>Valdivia 220</t>
  </si>
  <si>
    <t>VALLE_ESC</t>
  </si>
  <si>
    <t>Valle Escondido 220</t>
  </si>
  <si>
    <t>SIC-1193</t>
  </si>
  <si>
    <t>Vallenar 13.8</t>
  </si>
  <si>
    <t>S/E VALLENAR</t>
  </si>
  <si>
    <t>Vallenar 110</t>
  </si>
  <si>
    <t>VALPARAISO</t>
  </si>
  <si>
    <t>SIC-1194</t>
  </si>
  <si>
    <t>Valparaiso 012</t>
  </si>
  <si>
    <t>S/E VALPARAISO</t>
  </si>
  <si>
    <t>Valparaiso 110</t>
  </si>
  <si>
    <t>VENTANAS</t>
  </si>
  <si>
    <t>SIC-1196</t>
  </si>
  <si>
    <t>Ventanas 110</t>
  </si>
  <si>
    <t>S/E VENTANAS</t>
  </si>
  <si>
    <t>VERBENAS</t>
  </si>
  <si>
    <t>vervenas 220</t>
  </si>
  <si>
    <t>S/E VERBENAS</t>
  </si>
  <si>
    <t>Tamarico Solar Dos SpA</t>
  </si>
  <si>
    <t>VICTORIA</t>
  </si>
  <si>
    <t>SIC-1198</t>
  </si>
  <si>
    <t>Victoria 13.2</t>
  </si>
  <si>
    <t>S/E VICTORIA</t>
  </si>
  <si>
    <t>Victoria 066</t>
  </si>
  <si>
    <t>SIC-1199</t>
  </si>
  <si>
    <t>Vicuña 023</t>
  </si>
  <si>
    <t>S/E VICUnA</t>
  </si>
  <si>
    <t>Vicuña 110</t>
  </si>
  <si>
    <t>VILLARRICA</t>
  </si>
  <si>
    <t>SIC-1205</t>
  </si>
  <si>
    <t>Villarrica 023</t>
  </si>
  <si>
    <t>S/E VILLARRICA</t>
  </si>
  <si>
    <t>Villarrica 066 PreBS</t>
  </si>
  <si>
    <t>VITACURA</t>
  </si>
  <si>
    <t>SIC-1208</t>
  </si>
  <si>
    <t>Vitacura 012</t>
  </si>
  <si>
    <t>S/E VITACURA</t>
  </si>
  <si>
    <t>Vitacura 110</t>
  </si>
  <si>
    <t>SIC-1221</t>
  </si>
  <si>
    <t>Yerbas Buenas 13.2</t>
  </si>
  <si>
    <t>S/E YERBAS BUENAS</t>
  </si>
  <si>
    <t>Yerbas Buenas 154</t>
  </si>
  <si>
    <t>ZALDIVAR</t>
  </si>
  <si>
    <t>Zaldivar 066</t>
  </si>
  <si>
    <t>S/E ZALDIVAR</t>
  </si>
  <si>
    <t>ZONA_CAIDA</t>
  </si>
  <si>
    <t>TALCAHUANO</t>
  </si>
  <si>
    <t>SIC-1005</t>
  </si>
  <si>
    <t>Talcahuano 015</t>
  </si>
  <si>
    <t>S/E TALCAHUANO</t>
  </si>
  <si>
    <t>Talcahuano 066</t>
  </si>
  <si>
    <t>Talcahuano 154</t>
  </si>
  <si>
    <t>TALTAL</t>
  </si>
  <si>
    <t>SIC-1009</t>
  </si>
  <si>
    <t>Taltal 13.8</t>
  </si>
  <si>
    <t>S/E TALTAL (ELECDA)</t>
  </si>
  <si>
    <t>Taltal 110</t>
  </si>
  <si>
    <t>TAMANGO</t>
  </si>
  <si>
    <t>S/E TAMANGO</t>
  </si>
  <si>
    <t>GR Liun SpA</t>
  </si>
  <si>
    <t>SING-0363</t>
  </si>
  <si>
    <t>Tamarugal 023</t>
  </si>
  <si>
    <t>S/E TAMARUGAL</t>
  </si>
  <si>
    <t>SING-0364</t>
  </si>
  <si>
    <t>Tamarugal 066</t>
  </si>
  <si>
    <t>TAP.CONCON</t>
  </si>
  <si>
    <t>TAP.ELEDEN</t>
  </si>
  <si>
    <t>Tap El Eden 110</t>
  </si>
  <si>
    <t>TAP.MANZANO</t>
  </si>
  <si>
    <t>Tap El Manzano Litoral 066</t>
  </si>
  <si>
    <t>TAP.QUINTAY</t>
  </si>
  <si>
    <t>Tap Quintay 066</t>
  </si>
  <si>
    <t>TAP.RENACA</t>
  </si>
  <si>
    <t>Tap Reñaca 110</t>
  </si>
  <si>
    <t>TAP_BICENTENA</t>
  </si>
  <si>
    <t>Tap Bicentenario 110</t>
  </si>
  <si>
    <t>TAP_BUIN</t>
  </si>
  <si>
    <t>Tap Buin 110</t>
  </si>
  <si>
    <t>TAP_BUREO</t>
  </si>
  <si>
    <t>Tap Bureo 220</t>
  </si>
  <si>
    <t>TAP_C_HIPICO</t>
  </si>
  <si>
    <t>Tap Club Hipico 110</t>
  </si>
  <si>
    <t>TAP_CALEU</t>
  </si>
  <si>
    <t>Tap Caleu 044</t>
  </si>
  <si>
    <t>TAP_CARRASCAL</t>
  </si>
  <si>
    <t>Tap Carrascal 110</t>
  </si>
  <si>
    <t>TAP_CHACABUCO</t>
  </si>
  <si>
    <t>Tap Chacabuco 110</t>
  </si>
  <si>
    <t>TAP_CHAGRES</t>
  </si>
  <si>
    <t>Tap Chagres 110</t>
  </si>
  <si>
    <t>TAP_CHANARES</t>
  </si>
  <si>
    <t>Tap Chañares 110</t>
  </si>
  <si>
    <t>TAP_CHICUREO</t>
  </si>
  <si>
    <t>Tap Chicureo 220</t>
  </si>
  <si>
    <t>TAP_DUQUECO</t>
  </si>
  <si>
    <t>Tap Duqueco 066</t>
  </si>
  <si>
    <t>TAP_ENTEL</t>
  </si>
  <si>
    <t>SIC-1043</t>
  </si>
  <si>
    <t>Tap Entel 044</t>
  </si>
  <si>
    <t>MMH</t>
  </si>
  <si>
    <t>SING-0245</t>
  </si>
  <si>
    <t>M.Hales 220</t>
  </si>
  <si>
    <t>S/E MMH</t>
  </si>
  <si>
    <t>MOCHO</t>
  </si>
  <si>
    <t>El Mocho 110</t>
  </si>
  <si>
    <t>SIC-0646</t>
  </si>
  <si>
    <t>Molina 13.2</t>
  </si>
  <si>
    <t>S/E MOLINA</t>
  </si>
  <si>
    <t>Molina 066</t>
  </si>
  <si>
    <t>MOLINOS</t>
  </si>
  <si>
    <t>Los Molinos 110</t>
  </si>
  <si>
    <t>MOLLES</t>
  </si>
  <si>
    <t>Los Molles 066</t>
  </si>
  <si>
    <t>MOLYCOP</t>
  </si>
  <si>
    <t>SING-0257</t>
  </si>
  <si>
    <t>Molycop 220</t>
  </si>
  <si>
    <t>MONTE_MINA1</t>
  </si>
  <si>
    <t>S/E MONTE MINA</t>
  </si>
  <si>
    <t>Transmisora Parinas S.A.</t>
  </si>
  <si>
    <t>MONTE_MINA2</t>
  </si>
  <si>
    <t>NO TIENE</t>
  </si>
  <si>
    <t>S/E SIN NOMBRE</t>
  </si>
  <si>
    <t>Acciona Energía Chile Holdings S.A.</t>
  </si>
  <si>
    <t>S/E MONTENEGRO</t>
  </si>
  <si>
    <t>Sistema de Transmisión del Sur S.A.</t>
  </si>
  <si>
    <t>MONTERRICO</t>
  </si>
  <si>
    <t>Monterrico 066</t>
  </si>
  <si>
    <t>Monterrico 154</t>
  </si>
  <si>
    <t>MULCHEN</t>
  </si>
  <si>
    <t>Mulchen 220</t>
  </si>
  <si>
    <t>N.CARDONES</t>
  </si>
  <si>
    <t>Nueva Cardones 220</t>
  </si>
  <si>
    <t>Nueva Cardones 500</t>
  </si>
  <si>
    <t>N.MAITENCILLO</t>
  </si>
  <si>
    <t>Nueva Maitencillo 220</t>
  </si>
  <si>
    <t>Nueva Maitencillo 500</t>
  </si>
  <si>
    <t>N.P.AZUCAR</t>
  </si>
  <si>
    <t>Nueva Pan de Azucar 220</t>
  </si>
  <si>
    <t>Nueva Pan de Azucar 500</t>
  </si>
  <si>
    <t>N.PICHIRROPUL</t>
  </si>
  <si>
    <t>N.POZOALMONTE</t>
  </si>
  <si>
    <t>Nueva Pozo Almonte 220</t>
  </si>
  <si>
    <t>SING-0272</t>
  </si>
  <si>
    <t>Nueva Victoria 220</t>
  </si>
  <si>
    <t>N.ZALDIVAR</t>
  </si>
  <si>
    <t>SING-0274</t>
  </si>
  <si>
    <t>Nueva Zaldívar 220</t>
  </si>
  <si>
    <t>S/E NUEVA ZALDIVAR</t>
  </si>
  <si>
    <t>TAP_FOPACO</t>
  </si>
  <si>
    <t>TAP_HIERROS2</t>
  </si>
  <si>
    <t>TAP_HOSPITAL</t>
  </si>
  <si>
    <t>Tap Hospital 066</t>
  </si>
  <si>
    <t>TAP_LA_DEHESA</t>
  </si>
  <si>
    <t>Tap La Dehesa 110</t>
  </si>
  <si>
    <t>TAP_LA_PALOMA</t>
  </si>
  <si>
    <t>Tap La Paolma 066</t>
  </si>
  <si>
    <t>TAP_LA_REINA</t>
  </si>
  <si>
    <t>Tap La Reina 110</t>
  </si>
  <si>
    <t>TAP_LO_BOZA</t>
  </si>
  <si>
    <t>Tap Lo Boza 110</t>
  </si>
  <si>
    <t>TAP_LOMA_ALTA</t>
  </si>
  <si>
    <t>Tap Loma Alta 220</t>
  </si>
  <si>
    <t>TAP_LOMA_COL</t>
  </si>
  <si>
    <t>Tap Loma Colorada 066 Aux</t>
  </si>
  <si>
    <t>TAP_LOTA</t>
  </si>
  <si>
    <t>Tap Lota 066</t>
  </si>
  <si>
    <t>TAP_MACUL</t>
  </si>
  <si>
    <t>Tap Macul 110</t>
  </si>
  <si>
    <t>TAP_P.HONDO</t>
  </si>
  <si>
    <t>Tap Off Paso Hondo 066</t>
  </si>
  <si>
    <t>TAP_PAJARITOS</t>
  </si>
  <si>
    <t>Tap Pajaritos 110</t>
  </si>
  <si>
    <t>TAP_POLPAICO</t>
  </si>
  <si>
    <t>SIC-1101</t>
  </si>
  <si>
    <t>Tap Polpaico 066</t>
  </si>
  <si>
    <t>S/E POLPAICO (CEMENTO POLPAICO)</t>
  </si>
  <si>
    <t>TAP_PULELFU</t>
  </si>
  <si>
    <t>TAP_PUTAGAN</t>
  </si>
  <si>
    <t>TAP_QUILICURA</t>
  </si>
  <si>
    <t>Tap Quilicura 110</t>
  </si>
  <si>
    <t>TAP_RCOLORADO</t>
  </si>
  <si>
    <t>TAP_RECOLETA</t>
  </si>
  <si>
    <t>Tap Recoleta 110</t>
  </si>
  <si>
    <t>Tap Rio Huasco 110</t>
  </si>
  <si>
    <t>TAP_RIOTOLTEN</t>
  </si>
  <si>
    <t>TAP_ROSAL</t>
  </si>
  <si>
    <t>TAP_S.P_P.B.B</t>
  </si>
  <si>
    <t>TAP_S.RAFAEL</t>
  </si>
  <si>
    <t>TAP_SAN_JOSE</t>
  </si>
  <si>
    <t>Tap San Jose 110</t>
  </si>
  <si>
    <t>SIC-0657</t>
  </si>
  <si>
    <t>Nahuelbuta 13.2</t>
  </si>
  <si>
    <t>S/E NAHUELBUTA</t>
  </si>
  <si>
    <t>Nahuelbuta 066</t>
  </si>
  <si>
    <t>SIC-0659</t>
  </si>
  <si>
    <t>Nancagua 13.2</t>
  </si>
  <si>
    <t>S/E NANCAGUA</t>
  </si>
  <si>
    <t>Nancagua 066</t>
  </si>
  <si>
    <t>NECSA</t>
  </si>
  <si>
    <t>SING-0210</t>
  </si>
  <si>
    <t>La Negra 023</t>
  </si>
  <si>
    <t>S/E TAP OFF LA NEGRA</t>
  </si>
  <si>
    <t>La Negra 110</t>
  </si>
  <si>
    <t>SIC-0660</t>
  </si>
  <si>
    <t>Negrete 023</t>
  </si>
  <si>
    <t>S/E NEGRETE</t>
  </si>
  <si>
    <t>Negrete 066</t>
  </si>
  <si>
    <t>NEPTUNO</t>
  </si>
  <si>
    <t>Neptuno 220</t>
  </si>
  <si>
    <t>NIQUEN</t>
  </si>
  <si>
    <t>SIC-0664</t>
  </si>
  <si>
    <t>Niquen 066</t>
  </si>
  <si>
    <t>S/E NIQUEN (FFCC)</t>
  </si>
  <si>
    <t>SIC-0665</t>
  </si>
  <si>
    <t>Nirivilo 023</t>
  </si>
  <si>
    <t>S/E NIRIVILO</t>
  </si>
  <si>
    <t>Nirivilo 066</t>
  </si>
  <si>
    <t>Nogales 220</t>
  </si>
  <si>
    <t>NORGENER</t>
  </si>
  <si>
    <t>Norgener 220</t>
  </si>
  <si>
    <t>Nueva Panquehue 13.8</t>
  </si>
  <si>
    <t>S/E NUEVA PANQUEHUE</t>
  </si>
  <si>
    <t>Nueva Panquehue 110</t>
  </si>
  <si>
    <t>NUEVA_CHUQUI</t>
  </si>
  <si>
    <t>Nueva Chuquicamata 220</t>
  </si>
  <si>
    <t>NUEVA_GUINDO</t>
  </si>
  <si>
    <t>NVA_ANCUD</t>
  </si>
  <si>
    <t>Nueva Ancud 220</t>
  </si>
  <si>
    <t>NVA_P.MONTT</t>
  </si>
  <si>
    <t>Nueva Puerto Montt 220</t>
  </si>
  <si>
    <t>OASIS</t>
  </si>
  <si>
    <t>OCHAGAVIA</t>
  </si>
  <si>
    <t>SIC-0673</t>
  </si>
  <si>
    <t>Ochagavia 012</t>
  </si>
  <si>
    <t>S/E OCHAGAVIA</t>
  </si>
  <si>
    <t>SIC-0674</t>
  </si>
  <si>
    <t>Ochagavia 110</t>
  </si>
  <si>
    <t>OGP1</t>
  </si>
  <si>
    <t>SING-0278</t>
  </si>
  <si>
    <t>O'Higgins 220</t>
  </si>
  <si>
    <t>S/E O'HIGGINS</t>
  </si>
  <si>
    <t>OSORNO</t>
  </si>
  <si>
    <t>SIC-0677</t>
  </si>
  <si>
    <t>Osorno 13.8</t>
  </si>
  <si>
    <t>S/E OSORNO</t>
  </si>
  <si>
    <t>Osorno 066</t>
  </si>
  <si>
    <t>SIC-0678</t>
  </si>
  <si>
    <t>Ovalle 023</t>
  </si>
  <si>
    <t>S/E OVALLE</t>
  </si>
  <si>
    <t>Ovalle 066</t>
  </si>
  <si>
    <t>Ovalle 110</t>
  </si>
  <si>
    <t>OXIDOS</t>
  </si>
  <si>
    <t>SIC-0682</t>
  </si>
  <si>
    <t>Oxidos Planta 110</t>
  </si>
  <si>
    <t>OXY</t>
  </si>
  <si>
    <t>SIC-1090</t>
  </si>
  <si>
    <t>Tap Oxy 154</t>
  </si>
  <si>
    <t>S/E OXY</t>
  </si>
  <si>
    <t>SING-0301</t>
  </si>
  <si>
    <t>Pozo Almonte 023</t>
  </si>
  <si>
    <t>S/E POZO ALMONTE</t>
  </si>
  <si>
    <t>SING-0302</t>
  </si>
  <si>
    <t>Pozo Almonte 066</t>
  </si>
  <si>
    <t>SING-0303</t>
  </si>
  <si>
    <t>Pozo Almonte 110</t>
  </si>
  <si>
    <t>SING-0305</t>
  </si>
  <si>
    <t>Pozo Almonte 220</t>
  </si>
  <si>
    <t>P.ALMONTE1</t>
  </si>
  <si>
    <t>SIC-0803</t>
  </si>
  <si>
    <t>Puente Alto 012</t>
  </si>
  <si>
    <t>S/E PUENTE ALTO (TEC)</t>
  </si>
  <si>
    <t>Puente Alto 110</t>
  </si>
  <si>
    <t>P.ANCHA</t>
  </si>
  <si>
    <t>SIC-0782</t>
  </si>
  <si>
    <t>Playa Ancha 13.8</t>
  </si>
  <si>
    <t>S/E PLAYA ANCHA</t>
  </si>
  <si>
    <t>Playa Ancha 110</t>
  </si>
  <si>
    <t>SIC-0698</t>
  </si>
  <si>
    <t>Pan de Azucar 13.8</t>
  </si>
  <si>
    <t>S/E PAN DE AZUCAR</t>
  </si>
  <si>
    <t>Pan de Azucar 066</t>
  </si>
  <si>
    <t>Pan de Azucar 110</t>
  </si>
  <si>
    <t>SIC-0699</t>
  </si>
  <si>
    <t>Pan de Azucar 220</t>
  </si>
  <si>
    <t>SIC-0823</t>
  </si>
  <si>
    <t>Punta Colorada 220</t>
  </si>
  <si>
    <t>S/E PUNTA COLORADA</t>
  </si>
  <si>
    <t>P.CORTES</t>
  </si>
  <si>
    <t>Punta Cortes 015</t>
  </si>
  <si>
    <t>S/E PUNTA DE CORTES</t>
  </si>
  <si>
    <t>Punta Cortes A 066</t>
  </si>
  <si>
    <t>P.CORTES1</t>
  </si>
  <si>
    <t>Punta Cortes 154</t>
  </si>
  <si>
    <t>Padre Hurtado 23</t>
  </si>
  <si>
    <t>S/E PADRE HURTADO</t>
  </si>
  <si>
    <t>Padre Hurtado 110</t>
  </si>
  <si>
    <t>SIC-1546</t>
  </si>
  <si>
    <t>Puerto Montt 023</t>
  </si>
  <si>
    <t>S/E PUERTO MONTT</t>
  </si>
  <si>
    <t>Puerto Montt 220</t>
  </si>
  <si>
    <t>P.VARAS</t>
  </si>
  <si>
    <t>SIC-0813</t>
  </si>
  <si>
    <t>Puerto Varas 13.8</t>
  </si>
  <si>
    <t>S/E PUERTO VARAS</t>
  </si>
  <si>
    <t>Puerto Varas 066</t>
  </si>
  <si>
    <t>PACHACAMA</t>
  </si>
  <si>
    <t>PACHACAMA1</t>
  </si>
  <si>
    <t>PACIFICO</t>
  </si>
  <si>
    <t>SING-0282</t>
  </si>
  <si>
    <t>Pacífico 13.8</t>
  </si>
  <si>
    <t>S/E PACIFICO</t>
  </si>
  <si>
    <t>SING-0279</t>
  </si>
  <si>
    <t>Pacifico 110</t>
  </si>
  <si>
    <t>PAILLACO</t>
  </si>
  <si>
    <t>SIC-0687</t>
  </si>
  <si>
    <t>Paillaco 13.8</t>
  </si>
  <si>
    <t>S/E PAILLACO</t>
  </si>
  <si>
    <t>Paillaco 066</t>
  </si>
  <si>
    <t>PAINE</t>
  </si>
  <si>
    <t>Paine A 066</t>
  </si>
  <si>
    <t>Paine 154</t>
  </si>
  <si>
    <t>SIC-0690</t>
  </si>
  <si>
    <t>Pajaritos 012</t>
  </si>
  <si>
    <t>S/E PAJARITOS</t>
  </si>
  <si>
    <t>SIC-0691</t>
  </si>
  <si>
    <t>Pajaritos 023</t>
  </si>
  <si>
    <t>Pajaritos 110</t>
  </si>
  <si>
    <t>SIC-0694</t>
  </si>
  <si>
    <t>Pajonales 023</t>
  </si>
  <si>
    <t>S/E CENTRAL PAJONALES</t>
  </si>
  <si>
    <t>Pajonales 110</t>
  </si>
  <si>
    <t>SIC-1288</t>
  </si>
  <si>
    <t>PALAFITOS</t>
  </si>
  <si>
    <t>SING-0284</t>
  </si>
  <si>
    <t>Palafitos 13.8</t>
  </si>
  <si>
    <t>S/E PALAFITOS</t>
  </si>
  <si>
    <t>SING-0283</t>
  </si>
  <si>
    <t>Palafitos 110</t>
  </si>
  <si>
    <t>PALESTINA</t>
  </si>
  <si>
    <t>Palestina 220</t>
  </si>
  <si>
    <t>PALLATA</t>
  </si>
  <si>
    <t>Pallata 220</t>
  </si>
  <si>
    <t>PALPANA</t>
  </si>
  <si>
    <t>PALTO</t>
  </si>
  <si>
    <t>SIC-0804</t>
  </si>
  <si>
    <t>S/E PUENTE ALTO (CMPC)</t>
  </si>
  <si>
    <t>PANAMERICANA</t>
  </si>
  <si>
    <t>SIC-0700</t>
  </si>
  <si>
    <t>Panamericana 012</t>
  </si>
  <si>
    <t>S/E PANAMERICANA</t>
  </si>
  <si>
    <t>PANGUE</t>
  </si>
  <si>
    <t>Pangue 13.2</t>
  </si>
  <si>
    <t>SIC-0702</t>
  </si>
  <si>
    <t>Pangue 066</t>
  </si>
  <si>
    <t>S/E CENTRAL PANGUE</t>
  </si>
  <si>
    <t>Pangue 220</t>
  </si>
  <si>
    <t>SIC-0705</t>
  </si>
  <si>
    <t>Panguilemo 015</t>
  </si>
  <si>
    <t>S/E PANGUILEMO</t>
  </si>
  <si>
    <t>SIC-0706</t>
  </si>
  <si>
    <t>Panguilemo 066</t>
  </si>
  <si>
    <t>SIC-0707</t>
  </si>
  <si>
    <t>Panguipulli 024</t>
  </si>
  <si>
    <t>S/E PANGUIPULLI</t>
  </si>
  <si>
    <t>Panguipulli 066</t>
  </si>
  <si>
    <t>SIC-0710</t>
  </si>
  <si>
    <t>Paniahue 13.2</t>
  </si>
  <si>
    <t>S/E PANIAHUE</t>
  </si>
  <si>
    <t>Paniahue 066</t>
  </si>
  <si>
    <t>SIC-0712</t>
  </si>
  <si>
    <t>Panimavida 13.8</t>
  </si>
  <si>
    <t>S/E PANIMAVIDA</t>
  </si>
  <si>
    <t>Panimavida 066</t>
  </si>
  <si>
    <t>SIC-0714</t>
  </si>
  <si>
    <t>Panquehue 012</t>
  </si>
  <si>
    <t>S/E PANQUEHUE</t>
  </si>
  <si>
    <t>Panquehue 044</t>
  </si>
  <si>
    <t>PAPOSO</t>
  </si>
  <si>
    <t>Paposo 066</t>
  </si>
  <si>
    <t>SIC-0717</t>
  </si>
  <si>
    <t>Paposo 220</t>
  </si>
  <si>
    <t>PARGUA</t>
  </si>
  <si>
    <t>Pargua 023</t>
  </si>
  <si>
    <t>Pargua 110</t>
  </si>
  <si>
    <t>Pargua 220</t>
  </si>
  <si>
    <t>SING-0288</t>
  </si>
  <si>
    <t>Parinacota 066</t>
  </si>
  <si>
    <t>S/E PARINACOTA</t>
  </si>
  <si>
    <t>SING-0291</t>
  </si>
  <si>
    <t>Parinacota 220</t>
  </si>
  <si>
    <t>PARINAS</t>
  </si>
  <si>
    <t>Parinas 220</t>
  </si>
  <si>
    <t>S/E PARINAS</t>
  </si>
  <si>
    <t>Transelec Holdings Rentas Ltda</t>
  </si>
  <si>
    <t>SIC-1195</t>
  </si>
  <si>
    <t>Parinas 500</t>
  </si>
  <si>
    <t>SIC-0720</t>
  </si>
  <si>
    <t>Parral 13.8</t>
  </si>
  <si>
    <t>S/E PARRAL</t>
  </si>
  <si>
    <t>Parral 066</t>
  </si>
  <si>
    <t>SIC-0723</t>
  </si>
  <si>
    <t>Parronal 13.2</t>
  </si>
  <si>
    <t>S/E PARRONAL</t>
  </si>
  <si>
    <t>Parronal 066</t>
  </si>
  <si>
    <t>Paso Hondo 13.2</t>
  </si>
  <si>
    <t>S/E PASO HONDO</t>
  </si>
  <si>
    <t>Paso Hondo 066</t>
  </si>
  <si>
    <t>PE_L_B.AIRES</t>
  </si>
  <si>
    <t>Los Buenos Aires 066</t>
  </si>
  <si>
    <t>PE_RENAICO</t>
  </si>
  <si>
    <t>SIC-1596</t>
  </si>
  <si>
    <t>PE Renaico 220</t>
  </si>
  <si>
    <t>S/E PARQUE EOLICO RENAICO</t>
  </si>
  <si>
    <t>PEHUENCHE</t>
  </si>
  <si>
    <t>Pehuenche 220</t>
  </si>
  <si>
    <t>SIC-0725</t>
  </si>
  <si>
    <t>Pelequen 015</t>
  </si>
  <si>
    <t>S/E PELEQUEN</t>
  </si>
  <si>
    <t>Pelequen 066</t>
  </si>
  <si>
    <t>SIC-1220</t>
  </si>
  <si>
    <t>Peñablanca 13.2</t>
  </si>
  <si>
    <t>S/E PEnABLANCA</t>
  </si>
  <si>
    <t>Peñablanca 110</t>
  </si>
  <si>
    <t>SIC-0728</t>
  </si>
  <si>
    <t>Penco 015</t>
  </si>
  <si>
    <t>S/E PENCO</t>
  </si>
  <si>
    <t>Penco A 066</t>
  </si>
  <si>
    <t>PEQ</t>
  </si>
  <si>
    <t>PEQ 220</t>
  </si>
  <si>
    <t>S/E PEQ</t>
  </si>
  <si>
    <t>PERALES</t>
  </si>
  <si>
    <t>SIC-0730</t>
  </si>
  <si>
    <t>Perales 015</t>
  </si>
  <si>
    <t>S/E PERALES</t>
  </si>
  <si>
    <t>Perales 066</t>
  </si>
  <si>
    <t>PETALTAL</t>
  </si>
  <si>
    <t>S/E_SIN_NOMBRE</t>
  </si>
  <si>
    <t>S/E CENTRAL PARQUE EOLICO TALTAL</t>
  </si>
  <si>
    <t>PETROPOWER</t>
  </si>
  <si>
    <t>SIC-0733</t>
  </si>
  <si>
    <t>Petropower 066</t>
  </si>
  <si>
    <t>S/E PETROPOWER</t>
  </si>
  <si>
    <t>Peuchen 220</t>
  </si>
  <si>
    <t>PICARTE</t>
  </si>
  <si>
    <t>SIC-0742</t>
  </si>
  <si>
    <t>Picarte 13.8</t>
  </si>
  <si>
    <t>S/E PICARTE</t>
  </si>
  <si>
    <t>Picarte 066</t>
  </si>
  <si>
    <t>PICHIL</t>
  </si>
  <si>
    <t>SIC-0743</t>
  </si>
  <si>
    <t>Pichil 023</t>
  </si>
  <si>
    <t>S/E PICHIL</t>
  </si>
  <si>
    <t>Pichil 066</t>
  </si>
  <si>
    <t>PICHIRRAHUE</t>
  </si>
  <si>
    <t>SIC-0746</t>
  </si>
  <si>
    <t>Pichirropulli 13.8</t>
  </si>
  <si>
    <t>S/E PICHIRROPULLI</t>
  </si>
  <si>
    <t>SIC-0747</t>
  </si>
  <si>
    <t>Picoltue 023</t>
  </si>
  <si>
    <t>S/E PICOLTUE</t>
  </si>
  <si>
    <t>PIDPID</t>
  </si>
  <si>
    <t>SIC-0748</t>
  </si>
  <si>
    <t>Pid Pid 024</t>
  </si>
  <si>
    <t>S/E PID PID</t>
  </si>
  <si>
    <t>Pid Pid 110</t>
  </si>
  <si>
    <t>SIC-0750</t>
  </si>
  <si>
    <t>Piduco 015</t>
  </si>
  <si>
    <t>S/E PIDUCO</t>
  </si>
  <si>
    <t>Piduco 066</t>
  </si>
  <si>
    <t>PILAUCO</t>
  </si>
  <si>
    <t>Pilauco 066</t>
  </si>
  <si>
    <t>PILLANLELBUN</t>
  </si>
  <si>
    <t>SIC-0752</t>
  </si>
  <si>
    <t>Pillanlelbun 015</t>
  </si>
  <si>
    <t>S/E PILLANLELBUN</t>
  </si>
  <si>
    <t>Pillanlelbun I 066</t>
  </si>
  <si>
    <t>SIC-0756</t>
  </si>
  <si>
    <t>Pilmaiquen 13.8</t>
  </si>
  <si>
    <t>S/E CENTRAL PILMAIQUEN</t>
  </si>
  <si>
    <t>Pilmaiquen 066</t>
  </si>
  <si>
    <t>PINATAS</t>
  </si>
  <si>
    <t>SIC-0465</t>
  </si>
  <si>
    <t>Las Piñatas 012</t>
  </si>
  <si>
    <t>S/E LAS PINATAS</t>
  </si>
  <si>
    <t>Las Piñatas 066</t>
  </si>
  <si>
    <t>SIC-0758</t>
  </si>
  <si>
    <t>Pirque 13.2</t>
  </si>
  <si>
    <t>S/E PIRQUE</t>
  </si>
  <si>
    <t>Pirque 110</t>
  </si>
  <si>
    <t>SIC-0762</t>
  </si>
  <si>
    <t>Pitrufquen 13.2</t>
  </si>
  <si>
    <t>S/E PITRUFQUEN</t>
  </si>
  <si>
    <t>Pitrufquen 066</t>
  </si>
  <si>
    <t>SIC-0763</t>
  </si>
  <si>
    <t>Placeres 012</t>
  </si>
  <si>
    <t>S/E LOS PLACERES</t>
  </si>
  <si>
    <t>Placeres 110</t>
  </si>
  <si>
    <t>PLACILLA</t>
  </si>
  <si>
    <t>SIC-0767</t>
  </si>
  <si>
    <t>Placilla SIC2 012</t>
  </si>
  <si>
    <t>S/E PLACILLA (CHILQUINTA)</t>
  </si>
  <si>
    <t>Placilla Emelectric 066</t>
  </si>
  <si>
    <t>Placilla SIC2 110</t>
  </si>
  <si>
    <t>SIC-0766</t>
  </si>
  <si>
    <t>Placilla Emelectric 13.2</t>
  </si>
  <si>
    <t>S/E PLACILLA</t>
  </si>
  <si>
    <t>SIC-0780</t>
  </si>
  <si>
    <t>Plantas 13.8</t>
  </si>
  <si>
    <t>S/E PLANTA OXIDOS</t>
  </si>
  <si>
    <t>Plantas 110</t>
  </si>
  <si>
    <t>PLASCASAS</t>
  </si>
  <si>
    <t>SIC-0684</t>
  </si>
  <si>
    <t>Padre Las Casas 015</t>
  </si>
  <si>
    <t>S/E PADRE LAS CASAS</t>
  </si>
  <si>
    <t>Padre Las Casas 066</t>
  </si>
  <si>
    <t>SIC-0787</t>
  </si>
  <si>
    <t>Polpaico 220</t>
  </si>
  <si>
    <t>S/E POLPAICO (TRANSELEC)</t>
  </si>
  <si>
    <t>Polpaico 500</t>
  </si>
  <si>
    <t>SIC-0795</t>
  </si>
  <si>
    <t>Portezuelo 023</t>
  </si>
  <si>
    <t>S/E PORTEZUELO</t>
  </si>
  <si>
    <t>Portezuelo 066</t>
  </si>
  <si>
    <t>Portezuelo 110</t>
  </si>
  <si>
    <t>SIC-0827</t>
  </si>
  <si>
    <t>Punta de Peuco 110</t>
  </si>
  <si>
    <t>S/E PUNTA PEUCO (CEMENTO POLPAICO)</t>
  </si>
  <si>
    <t>PROCART</t>
  </si>
  <si>
    <t>Procart 220</t>
  </si>
  <si>
    <t>S/E PROCART</t>
  </si>
  <si>
    <t>Pueblo Seco 023</t>
  </si>
  <si>
    <t>PTENEGRO</t>
  </si>
  <si>
    <t>Puente Negro 220</t>
  </si>
  <si>
    <t>PUCHOCO</t>
  </si>
  <si>
    <t>SIC-0797</t>
  </si>
  <si>
    <t>Puchoco 015</t>
  </si>
  <si>
    <t>S/E PUCHOCO</t>
  </si>
  <si>
    <t>Puchoco 066</t>
  </si>
  <si>
    <t>PUCON</t>
  </si>
  <si>
    <t>SIC-0799</t>
  </si>
  <si>
    <t>Pucon 023</t>
  </si>
  <si>
    <t>S/E PUCON</t>
  </si>
  <si>
    <t>Pucon 066</t>
  </si>
  <si>
    <t>PUDAHUEL</t>
  </si>
  <si>
    <t>SIC-0801</t>
  </si>
  <si>
    <t>Pudahuel 012</t>
  </si>
  <si>
    <t>S/E PUDAHUEL</t>
  </si>
  <si>
    <t>Pudahuel 110</t>
  </si>
  <si>
    <t>S/E PUEBLO SECO</t>
  </si>
  <si>
    <t>Pueblo Seco 154</t>
  </si>
  <si>
    <t>PUERTOPATACHE</t>
  </si>
  <si>
    <t>Patache 220</t>
  </si>
  <si>
    <t>SING-0309</t>
  </si>
  <si>
    <t>Pukara 13.8</t>
  </si>
  <si>
    <t>S/E PUKARA</t>
  </si>
  <si>
    <t>SING-0308</t>
  </si>
  <si>
    <t>Pukara 066</t>
  </si>
  <si>
    <t>SIC-0814</t>
  </si>
  <si>
    <t>Pullinque 023</t>
  </si>
  <si>
    <t>S/E PULLINQUE</t>
  </si>
  <si>
    <t>Pullinque 066</t>
  </si>
  <si>
    <t>PUMAHUE</t>
  </si>
  <si>
    <t>SIC-0816</t>
  </si>
  <si>
    <t>Pumahue 015</t>
  </si>
  <si>
    <t>S/E PUMAHUE</t>
  </si>
  <si>
    <t>Pumahue 066 1</t>
  </si>
  <si>
    <t>Punitaqui 13.2</t>
  </si>
  <si>
    <t>Punitaqui 066</t>
  </si>
  <si>
    <t>Punitaqui 110</t>
  </si>
  <si>
    <t>PUNTA_SIERRA</t>
  </si>
  <si>
    <t>Punta Sierra 220</t>
  </si>
  <si>
    <t>PUQUILLAY</t>
  </si>
  <si>
    <t>SIC-20019</t>
  </si>
  <si>
    <t>Puquillay 13.2</t>
  </si>
  <si>
    <t>S/E PUQUILLAY</t>
  </si>
  <si>
    <t>SIC-20018</t>
  </si>
  <si>
    <t>Puquillay 066</t>
  </si>
  <si>
    <t>PURI</t>
  </si>
  <si>
    <t>Puri 220</t>
  </si>
  <si>
    <t>S/E PURI</t>
  </si>
  <si>
    <t>PURRANQUE</t>
  </si>
  <si>
    <t>SIC-0835</t>
  </si>
  <si>
    <t>Purranque 13.8</t>
  </si>
  <si>
    <t>S/E PURRANQUE</t>
  </si>
  <si>
    <t>Purranque 066</t>
  </si>
  <si>
    <t>PVHFAMI</t>
  </si>
  <si>
    <t>sagrada familia 033</t>
  </si>
  <si>
    <t>S/E HUERTOS FAMILIARES</t>
  </si>
  <si>
    <t>PVSALVADOR</t>
  </si>
  <si>
    <t>PV Salvador 110</t>
  </si>
  <si>
    <t>PVSOLDESIERTO</t>
  </si>
  <si>
    <t>S/E SOL DEL DESIERTO</t>
  </si>
  <si>
    <t>Parque Solar Fotovoltaico Sol del Desierto SpA</t>
  </si>
  <si>
    <t>SIC-0861</t>
  </si>
  <si>
    <t>Quinta de Tilcoco 015</t>
  </si>
  <si>
    <t>S/E QUINTA DE TILCOCO</t>
  </si>
  <si>
    <t>Quinta de Tilcoco 066</t>
  </si>
  <si>
    <t>SIC-0837</t>
  </si>
  <si>
    <t>Quelentaro 13.2</t>
  </si>
  <si>
    <t>S/E QUELENTARO</t>
  </si>
  <si>
    <t>Quelentaro 110</t>
  </si>
  <si>
    <t>Quelentaro 220</t>
  </si>
  <si>
    <t>QUELLON</t>
  </si>
  <si>
    <t>SIC-0839</t>
  </si>
  <si>
    <t>Quellon 023</t>
  </si>
  <si>
    <t>S/E QUELLON</t>
  </si>
  <si>
    <t>Quellon 110</t>
  </si>
  <si>
    <t>QUELTEHUES</t>
  </si>
  <si>
    <t>SIC-0841</t>
  </si>
  <si>
    <t>Queltehues 012</t>
  </si>
  <si>
    <t>S/E CENTRAL QUELTEHUES</t>
  </si>
  <si>
    <t>SIC-0842</t>
  </si>
  <si>
    <t>Queltehues 110</t>
  </si>
  <si>
    <t>SIC-0843</t>
  </si>
  <si>
    <t>Quereo 023</t>
  </si>
  <si>
    <t>S/E QUEREO</t>
  </si>
  <si>
    <t>Quereo 110</t>
  </si>
  <si>
    <t>SING-0318</t>
  </si>
  <si>
    <t>Quiani 13.8</t>
  </si>
  <si>
    <t>S/E QUIANI</t>
  </si>
  <si>
    <t>Quiani 066</t>
  </si>
  <si>
    <t>QUILAPILUN</t>
  </si>
  <si>
    <t>Quilapilun 220</t>
  </si>
  <si>
    <t>QUILICURA</t>
  </si>
  <si>
    <t>SIC-0845</t>
  </si>
  <si>
    <t>Quilicura 012</t>
  </si>
  <si>
    <t>S/E QUILICURA</t>
  </si>
  <si>
    <t>SIC-0846</t>
  </si>
  <si>
    <t>Quilicura 023</t>
  </si>
  <si>
    <t>Quilicura 110</t>
  </si>
  <si>
    <t>Quilleco 220</t>
  </si>
  <si>
    <t>Quillota 110</t>
  </si>
  <si>
    <t>SIC-0850</t>
  </si>
  <si>
    <t>Quillota 220</t>
  </si>
  <si>
    <t>S/E QUILLOTA</t>
  </si>
  <si>
    <t>Quilmo 033</t>
  </si>
  <si>
    <t>Quilmo 066</t>
  </si>
  <si>
    <t>SIC-0854</t>
  </si>
  <si>
    <t>Quilpue 012</t>
  </si>
  <si>
    <t>S/E QUILPUE</t>
  </si>
  <si>
    <t>SIC-0856</t>
  </si>
  <si>
    <t>Quilpue 110</t>
  </si>
  <si>
    <t>QUINAHUE</t>
  </si>
  <si>
    <t>QUINENCO</t>
  </si>
  <si>
    <t>SIC-0857</t>
  </si>
  <si>
    <t>Quinquimo 023</t>
  </si>
  <si>
    <t>S/E QUINQUIMO</t>
  </si>
  <si>
    <t>Quinquimo A 110</t>
  </si>
  <si>
    <t>QUINQUIMO2</t>
  </si>
  <si>
    <t>Quinquimo B 110</t>
  </si>
  <si>
    <t>SIC-0860</t>
  </si>
  <si>
    <t>Quinta 13.8</t>
  </si>
  <si>
    <t>S/E QUINTA</t>
  </si>
  <si>
    <t>SIC-0859</t>
  </si>
  <si>
    <t>Quinta 066</t>
  </si>
  <si>
    <t>QUINTAY</t>
  </si>
  <si>
    <t>SIC-0863</t>
  </si>
  <si>
    <t>Quintay 012</t>
  </si>
  <si>
    <t>S/E QUINTAY</t>
  </si>
  <si>
    <t>Quintay 066</t>
  </si>
  <si>
    <t>SIC-0865</t>
  </si>
  <si>
    <t>Quintero 012</t>
  </si>
  <si>
    <t>S/E QUINTERO</t>
  </si>
  <si>
    <t>Quintero 110</t>
  </si>
  <si>
    <t>SIC-0349</t>
  </si>
  <si>
    <t>Quintero 220</t>
  </si>
  <si>
    <t>S/E CENTRAL QUINTERO</t>
  </si>
  <si>
    <t>SIC-0871</t>
  </si>
  <si>
    <t>Quirihue 13.2</t>
  </si>
  <si>
    <t>S/E QUIRIHUE</t>
  </si>
  <si>
    <t>Quirihue 023</t>
  </si>
  <si>
    <t>Quirihue 033</t>
  </si>
  <si>
    <t>Rio Bonito 023</t>
  </si>
  <si>
    <t>S/E RIO BONITO</t>
  </si>
  <si>
    <t>Rio Bonito 110</t>
  </si>
  <si>
    <t>R.NEGRO</t>
  </si>
  <si>
    <t>Rio Negro 023</t>
  </si>
  <si>
    <t>S/E RIO NEGRO</t>
  </si>
  <si>
    <t>Rio Negro 066</t>
  </si>
  <si>
    <t>R.TOMIC</t>
  </si>
  <si>
    <t>SING-0320</t>
  </si>
  <si>
    <t>Radomiro Tomic 220</t>
  </si>
  <si>
    <t>S/E RADOMIRO TOMIC</t>
  </si>
  <si>
    <t>Rio Aconcagua 220</t>
  </si>
  <si>
    <t>Rahue 220</t>
  </si>
  <si>
    <t>RALCO</t>
  </si>
  <si>
    <t>Ralco 220</t>
  </si>
  <si>
    <t>RANCAGUA</t>
  </si>
  <si>
    <t>SIC-0875</t>
  </si>
  <si>
    <t>Rancagua 154</t>
  </si>
  <si>
    <t>S/E RANCAGUA</t>
  </si>
  <si>
    <t>RANCAGUA1</t>
  </si>
  <si>
    <t>Rancagua A 066</t>
  </si>
  <si>
    <t>RANCAGUA2</t>
  </si>
  <si>
    <t>Rancagua B 066</t>
  </si>
  <si>
    <t>SIC-0877</t>
  </si>
  <si>
    <t>Ranguili 13.2</t>
  </si>
  <si>
    <t>S/E RANGUILI</t>
  </si>
  <si>
    <t>Ranguili 066</t>
  </si>
  <si>
    <t>Rapel 066</t>
  </si>
  <si>
    <t>Rapel 220</t>
  </si>
  <si>
    <t>SIC-0881</t>
  </si>
  <si>
    <t>Rauquén 13.2</t>
  </si>
  <si>
    <t>S/E RAUQUEN</t>
  </si>
  <si>
    <t>Rauquén 066</t>
  </si>
  <si>
    <t>RECINTO</t>
  </si>
  <si>
    <t>SIC-0884</t>
  </si>
  <si>
    <t>Recinto 023</t>
  </si>
  <si>
    <t>S/E RECINTO</t>
  </si>
  <si>
    <t>SIC-1489</t>
  </si>
  <si>
    <t>Cooperativa de Consumo de Energía Eléctrica Chillán Ltda.</t>
  </si>
  <si>
    <t>Recinto 033</t>
  </si>
  <si>
    <t>RECOLETA</t>
  </si>
  <si>
    <t>SIC-0885</t>
  </si>
  <si>
    <t>Recoleta 012</t>
  </si>
  <si>
    <t>S/E RECOLETA</t>
  </si>
  <si>
    <t>Recoleta 110</t>
  </si>
  <si>
    <t>REMEHUE</t>
  </si>
  <si>
    <t>Remehue 066</t>
  </si>
  <si>
    <t>RENACA</t>
  </si>
  <si>
    <t>SIC-0896</t>
  </si>
  <si>
    <t>Reñaca 012</t>
  </si>
  <si>
    <t>S/E REnACA</t>
  </si>
  <si>
    <t>Reñaca 110</t>
  </si>
  <si>
    <t>RENAICO</t>
  </si>
  <si>
    <t>SIC-1113</t>
  </si>
  <si>
    <t>Tap Renaico 066</t>
  </si>
  <si>
    <t>S/E RENAICO (FFCC)</t>
  </si>
  <si>
    <t>RENCA</t>
  </si>
  <si>
    <t>SIC-0890</t>
  </si>
  <si>
    <t>Renca 110</t>
  </si>
  <si>
    <t>S/E RENCA</t>
  </si>
  <si>
    <t>SIC-0894</t>
  </si>
  <si>
    <t>Rengo 015</t>
  </si>
  <si>
    <t>S/E RENGO</t>
  </si>
  <si>
    <t>SIC-0895</t>
  </si>
  <si>
    <t>Rengo 066</t>
  </si>
  <si>
    <t>SIC-0898</t>
  </si>
  <si>
    <t>Retiro 13.2</t>
  </si>
  <si>
    <t>S/E RETIRO</t>
  </si>
  <si>
    <t>RIO_BLANCO</t>
  </si>
  <si>
    <t>SIC-0901</t>
  </si>
  <si>
    <t>Rio Blanco 012</t>
  </si>
  <si>
    <t>S/E RIO BLANCO</t>
  </si>
  <si>
    <t>Rio Blanco 044</t>
  </si>
  <si>
    <t>RIO_ESCONDIDO</t>
  </si>
  <si>
    <t>Rio Escondido 220</t>
  </si>
  <si>
    <t>RIO_MALLECO</t>
  </si>
  <si>
    <t>Rio Malleco 220</t>
  </si>
  <si>
    <t>RIO_SALADO</t>
  </si>
  <si>
    <t>RIOTOLTEN</t>
  </si>
  <si>
    <t>Rio Tolten 110</t>
  </si>
  <si>
    <t>ROMERAL</t>
  </si>
  <si>
    <t>SIC-0906</t>
  </si>
  <si>
    <t>Romeral 110</t>
  </si>
  <si>
    <t>SIC-0908</t>
  </si>
  <si>
    <t>Rosario 015</t>
  </si>
  <si>
    <t>S/E ROSARIO</t>
  </si>
  <si>
    <t>Rosario 066</t>
  </si>
  <si>
    <t>RRAPEL</t>
  </si>
  <si>
    <t>RUCUE</t>
  </si>
  <si>
    <t>SIC-0910</t>
  </si>
  <si>
    <t>Rucue 023</t>
  </si>
  <si>
    <t>S/E CENTRAL RUCUE</t>
  </si>
  <si>
    <t>Rucue 220</t>
  </si>
  <si>
    <t>RUIL1</t>
  </si>
  <si>
    <t>SIC_000</t>
  </si>
  <si>
    <t>S/E EL RUIL</t>
  </si>
  <si>
    <t>Nirivilo Transmisora de Energía S.A.</t>
  </si>
  <si>
    <t>RUIL2</t>
  </si>
  <si>
    <t>SIC-0911</t>
  </si>
  <si>
    <t>Rungue 023</t>
  </si>
  <si>
    <t>S/E RUNGUE</t>
  </si>
  <si>
    <t>Rangue 044</t>
  </si>
  <si>
    <t>S.ANDRES</t>
  </si>
  <si>
    <t>San Andrés 220</t>
  </si>
  <si>
    <t>SIC-0921</t>
  </si>
  <si>
    <t>San Antonio 012</t>
  </si>
  <si>
    <t>S/E SAN ANTONIO</t>
  </si>
  <si>
    <t>San Antonio 066</t>
  </si>
  <si>
    <t>San Antonio 110</t>
  </si>
  <si>
    <t>SIC-0927</t>
  </si>
  <si>
    <t>San Carlos 13.2</t>
  </si>
  <si>
    <t>S/E SAN CARLOS</t>
  </si>
  <si>
    <t>SIC-0940</t>
  </si>
  <si>
    <t>San Francisco de Mostazal 015</t>
  </si>
  <si>
    <t>S/E SAN FRANCISCO DE MOSTAZAL</t>
  </si>
  <si>
    <t>San Francisco de Mostazal 066</t>
  </si>
  <si>
    <t>SIC-0933</t>
  </si>
  <si>
    <t>San Felipe 012</t>
  </si>
  <si>
    <t>S/E SAN FELIPE</t>
  </si>
  <si>
    <t>San Felipe 044</t>
  </si>
  <si>
    <t>S.FERNANDO</t>
  </si>
  <si>
    <t>SIC-0936</t>
  </si>
  <si>
    <t>San Fernando 015</t>
  </si>
  <si>
    <t>S/E SAN FERNANDO</t>
  </si>
  <si>
    <t>San Fernando 066</t>
  </si>
  <si>
    <t>San Fernando 154</t>
  </si>
  <si>
    <t>S.FRUTILLAR.N</t>
  </si>
  <si>
    <t>Frutillar Norte 220</t>
  </si>
  <si>
    <t>S.GORDA</t>
  </si>
  <si>
    <t>SING-0340</t>
  </si>
  <si>
    <t>Sierra Gorda 220</t>
  </si>
  <si>
    <t>S/E SIERRA GORDA</t>
  </si>
  <si>
    <t>SIC-0943</t>
  </si>
  <si>
    <t>San Gregorio 13.8</t>
  </si>
  <si>
    <t>S/E SAN GREGORIO</t>
  </si>
  <si>
    <t>SIC-0942</t>
  </si>
  <si>
    <t>San Gregorio 066</t>
  </si>
  <si>
    <t>SIC-0946</t>
  </si>
  <si>
    <t>San Javier 023</t>
  </si>
  <si>
    <t>S/E SAN JAVIER</t>
  </si>
  <si>
    <t>SIC-0949</t>
  </si>
  <si>
    <t>San Jeronimo 012</t>
  </si>
  <si>
    <t>S/E SAN JERONIMO</t>
  </si>
  <si>
    <t>San Jeronimo 066</t>
  </si>
  <si>
    <t>S.JOAQUIN</t>
  </si>
  <si>
    <t>SIC-0953</t>
  </si>
  <si>
    <t>San Joaquin CGET 13.2</t>
  </si>
  <si>
    <t>S/E SAN JOAQUIN (CGE)</t>
  </si>
  <si>
    <t>San Joaquin 110</t>
  </si>
  <si>
    <t>S.LUIS</t>
  </si>
  <si>
    <t>San Luis 220</t>
  </si>
  <si>
    <t>S.LUIS2</t>
  </si>
  <si>
    <t>SIC-0959</t>
  </si>
  <si>
    <t>San Miguel 015</t>
  </si>
  <si>
    <t>S/E SAN MIGUEL</t>
  </si>
  <si>
    <t>San Miguel 066</t>
  </si>
  <si>
    <t>S.P.PAPELES</t>
  </si>
  <si>
    <t>SIC-1089</t>
  </si>
  <si>
    <t>Tap NS BioBio 066</t>
  </si>
  <si>
    <t>S/E PAPELERA BIO BIO</t>
  </si>
  <si>
    <t>SIC-0963</t>
  </si>
  <si>
    <t>San Pedro 012</t>
  </si>
  <si>
    <t>S/E SAN PEDRO (FFCC)</t>
  </si>
  <si>
    <t>San Pedro 110</t>
  </si>
  <si>
    <t>SIC-0967</t>
  </si>
  <si>
    <t>San Rafael 012</t>
  </si>
  <si>
    <t>S/E SAN RAFAEL (CHILQUINTA)</t>
  </si>
  <si>
    <t>San Rafael 044</t>
  </si>
  <si>
    <t>San Rafael 110</t>
  </si>
  <si>
    <t>SIC-0970</t>
  </si>
  <si>
    <t>San Rafael Emetal 13.2</t>
  </si>
  <si>
    <t>S/E SAN RAFAEL</t>
  </si>
  <si>
    <t>SIC-0971</t>
  </si>
  <si>
    <t>San Sebastian 012</t>
  </si>
  <si>
    <t>S/E SAN SEBASTIAN</t>
  </si>
  <si>
    <t>S.SIMON</t>
  </si>
  <si>
    <t>San Simon 220</t>
  </si>
  <si>
    <t>S.VICENTE</t>
  </si>
  <si>
    <t>SIC-0974</t>
  </si>
  <si>
    <t>San Vicente 13.8</t>
  </si>
  <si>
    <t>S/E SAN VICENTE</t>
  </si>
  <si>
    <t>San Vicente 066</t>
  </si>
  <si>
    <t>SIC-0975</t>
  </si>
  <si>
    <t>San Vicente 154</t>
  </si>
  <si>
    <t>SIC-0976</t>
  </si>
  <si>
    <t>San Vicente TT 015</t>
  </si>
  <si>
    <t>S/E SAN VICENTE DE TAGUA TAGUA</t>
  </si>
  <si>
    <t>San Vicente TT A 066</t>
  </si>
  <si>
    <t>SALADILLO</t>
  </si>
  <si>
    <t>SIC-0916</t>
  </si>
  <si>
    <t>Saladillo 066</t>
  </si>
  <si>
    <t>S/E SALADILLO</t>
  </si>
  <si>
    <t>SIC-0917</t>
  </si>
  <si>
    <t>Salamanca 023</t>
  </si>
  <si>
    <t>S/E SALAMANCA</t>
  </si>
  <si>
    <t>SIC-0918</t>
  </si>
  <si>
    <t>Salamanca 110</t>
  </si>
  <si>
    <t>SALAR</t>
  </si>
  <si>
    <t>SING-0327</t>
  </si>
  <si>
    <t>Salar 110</t>
  </si>
  <si>
    <t>S/E SALAR</t>
  </si>
  <si>
    <t>SING-0329</t>
  </si>
  <si>
    <t>Salar 220</t>
  </si>
  <si>
    <t>SALARCHUQAUX</t>
  </si>
  <si>
    <t>SAN_BERNARDO</t>
  </si>
  <si>
    <t>SIC-0925</t>
  </si>
  <si>
    <t>San Bernardo 012</t>
  </si>
  <si>
    <t>S/E SAN BERNARDO</t>
  </si>
  <si>
    <t>San Bernardo 110</t>
  </si>
  <si>
    <t>SIC-0930</t>
  </si>
  <si>
    <t>San Clemente Transnet 13.2</t>
  </si>
  <si>
    <t>S/E SAN CLEMENTE</t>
  </si>
  <si>
    <t>San Clemente 066</t>
  </si>
  <si>
    <t>SAN_CRISTOBAL</t>
  </si>
  <si>
    <t>SIC-0931</t>
  </si>
  <si>
    <t>San Cristobal 012</t>
  </si>
  <si>
    <t>S/E SAN CRISTOBAL</t>
  </si>
  <si>
    <t>San Cristobal 110</t>
  </si>
  <si>
    <t>SAN_FRANCISCO</t>
  </si>
  <si>
    <t>SAN_JOAQUIN</t>
  </si>
  <si>
    <t>SIC-0950</t>
  </si>
  <si>
    <t>San Joaquin 012</t>
  </si>
  <si>
    <t>S/E SAN JOAQUIN (ENEL TRANSMISION)</t>
  </si>
  <si>
    <t>SAN_JOSE</t>
  </si>
  <si>
    <t>SIC-0954</t>
  </si>
  <si>
    <t>San Jose 012</t>
  </si>
  <si>
    <t>S/E SAN JOSE</t>
  </si>
  <si>
    <t>San Jose 110</t>
  </si>
  <si>
    <t>SAN_JUAN</t>
  </si>
  <si>
    <t>SIC-0957</t>
  </si>
  <si>
    <t>San Juan 13.2</t>
  </si>
  <si>
    <t>S/E SAN JUAN</t>
  </si>
  <si>
    <t>San Juan CGE 066</t>
  </si>
  <si>
    <t>SIC-0961</t>
  </si>
  <si>
    <t>San Pablo 023</t>
  </si>
  <si>
    <t>S/E SAN PABLO</t>
  </si>
  <si>
    <t>SANGABRIEL</t>
  </si>
  <si>
    <t>San Gabriel 220</t>
  </si>
  <si>
    <t>SANGRA</t>
  </si>
  <si>
    <t>Sangra 023</t>
  </si>
  <si>
    <t>S/E SANGRA</t>
  </si>
  <si>
    <t>Sangra 066</t>
  </si>
  <si>
    <t>SANPEDRO</t>
  </si>
  <si>
    <t>SIC-0965</t>
  </si>
  <si>
    <t>San Pedro CGET 015</t>
  </si>
  <si>
    <t>S/E SAN PEDRO (CGE)</t>
  </si>
  <si>
    <t>San Pedro CGET 066</t>
  </si>
  <si>
    <t>SANPEDROEOL</t>
  </si>
  <si>
    <t>SANT_SOLAR</t>
  </si>
  <si>
    <t>Santiago Solar 110</t>
  </si>
  <si>
    <t>Santa Barbara 13.2</t>
  </si>
  <si>
    <t>S/E SANTA BARBARA</t>
  </si>
  <si>
    <t>Santa Barbara 066</t>
  </si>
  <si>
    <t>SANTA_ELENA</t>
  </si>
  <si>
    <t>SIC-0979</t>
  </si>
  <si>
    <t>Santa Elena 012</t>
  </si>
  <si>
    <t>S/E SANTA ELENA</t>
  </si>
  <si>
    <t>Santa Elena 110</t>
  </si>
  <si>
    <t>SIC-0986</t>
  </si>
  <si>
    <t>Santa Marta 012</t>
  </si>
  <si>
    <t>S/E SANTA MARTA</t>
  </si>
  <si>
    <t>SIC-0987</t>
  </si>
  <si>
    <t>Santa Marta 023</t>
  </si>
  <si>
    <t>Santa Marta 110</t>
  </si>
  <si>
    <t>SANTA_RAQUEL</t>
  </si>
  <si>
    <t>SIC-0989</t>
  </si>
  <si>
    <t>Santa Raquel 012</t>
  </si>
  <si>
    <t>Santa Raquel 110</t>
  </si>
  <si>
    <t>SANTA_ROSA_S</t>
  </si>
  <si>
    <t>SIC-0994</t>
  </si>
  <si>
    <t>Santa Rosa Sur 012</t>
  </si>
  <si>
    <t>S/E SANTA ROSA SUR</t>
  </si>
  <si>
    <t>SIC-0000</t>
  </si>
  <si>
    <t>Santa Rosa Sur 110</t>
  </si>
  <si>
    <t>SANTACLARA</t>
  </si>
  <si>
    <t>Santa Clara 066</t>
  </si>
  <si>
    <t>Santa Clara 220</t>
  </si>
  <si>
    <t>SANTACRUZ</t>
  </si>
  <si>
    <t>Santa Cruz 013</t>
  </si>
  <si>
    <t>Santa Cruz 066</t>
  </si>
  <si>
    <t>SARCO</t>
  </si>
  <si>
    <t>SAUZAL</t>
  </si>
  <si>
    <t>SIC-0998</t>
  </si>
  <si>
    <t>Sauzal 154</t>
  </si>
  <si>
    <t>SAUZAL1</t>
  </si>
  <si>
    <t>SIC-0996</t>
  </si>
  <si>
    <t>Sauzal 110</t>
  </si>
  <si>
    <t>S/E SAUZAL</t>
  </si>
  <si>
    <t>SAUZAL2</t>
  </si>
  <si>
    <t>SIC-0261</t>
  </si>
  <si>
    <t>Curico A 066</t>
  </si>
  <si>
    <t>Curico 13.2 B</t>
  </si>
  <si>
    <t>CURILLINQUE</t>
  </si>
  <si>
    <t>Curillinque 154</t>
  </si>
  <si>
    <t>SIC-0266</t>
  </si>
  <si>
    <t>Diego de Almagro 023</t>
  </si>
  <si>
    <t>S/E DIEGO DE ALMAGRO</t>
  </si>
  <si>
    <t>SIC-0267</t>
  </si>
  <si>
    <t>Diego de Almagro 110</t>
  </si>
  <si>
    <t>SIC-0268</t>
  </si>
  <si>
    <t>Diego de Almagro 220</t>
  </si>
  <si>
    <t>D.AMIGOS</t>
  </si>
  <si>
    <t>SIC-0270</t>
  </si>
  <si>
    <t>Dos Amigos 023</t>
  </si>
  <si>
    <t>S/E DOS AMIGOS</t>
  </si>
  <si>
    <t>Dos Amigos 110</t>
  </si>
  <si>
    <t>DALCAHUE</t>
  </si>
  <si>
    <t>SIC-1215</t>
  </si>
  <si>
    <t>Dalcahue 023</t>
  </si>
  <si>
    <t>S/E DALCAHUE</t>
  </si>
  <si>
    <t>Dalcahue 110</t>
  </si>
  <si>
    <t>DAMASCAL</t>
  </si>
  <si>
    <t>SIC-1583</t>
  </si>
  <si>
    <t>Damascal 110</t>
  </si>
  <si>
    <t>S/E DAMASCAL</t>
  </si>
  <si>
    <t>Transquinta S.A.</t>
  </si>
  <si>
    <t>DEGAN</t>
  </si>
  <si>
    <t>SIC-0264</t>
  </si>
  <si>
    <t>Degañ 024</t>
  </si>
  <si>
    <t>S/E DEGAn</t>
  </si>
  <si>
    <t>Degañ 110</t>
  </si>
  <si>
    <t>DESALANT</t>
  </si>
  <si>
    <t>SING-0371</t>
  </si>
  <si>
    <t>S/E DESALANT</t>
  </si>
  <si>
    <t>DEUCO</t>
  </si>
  <si>
    <t>Deuco 13.2</t>
  </si>
  <si>
    <t>S/E DEUCO</t>
  </si>
  <si>
    <t>Deuco 066</t>
  </si>
  <si>
    <t>DICHAS</t>
  </si>
  <si>
    <t>SIN NOMBRE</t>
  </si>
  <si>
    <t>S/E LAS DICHAS</t>
  </si>
  <si>
    <t>DOLE</t>
  </si>
  <si>
    <t>DOMEYKO</t>
  </si>
  <si>
    <t>Domeyko 220</t>
  </si>
  <si>
    <t>S/E DOMEYKO</t>
  </si>
  <si>
    <t>DON_GOYO</t>
  </si>
  <si>
    <t>Don Goyo 220</t>
  </si>
  <si>
    <t>DON_HECTOR</t>
  </si>
  <si>
    <t>Don Héctor A 220</t>
  </si>
  <si>
    <t>DONA_CARMEN</t>
  </si>
  <si>
    <t>Tap Doña Carmen 220</t>
  </si>
  <si>
    <t>DONHUMBERTO</t>
  </si>
  <si>
    <t>don humberto 044</t>
  </si>
  <si>
    <t>S/E DON HUMBERTO</t>
  </si>
  <si>
    <t>don humberto 110</t>
  </si>
  <si>
    <t>SIC-0272</t>
  </si>
  <si>
    <t>Duqueco 023</t>
  </si>
  <si>
    <t>S/E DUQUECO</t>
  </si>
  <si>
    <t>Duqueco 066</t>
  </si>
  <si>
    <t>Duqueco 220</t>
  </si>
  <si>
    <t>SIC-0305</t>
  </si>
  <si>
    <t>El Peñon 023</t>
  </si>
  <si>
    <t>El Peñon 066</t>
  </si>
  <si>
    <t>SIC-0308</t>
  </si>
  <si>
    <t>El Peñon 110</t>
  </si>
  <si>
    <t>E.SAUCE</t>
  </si>
  <si>
    <t>SIC-0318</t>
  </si>
  <si>
    <t>El Sauce 13.2</t>
  </si>
  <si>
    <t>S/E EL SAUCE</t>
  </si>
  <si>
    <t>El Sauce 066</t>
  </si>
  <si>
    <t>EJERCITO</t>
  </si>
  <si>
    <t>SIC-0274</t>
  </si>
  <si>
    <t>Ejercito 015</t>
  </si>
  <si>
    <t>S/E EJERCITO</t>
  </si>
  <si>
    <t>Ejercito 066</t>
  </si>
  <si>
    <t>EKA.CHILE</t>
  </si>
  <si>
    <t>SIC-1036</t>
  </si>
  <si>
    <t>Tap Eka Nobel 154</t>
  </si>
  <si>
    <t>S/E EKA CHILE</t>
  </si>
  <si>
    <t>SIC-1216</t>
  </si>
  <si>
    <t>El Llano 220</t>
  </si>
  <si>
    <t>S/E EL LLANO</t>
  </si>
  <si>
    <t>EL_LINCE</t>
  </si>
  <si>
    <t>SING-0148</t>
  </si>
  <si>
    <t>El Lince 023</t>
  </si>
  <si>
    <t>S/E EL LINCE</t>
  </si>
  <si>
    <t>El Lince 110</t>
  </si>
  <si>
    <t>SIC-0292</t>
  </si>
  <si>
    <t>El Manzano 023</t>
  </si>
  <si>
    <t>S/E EL MANZANO (ENEL TRANSMISION)</t>
  </si>
  <si>
    <t>El Manzano 220</t>
  </si>
  <si>
    <t>SIC-0299</t>
  </si>
  <si>
    <t>El Melon 012</t>
  </si>
  <si>
    <t>S/E EL MELON</t>
  </si>
  <si>
    <t>El Melon 044</t>
  </si>
  <si>
    <t>EL_NEGRO</t>
  </si>
  <si>
    <t>SING-0265</t>
  </si>
  <si>
    <t>El Negro 110</t>
  </si>
  <si>
    <t>S/E TAP OFF EL NEGRO</t>
  </si>
  <si>
    <t>EL_PASO</t>
  </si>
  <si>
    <t>EL_SALTO</t>
  </si>
  <si>
    <t>El Salto 110</t>
  </si>
  <si>
    <t>El Salto 220</t>
  </si>
  <si>
    <t>EL_TORO</t>
  </si>
  <si>
    <t>El Toro 220</t>
  </si>
  <si>
    <t>ELABRA</t>
  </si>
  <si>
    <t>SING-0143</t>
  </si>
  <si>
    <t>El Abra 220</t>
  </si>
  <si>
    <t>S/E EL ABRA</t>
  </si>
  <si>
    <t>SIC-0278</t>
  </si>
  <si>
    <t>El Avellano 023</t>
  </si>
  <si>
    <t>S/E EL AVELLANO</t>
  </si>
  <si>
    <t>El Avellano 066</t>
  </si>
  <si>
    <t>SING-0147</t>
  </si>
  <si>
    <t>El Cobre 220</t>
  </si>
  <si>
    <t>S/E EL COBRE (ENGIE)</t>
  </si>
  <si>
    <t>ELLAUREL</t>
  </si>
  <si>
    <t>El Laurel 23</t>
  </si>
  <si>
    <t>S/E EL LAUREL</t>
  </si>
  <si>
    <t>El Maiten 066</t>
  </si>
  <si>
    <t>SIC-0294</t>
  </si>
  <si>
    <t>El Manzano SIC 4 015</t>
  </si>
  <si>
    <t>S/E EL MANZANO (CGE)</t>
  </si>
  <si>
    <t>El Manzano 066</t>
  </si>
  <si>
    <t>SIC-0302</t>
  </si>
  <si>
    <t>El Monte 13.2</t>
  </si>
  <si>
    <t>S/E EL MONTE</t>
  </si>
  <si>
    <t>El Monte 066</t>
  </si>
  <si>
    <t>SIC-0304</t>
  </si>
  <si>
    <t>El Paico 13.2</t>
  </si>
  <si>
    <t>S/E EL PAICO</t>
  </si>
  <si>
    <t>El Paico 066</t>
  </si>
  <si>
    <t>SIC-0310</t>
  </si>
  <si>
    <t>El Peumo 023</t>
  </si>
  <si>
    <t>S/E EL PEUMO</t>
  </si>
  <si>
    <t>El Peumo 066</t>
  </si>
  <si>
    <t>SIC-0312</t>
  </si>
  <si>
    <t>El Salado 023</t>
  </si>
  <si>
    <t>S/E EL SALADO</t>
  </si>
  <si>
    <t>El Salado 110</t>
  </si>
  <si>
    <t>El Salvador 110</t>
  </si>
  <si>
    <t>ELVCAPRI</t>
  </si>
  <si>
    <t>EMPALME</t>
  </si>
  <si>
    <t>SIC-0282</t>
  </si>
  <si>
    <t>El Empalme 023</t>
  </si>
  <si>
    <t>S/E EL EMPALME</t>
  </si>
  <si>
    <t>El Empalme 110</t>
  </si>
  <si>
    <t>ENACAR</t>
  </si>
  <si>
    <t>Enacar 066</t>
  </si>
  <si>
    <t>SING-0160</t>
  </si>
  <si>
    <t>Encuentro 220</t>
  </si>
  <si>
    <t>S/E ENCUENTRO</t>
  </si>
  <si>
    <t>ENL.MAITENES</t>
  </si>
  <si>
    <t>SIC-0583</t>
  </si>
  <si>
    <t>Central Maitenes 110</t>
  </si>
  <si>
    <t>S/E CENTRAL MAITENES</t>
  </si>
  <si>
    <t>ENLACE</t>
  </si>
  <si>
    <t>Enlace 066</t>
  </si>
  <si>
    <t>ENLACE_SNG</t>
  </si>
  <si>
    <t>ENTRERIOS</t>
  </si>
  <si>
    <t>ESCONDIDA</t>
  </si>
  <si>
    <t>Escondida 220</t>
  </si>
  <si>
    <t>S/E ESCONDIDA</t>
  </si>
  <si>
    <t>ESCUADRON</t>
  </si>
  <si>
    <t>SIC-0328</t>
  </si>
  <si>
    <t>Escuadron 015</t>
  </si>
  <si>
    <t>S/E ESCUADRON (CGE)</t>
  </si>
  <si>
    <t>SIC-0329</t>
  </si>
  <si>
    <t>Escuadron 066</t>
  </si>
  <si>
    <t>SING-0169</t>
  </si>
  <si>
    <t>Esmeralda 110</t>
  </si>
  <si>
    <t>SIC-0414</t>
  </si>
  <si>
    <t>La Esperanza 13.2</t>
  </si>
  <si>
    <t>S/E ESPERANZA (MINERA CENTINELA)</t>
  </si>
  <si>
    <t>SIC-0330</t>
  </si>
  <si>
    <t>Esperanza 066</t>
  </si>
  <si>
    <t>S/E ESPERANZA</t>
  </si>
  <si>
    <t>Esperanza 110</t>
  </si>
  <si>
    <t>Esperanza SING 220</t>
  </si>
  <si>
    <t>ESPINO</t>
  </si>
  <si>
    <t>El Espino 011</t>
  </si>
  <si>
    <t>S/E EL ESPINO</t>
  </si>
  <si>
    <t>SIC-0286</t>
  </si>
  <si>
    <t>El Espino 066</t>
  </si>
  <si>
    <t>EST_66</t>
  </si>
  <si>
    <t>EST_68</t>
  </si>
  <si>
    <t>EST_L1A</t>
  </si>
  <si>
    <t>EST_L1A2</t>
  </si>
  <si>
    <t>EST_L1B</t>
  </si>
  <si>
    <t>EST_L1B2</t>
  </si>
  <si>
    <t>EST_N4</t>
  </si>
  <si>
    <t>EST1_IBRTACAM</t>
  </si>
  <si>
    <t>ESTANCILLA</t>
  </si>
  <si>
    <t>S/E ESTANCILLA</t>
  </si>
  <si>
    <t>Chilquinta Transmisión S.A.</t>
  </si>
  <si>
    <t>ESTN6</t>
  </si>
  <si>
    <t>FARELLON</t>
  </si>
  <si>
    <t>Farellones 220</t>
  </si>
  <si>
    <t>S/E FARELLON</t>
  </si>
  <si>
    <t>SIC-0334</t>
  </si>
  <si>
    <t>Fatima 015 A</t>
  </si>
  <si>
    <t>S/E FATIMA</t>
  </si>
  <si>
    <t>Fatima 066</t>
  </si>
  <si>
    <t>Fatima 154</t>
  </si>
  <si>
    <t>FATIMA1</t>
  </si>
  <si>
    <t>Tap Fatima I 154</t>
  </si>
  <si>
    <t>FATIMA2</t>
  </si>
  <si>
    <t>Tap Fatima II 154</t>
  </si>
  <si>
    <t>FFCC</t>
  </si>
  <si>
    <t>SIC-0336</t>
  </si>
  <si>
    <t>FFCC Lo Espejo 110</t>
  </si>
  <si>
    <t>FIBRANOVA</t>
  </si>
  <si>
    <t>SIC-0341</t>
  </si>
  <si>
    <t>Fibranova 66</t>
  </si>
  <si>
    <t>S/E FIBRANOVA</t>
  </si>
  <si>
    <t>SIC-0342</t>
  </si>
  <si>
    <t>Florida 012</t>
  </si>
  <si>
    <t>S/E FLORIDA</t>
  </si>
  <si>
    <t>Florida 110</t>
  </si>
  <si>
    <t>SIC-0344</t>
  </si>
  <si>
    <t>Fopaco 154</t>
  </si>
  <si>
    <t>FRONTERA</t>
  </si>
  <si>
    <t>FRUTILLAR</t>
  </si>
  <si>
    <t>SIC-0347</t>
  </si>
  <si>
    <t>Frutillar 13.2</t>
  </si>
  <si>
    <t>S/E FRUTILLAR</t>
  </si>
  <si>
    <t>Frutillar 066</t>
  </si>
  <si>
    <t>FUENTECILLA</t>
  </si>
  <si>
    <t>SIC-20013</t>
  </si>
  <si>
    <t>Fuentecilla 015</t>
  </si>
  <si>
    <t>S/E FUENTECILLA</t>
  </si>
  <si>
    <t>SIC-20014</t>
  </si>
  <si>
    <t>Fuentecilla 066</t>
  </si>
  <si>
    <t>FUTURO</t>
  </si>
  <si>
    <t>S/E FUTURO</t>
  </si>
  <si>
    <t>Andes Solar II SpA</t>
  </si>
  <si>
    <t>GALLEGUILLOS</t>
  </si>
  <si>
    <t>Galleguillos 110</t>
  </si>
  <si>
    <t>GAMBOA1</t>
  </si>
  <si>
    <t>SIC-1083</t>
  </si>
  <si>
    <t>Gamboa 110</t>
  </si>
  <si>
    <t>S/E GAMBOA</t>
  </si>
  <si>
    <t>SIC-1082</t>
  </si>
  <si>
    <t>Gamboa 220</t>
  </si>
  <si>
    <t>GEOGLIFOS</t>
  </si>
  <si>
    <t>GORBEA</t>
  </si>
  <si>
    <t>SIC-0351</t>
  </si>
  <si>
    <t>Gorbea 13.2</t>
  </si>
  <si>
    <t>S/E GORBEA</t>
  </si>
  <si>
    <t>Gorbea 066</t>
  </si>
  <si>
    <t>SIC-0352</t>
  </si>
  <si>
    <t>Graneros 015</t>
  </si>
  <si>
    <t>SIC-0353</t>
  </si>
  <si>
    <t>Graneros 066</t>
  </si>
  <si>
    <t>GUACOLDA</t>
  </si>
  <si>
    <t>Guacolda 220</t>
  </si>
  <si>
    <t>GUARDIAMARINA</t>
  </si>
  <si>
    <t>SING-333</t>
  </si>
  <si>
    <t>Guardia Marina 13.8</t>
  </si>
  <si>
    <t>S/E GUARDIAMARINA</t>
  </si>
  <si>
    <t>SING-332</t>
  </si>
  <si>
    <t>Guardia Marina 023</t>
  </si>
  <si>
    <t>Guardia Marina 110</t>
  </si>
  <si>
    <t>GUAYACAN</t>
  </si>
  <si>
    <t>SIC-0356</t>
  </si>
  <si>
    <t>Guayacan 13.2</t>
  </si>
  <si>
    <t>S/E GUAYACAN</t>
  </si>
  <si>
    <t>Guayacan 066</t>
  </si>
  <si>
    <t>SIC-0358</t>
  </si>
  <si>
    <t>H. Fuentes 023</t>
  </si>
  <si>
    <t>S/E HERNAN FUENTES</t>
  </si>
  <si>
    <t>H. Fuentes 110</t>
  </si>
  <si>
    <t>HORCONES</t>
  </si>
  <si>
    <t>SIC-0360</t>
  </si>
  <si>
    <t>Horcones 066</t>
  </si>
  <si>
    <t>S/E HORCONES</t>
  </si>
  <si>
    <t>SIC-0363</t>
  </si>
  <si>
    <t>Hospital 015</t>
  </si>
  <si>
    <t>S/E HOSPITAL</t>
  </si>
  <si>
    <t>SIC-0364</t>
  </si>
  <si>
    <t>Hospital 066</t>
  </si>
  <si>
    <t>Hualañe 066</t>
  </si>
  <si>
    <t>Hualpen 154</t>
  </si>
  <si>
    <t>SIC-0370</t>
  </si>
  <si>
    <t>Hualpen 220</t>
  </si>
  <si>
    <t>HUALQUI</t>
  </si>
  <si>
    <t>Hualqui 220</t>
  </si>
  <si>
    <t>SIC-0372</t>
  </si>
  <si>
    <t>Hualte 13.2</t>
  </si>
  <si>
    <t>Hualte 033</t>
  </si>
  <si>
    <t>Hualte 066</t>
  </si>
  <si>
    <t>HUASCO</t>
  </si>
  <si>
    <t>SIC-0374</t>
  </si>
  <si>
    <t>Huasco 13.2</t>
  </si>
  <si>
    <t>S/E HUASCO</t>
  </si>
  <si>
    <t>SIC-0373</t>
  </si>
  <si>
    <t>Huasco 110</t>
  </si>
  <si>
    <t>IBERATACAMA</t>
  </si>
  <si>
    <t>IEM</t>
  </si>
  <si>
    <t>ILLAPA</t>
  </si>
  <si>
    <t>SIC-0375</t>
  </si>
  <si>
    <t>Illapel 023</t>
  </si>
  <si>
    <t>S/E ILLAPEL</t>
  </si>
  <si>
    <t>Illapel 066</t>
  </si>
  <si>
    <t>Illapel 110</t>
  </si>
  <si>
    <t>IMPERIAL</t>
  </si>
  <si>
    <t>SIC-0379</t>
  </si>
  <si>
    <t>Imperial 023</t>
  </si>
  <si>
    <t>S/E IMPERIAL</t>
  </si>
  <si>
    <t>Imperial 066</t>
  </si>
  <si>
    <t>INACESA</t>
  </si>
  <si>
    <t>SING-0195</t>
  </si>
  <si>
    <t>Inacesa 023</t>
  </si>
  <si>
    <t>S/E INACESA</t>
  </si>
  <si>
    <t>INCA_DE_ORO</t>
  </si>
  <si>
    <t>SIC-0383</t>
  </si>
  <si>
    <t>Incahuasi 023</t>
  </si>
  <si>
    <t>S/E INCAHUASI</t>
  </si>
  <si>
    <t>SIC-0384</t>
  </si>
  <si>
    <t>Incahuasi 110</t>
  </si>
  <si>
    <t>INDURA</t>
  </si>
  <si>
    <t>SIC-0387</t>
  </si>
  <si>
    <t>Indura 066</t>
  </si>
  <si>
    <t>ISLA</t>
  </si>
  <si>
    <t>Isla 154</t>
  </si>
  <si>
    <t>SIC-0390</t>
  </si>
  <si>
    <t>Isla de Maipo 012</t>
  </si>
  <si>
    <t>S/E ISLA DE MAIPO</t>
  </si>
  <si>
    <t>SIC-0392</t>
  </si>
  <si>
    <t>Isla de Maipo 066</t>
  </si>
  <si>
    <t>SIC-0394</t>
  </si>
  <si>
    <t>Itahue 13.2</t>
  </si>
  <si>
    <t>S/E ITAHUE</t>
  </si>
  <si>
    <t>SIC-0395</t>
  </si>
  <si>
    <t>Itahue 154</t>
  </si>
  <si>
    <t>Itahue 220</t>
  </si>
  <si>
    <t>JADRESIC</t>
  </si>
  <si>
    <t>S/E JADRESIC</t>
  </si>
  <si>
    <t>JAVIERA</t>
  </si>
  <si>
    <t>Central Javiera 110</t>
  </si>
  <si>
    <t>JUNCAL</t>
  </si>
  <si>
    <t>SIC-0397</t>
  </si>
  <si>
    <t>Juncal 012</t>
  </si>
  <si>
    <t>S/E JUNCAL PORTILLO</t>
  </si>
  <si>
    <t>Juncal 044</t>
  </si>
  <si>
    <t>KAPATUR</t>
  </si>
  <si>
    <t>Kapatur 220</t>
  </si>
  <si>
    <t>S/E KAPATUR</t>
  </si>
  <si>
    <t>KELAR</t>
  </si>
  <si>
    <t>Kelar 220</t>
  </si>
  <si>
    <t>KIM_NVACH_AUX</t>
  </si>
  <si>
    <t>KIMAL</t>
  </si>
  <si>
    <t>Kimal 220</t>
  </si>
  <si>
    <t>Kimal 500</t>
  </si>
  <si>
    <t>KM6</t>
  </si>
  <si>
    <t>SING-0207</t>
  </si>
  <si>
    <t>SE KM6 110</t>
  </si>
  <si>
    <t>S/E KM6</t>
  </si>
  <si>
    <t>L.ALMENDROS</t>
  </si>
  <si>
    <t>Los Almendros 110</t>
  </si>
  <si>
    <t>Los Almendros 220</t>
  </si>
  <si>
    <t>SIC-0531</t>
  </si>
  <si>
    <t>Los Ángeles B1 015</t>
  </si>
  <si>
    <t>S/E LOS ANGELES (CGE)</t>
  </si>
  <si>
    <t>Los Ángeles B1 066</t>
  </si>
  <si>
    <t>Los Ángeles 154</t>
  </si>
  <si>
    <t>SIC-0454</t>
  </si>
  <si>
    <t>Las Cabras 015</t>
  </si>
  <si>
    <t>S/E LAS CABRAS</t>
  </si>
  <si>
    <t>Las Cabras 066</t>
  </si>
  <si>
    <t>L.CHANGOS</t>
  </si>
  <si>
    <t>Los Changos 220</t>
  </si>
  <si>
    <t>Los Changos 500</t>
  </si>
  <si>
    <t>L.COLOR1</t>
  </si>
  <si>
    <t>SIC-0536</t>
  </si>
  <si>
    <t>Los Colorados 110</t>
  </si>
  <si>
    <t>S/E CENTRAL LOMA LOS COLORADOS</t>
  </si>
  <si>
    <t>L.COLORADAS</t>
  </si>
  <si>
    <t>SIC-0515</t>
  </si>
  <si>
    <t>Loma Colorada 015</t>
  </si>
  <si>
    <t>S/E LOMA COLORADA</t>
  </si>
  <si>
    <t>Loma Colorada 066</t>
  </si>
  <si>
    <t>L.ERMITA</t>
  </si>
  <si>
    <t>SIC-0412</t>
  </si>
  <si>
    <t>La Ermita 220</t>
  </si>
  <si>
    <t>S/E LA ERMITA</t>
  </si>
  <si>
    <t>L.INDURA</t>
  </si>
  <si>
    <t>SIC-0496</t>
  </si>
  <si>
    <t>Indura Lirquen 066</t>
  </si>
  <si>
    <t>L.LAGOS</t>
  </si>
  <si>
    <t>SIC-0540</t>
  </si>
  <si>
    <t>Los Lagos 13.8</t>
  </si>
  <si>
    <t>S/E LOS LAGOS</t>
  </si>
  <si>
    <t>Los Lagos 066</t>
  </si>
  <si>
    <t>L.LAJA</t>
  </si>
  <si>
    <t>SIC-1052</t>
  </si>
  <si>
    <t>Tap La Laja 110</t>
  </si>
  <si>
    <t>L.LAJUELAS</t>
  </si>
  <si>
    <t>Lajuelas 033</t>
  </si>
  <si>
    <t>L.LIRIOS</t>
  </si>
  <si>
    <t>SIC-0541</t>
  </si>
  <si>
    <t>Los Lirios 066</t>
  </si>
  <si>
    <t>S/E LOS LIRIOS (FFCC)</t>
  </si>
  <si>
    <t>SIC-0543</t>
  </si>
  <si>
    <t>Los Loros 023</t>
  </si>
  <si>
    <t>S/E LOS LOROS</t>
  </si>
  <si>
    <t>Los Loros 110</t>
  </si>
  <si>
    <t>L.LUCES</t>
  </si>
  <si>
    <t>SIC-0462</t>
  </si>
  <si>
    <t>Las Luces 110</t>
  </si>
  <si>
    <t>Los Maquis 110</t>
  </si>
  <si>
    <t>SIC-0546</t>
  </si>
  <si>
    <t>Los Maquis 220</t>
  </si>
  <si>
    <t>S/E LOS MAQUIS</t>
  </si>
  <si>
    <t>L.NEGROS2</t>
  </si>
  <si>
    <t>SIC-0552</t>
  </si>
  <si>
    <t>Los Negros 13.8</t>
  </si>
  <si>
    <t>S/E LOS NEGROS</t>
  </si>
  <si>
    <t>Los Negros 066</t>
  </si>
  <si>
    <t>L.PALMAS</t>
  </si>
  <si>
    <t>SIC-0463</t>
  </si>
  <si>
    <t>Las Palmas 220</t>
  </si>
  <si>
    <t>S/E LAS PALMAS</t>
  </si>
  <si>
    <t>L.QUILOS</t>
  </si>
  <si>
    <t>Los Quilos 066</t>
  </si>
  <si>
    <t>Los Quilos 110</t>
  </si>
  <si>
    <t>L.UNION</t>
  </si>
  <si>
    <t>SIC-0432</t>
  </si>
  <si>
    <t>La Union 13.8</t>
  </si>
  <si>
    <t>S/E LA UNION</t>
  </si>
  <si>
    <t>La Union 066</t>
  </si>
  <si>
    <t>SIC-0468</t>
  </si>
  <si>
    <t>Las Vegas 012</t>
  </si>
  <si>
    <t>S/E LAS VEGAS (CHILQUINTA)</t>
  </si>
  <si>
    <t>Las Vegas 044</t>
  </si>
  <si>
    <t>SIC-0471</t>
  </si>
  <si>
    <t>Las Vegas 110</t>
  </si>
  <si>
    <t>L.VEGAS2</t>
  </si>
  <si>
    <t>L.VERDE</t>
  </si>
  <si>
    <t>Laguna Verde 066</t>
  </si>
  <si>
    <t>Laguna Verde 110</t>
  </si>
  <si>
    <t>SIC-0560</t>
  </si>
  <si>
    <t>Los Vilos 220</t>
  </si>
  <si>
    <t>S/E LOS VILOS</t>
  </si>
  <si>
    <t>L.VIZCACHAS</t>
  </si>
  <si>
    <t>SIC-1126</t>
  </si>
  <si>
    <t>LA_CABANA</t>
  </si>
  <si>
    <t>SIC-0401</t>
  </si>
  <si>
    <t>La Calera 012</t>
  </si>
  <si>
    <t>S/E LA CALERA</t>
  </si>
  <si>
    <t>La Calera 044</t>
  </si>
  <si>
    <t>SIC-0403</t>
  </si>
  <si>
    <t>La Calera A 110</t>
  </si>
  <si>
    <t>LA_CEBADA</t>
  </si>
  <si>
    <t>La Cebada 220</t>
  </si>
  <si>
    <t>LA_CISTERNA</t>
  </si>
  <si>
    <t>SIC-0404</t>
  </si>
  <si>
    <t>La Cisterna 012</t>
  </si>
  <si>
    <t>S/E LA CISTERNA</t>
  </si>
  <si>
    <t>La Cisterna 110</t>
  </si>
  <si>
    <t>LA_DEHESA</t>
  </si>
  <si>
    <t>SIC-0409</t>
  </si>
  <si>
    <t>La Dehesa 012</t>
  </si>
  <si>
    <t>S/E LA DEHESA</t>
  </si>
  <si>
    <t>SIC-0410</t>
  </si>
  <si>
    <t>La Dehesa 023</t>
  </si>
  <si>
    <t>La Dehesa 110</t>
  </si>
  <si>
    <t>LA_ESTRELLA</t>
  </si>
  <si>
    <t>La Estrella 110</t>
  </si>
  <si>
    <t>LA_MINA</t>
  </si>
  <si>
    <t>SIC-0424</t>
  </si>
  <si>
    <t>La Pintana 012</t>
  </si>
  <si>
    <t>S/E LA PINTANA</t>
  </si>
  <si>
    <t>La Pintana 110</t>
  </si>
  <si>
    <t>LA_REINA</t>
  </si>
  <si>
    <t>SIC-0426</t>
  </si>
  <si>
    <t>La Reina 012</t>
  </si>
  <si>
    <t>S/E LA REINA</t>
  </si>
  <si>
    <t>La Reina 110</t>
  </si>
  <si>
    <t>LA_RUCA</t>
  </si>
  <si>
    <t>La Ruca 110</t>
  </si>
  <si>
    <t>SING-0214</t>
  </si>
  <si>
    <t>Laberinto 220</t>
  </si>
  <si>
    <t>S/E LABERINTO</t>
  </si>
  <si>
    <t>LACRUZ</t>
  </si>
  <si>
    <t>SING-0209</t>
  </si>
  <si>
    <t>La Cruz 220</t>
  </si>
  <si>
    <t>S/E TAP OFF LA CRUZ</t>
  </si>
  <si>
    <t>SING-0220</t>
  </si>
  <si>
    <t>Lagunas 023</t>
  </si>
  <si>
    <t>S/E LAGUNAS</t>
  </si>
  <si>
    <t>SING-0221</t>
  </si>
  <si>
    <t>Lagunas 220</t>
  </si>
  <si>
    <t>Lagunillas 154</t>
  </si>
  <si>
    <t>Lagunillas 220</t>
  </si>
  <si>
    <t>S/E LAGUNILLAS</t>
  </si>
  <si>
    <t>LAHUAYCA2</t>
  </si>
  <si>
    <t>La Huayca II 066</t>
  </si>
  <si>
    <t>SIC-0442</t>
  </si>
  <si>
    <t>Laja 13.8</t>
  </si>
  <si>
    <t>S/E LAJA</t>
  </si>
  <si>
    <t>SIC-0443</t>
  </si>
  <si>
    <t>Laja CMPC 220</t>
  </si>
  <si>
    <t>LALACKAMA</t>
  </si>
  <si>
    <t>S/E CENTRAL LALACKAMA</t>
  </si>
  <si>
    <t>SIC-0418</t>
  </si>
  <si>
    <t>La Manga 13.2</t>
  </si>
  <si>
    <t>S/E LA MANGA</t>
  </si>
  <si>
    <t>La Manga 066</t>
  </si>
  <si>
    <t>LAMISION</t>
  </si>
  <si>
    <t>La Mision 023</t>
  </si>
  <si>
    <t>S/E LA MISION</t>
  </si>
  <si>
    <t>La Misión 066</t>
  </si>
  <si>
    <t>SIC-0446</t>
  </si>
  <si>
    <t>Lampa 220</t>
  </si>
  <si>
    <t>S/E LAMPA</t>
  </si>
  <si>
    <t>SIC-0421</t>
  </si>
  <si>
    <t>La Palma 13.2</t>
  </si>
  <si>
    <t>S/E LA PALMA</t>
  </si>
  <si>
    <t>La Palma 066</t>
  </si>
  <si>
    <t>LAPORTADA</t>
  </si>
  <si>
    <t>SING-0212</t>
  </si>
  <si>
    <t>La Portada 023</t>
  </si>
  <si>
    <t>S/E LA PORTADA</t>
  </si>
  <si>
    <t>La Portada 110</t>
  </si>
  <si>
    <t>SIC-0428</t>
  </si>
  <si>
    <t>La Ronda 015</t>
  </si>
  <si>
    <t>S/E LA RONDA</t>
  </si>
  <si>
    <t>La Ronda 066</t>
  </si>
  <si>
    <t>Larqui 023</t>
  </si>
  <si>
    <t>S/E LARQUI</t>
  </si>
  <si>
    <t>Larqui 066</t>
  </si>
  <si>
    <t>LAS_ACACIAS</t>
  </si>
  <si>
    <t>SIC-0449</t>
  </si>
  <si>
    <t>Las Acacias 023</t>
  </si>
  <si>
    <t>S/E LAS ACACIAS</t>
  </si>
  <si>
    <t>Las Acacias 110</t>
  </si>
  <si>
    <t>S/E CENTRAL LAS PIEDRAS</t>
  </si>
  <si>
    <t>LAS_VIOLETAS</t>
  </si>
  <si>
    <t>Las Violetas 023</t>
  </si>
  <si>
    <t>S/E LAS VIOLETAS</t>
  </si>
  <si>
    <t>Las Violetas 066</t>
  </si>
  <si>
    <t>LASANA</t>
  </si>
  <si>
    <t>Lasana 220</t>
  </si>
  <si>
    <t>SIC-0452</t>
  </si>
  <si>
    <t>Las Arañas 1 13.2</t>
  </si>
  <si>
    <t>S/E LAS ARAnAS</t>
  </si>
  <si>
    <t>Las Arañas 066</t>
  </si>
  <si>
    <t>Las Arañas 110</t>
  </si>
  <si>
    <t>SIC-0459</t>
  </si>
  <si>
    <t>Las Encinas 015</t>
  </si>
  <si>
    <t>S/E LAS ENCINAS</t>
  </si>
  <si>
    <t>LASJUNTAS</t>
  </si>
  <si>
    <t>LASTARRIA</t>
  </si>
  <si>
    <t>Lastarria 066</t>
  </si>
  <si>
    <t>Lastarria 220</t>
  </si>
  <si>
    <t>LATORRE</t>
  </si>
  <si>
    <t>SIC-0473</t>
  </si>
  <si>
    <t>Latorre B1 015</t>
  </si>
  <si>
    <t>S/E LATORRE</t>
  </si>
  <si>
    <t>Latorre B1 066</t>
  </si>
  <si>
    <t>SIC-0478</t>
  </si>
  <si>
    <t>Lautaro 13.2</t>
  </si>
  <si>
    <t>S/E LAUTARO</t>
  </si>
  <si>
    <t>SIC-0476</t>
  </si>
  <si>
    <t>Lautaro 023</t>
  </si>
  <si>
    <t>SIC-0477</t>
  </si>
  <si>
    <t>Lautaro 066</t>
  </si>
  <si>
    <t>SIC-0434</t>
  </si>
  <si>
    <t>La Vega 023</t>
  </si>
  <si>
    <t>S/E LA VEGA</t>
  </si>
  <si>
    <t>La Vega 066</t>
  </si>
  <si>
    <t>SIC-0480</t>
  </si>
  <si>
    <t>Lebu 13.2</t>
  </si>
  <si>
    <t>S/E LEBU</t>
  </si>
  <si>
    <t>Lebu 066</t>
  </si>
  <si>
    <t>LEBU2</t>
  </si>
  <si>
    <t>Lebu 13.2 II</t>
  </si>
  <si>
    <t>SIC-0482</t>
  </si>
  <si>
    <t>Leyda 13.2</t>
  </si>
  <si>
    <t>S/E LEYDA</t>
  </si>
  <si>
    <t>Leyda 110</t>
  </si>
  <si>
    <t>LICAN</t>
  </si>
  <si>
    <t>SIC-0483</t>
  </si>
  <si>
    <t>Licanco 024</t>
  </si>
  <si>
    <t>S/E LICANCO</t>
  </si>
  <si>
    <t>Licanco 066</t>
  </si>
  <si>
    <t>SIC-0488</t>
  </si>
  <si>
    <t>Licanten 13.2</t>
  </si>
  <si>
    <t>S/E LICANTEN</t>
  </si>
  <si>
    <t>SIC-0486</t>
  </si>
  <si>
    <t>Licanten 066</t>
  </si>
  <si>
    <t>SIC-0490</t>
  </si>
  <si>
    <t>Lihueimo 13.2</t>
  </si>
  <si>
    <t>S/E LIHUEIMO</t>
  </si>
  <si>
    <t>Lihueimo 066</t>
  </si>
  <si>
    <t>SIC-0493</t>
  </si>
  <si>
    <t>Linares Norte 13.8</t>
  </si>
  <si>
    <t>S/E LINARES NORTE</t>
  </si>
  <si>
    <t>Linares Norte 066</t>
  </si>
  <si>
    <t>LINARES</t>
  </si>
  <si>
    <t>Linares 066</t>
  </si>
  <si>
    <t>Linares 154</t>
  </si>
  <si>
    <t>LIQCAU</t>
  </si>
  <si>
    <t>LIRQUEN</t>
  </si>
  <si>
    <t>SIC-0495</t>
  </si>
  <si>
    <t>Lirquen 015</t>
  </si>
  <si>
    <t>S/E LIRQUEN</t>
  </si>
  <si>
    <t>Lirquen 066</t>
  </si>
  <si>
    <t>LITORAL_CTL</t>
  </si>
  <si>
    <t>S/E LITORAL CENTRAL</t>
  </si>
  <si>
    <t>LLAIMA</t>
  </si>
  <si>
    <t>llaima 023</t>
  </si>
  <si>
    <t>S/E LLAIMA</t>
  </si>
  <si>
    <t>LLANOLLAMPOS</t>
  </si>
  <si>
    <t>Llano de Lampos 220</t>
  </si>
  <si>
    <t>LLANOS</t>
  </si>
  <si>
    <t>Llanos 066</t>
  </si>
  <si>
    <t>Llanos 220</t>
  </si>
  <si>
    <t>LLANQUIHUE</t>
  </si>
  <si>
    <t>Llanquihue 066</t>
  </si>
  <si>
    <t>Llanquihue 220</t>
  </si>
  <si>
    <t>LLANTA</t>
  </si>
  <si>
    <t>Llanta 110</t>
  </si>
  <si>
    <t>LLAYLLAY</t>
  </si>
  <si>
    <t>SIC-0499</t>
  </si>
  <si>
    <t>Llay Llay 110</t>
  </si>
  <si>
    <t>S/E CRISTALERIAS</t>
  </si>
  <si>
    <t>LLOLLELHUE</t>
  </si>
  <si>
    <t>Llollelhue 066</t>
  </si>
  <si>
    <t>SIC-0500</t>
  </si>
  <si>
    <t>Lo Aguirre 012</t>
  </si>
  <si>
    <t>S/E LO AGUIRRE</t>
  </si>
  <si>
    <t>Lo Aguirre 110</t>
  </si>
  <si>
    <t>Lo Aguirre 220</t>
  </si>
  <si>
    <t>Lo Aguirre 500</t>
  </si>
  <si>
    <t>SIC-0502</t>
  </si>
  <si>
    <t>Lo Boza 012</t>
  </si>
  <si>
    <t>S/E LO BOZA</t>
  </si>
  <si>
    <t>SIC-0503</t>
  </si>
  <si>
    <t>Lo Boza 023</t>
  </si>
  <si>
    <t>Lo Boza 110</t>
  </si>
  <si>
    <t>LO_ESPEJO</t>
  </si>
  <si>
    <t>S/E LO ESPEJO (FFCC)</t>
  </si>
  <si>
    <t>LO_PRADO</t>
  </si>
  <si>
    <t>SIC-0509</t>
  </si>
  <si>
    <t>Lo Prado 012</t>
  </si>
  <si>
    <t>S/E LO PRADO</t>
  </si>
  <si>
    <t>Lo Prado 044</t>
  </si>
  <si>
    <t>Lo Prado 110</t>
  </si>
  <si>
    <t>SIC-0512</t>
  </si>
  <si>
    <t>Lo Valledor 012</t>
  </si>
  <si>
    <t>S/E LO VALLEDOR</t>
  </si>
  <si>
    <t>LOA</t>
  </si>
  <si>
    <t>SING-0152</t>
  </si>
  <si>
    <t>El Loa 220</t>
  </si>
  <si>
    <t>TAP OFF EL LOA</t>
  </si>
  <si>
    <t>LOMA_ALTA</t>
  </si>
  <si>
    <t>Loma Alta 220</t>
  </si>
  <si>
    <t>SIC-0507</t>
  </si>
  <si>
    <t>Lo Miranda 015</t>
  </si>
  <si>
    <t>S/E LO MIRANDA</t>
  </si>
  <si>
    <t>Lo Miranda I 066</t>
  </si>
  <si>
    <t>SIC-0519</t>
  </si>
  <si>
    <t>Loncoche 13.2</t>
  </si>
  <si>
    <t>S/E LONCOCHE</t>
  </si>
  <si>
    <t>Loncoche 066</t>
  </si>
  <si>
    <t>LONCOCHE2</t>
  </si>
  <si>
    <t>SIC-0521</t>
  </si>
  <si>
    <t>Longavi 13.2</t>
  </si>
  <si>
    <t>S/E LONGAVI</t>
  </si>
  <si>
    <t>SIC-0520</t>
  </si>
  <si>
    <t>Longavi 066</t>
  </si>
  <si>
    <t>LORD_COCHRANE</t>
  </si>
  <si>
    <t>SIC-0522</t>
  </si>
  <si>
    <t>Lord Cochrane 012</t>
  </si>
  <si>
    <t>S/E LORD COCHRANE</t>
  </si>
  <si>
    <t>SIC-0524</t>
  </si>
  <si>
    <t>Loreto 015</t>
  </si>
  <si>
    <t>S/E LORETO</t>
  </si>
  <si>
    <t>Loreto 066</t>
  </si>
  <si>
    <t>LOS_ANDES</t>
  </si>
  <si>
    <t>FFCC Los Andes 044</t>
  </si>
  <si>
    <t>SIC-0537</t>
  </si>
  <si>
    <t>Los Dominicos 012</t>
  </si>
  <si>
    <t>S/E LOS DOMINICOS</t>
  </si>
  <si>
    <t>Los Dominicos 110</t>
  </si>
  <si>
    <t>S/E CENTRAL LOS HIERROS</t>
  </si>
  <si>
    <t>Empresa Eléctricas Aguas del Melado SpA</t>
  </si>
  <si>
    <t>LOS_HIERROS</t>
  </si>
  <si>
    <t>Los Maquis 13.2</t>
  </si>
  <si>
    <t>S/E LOS MAQUIS (CGE)</t>
  </si>
  <si>
    <t>LOS_NOTROS</t>
  </si>
  <si>
    <t>LOS_PEUMOS</t>
  </si>
  <si>
    <t>Los Peumos 066</t>
  </si>
  <si>
    <t>Los Peumos 220</t>
  </si>
  <si>
    <t>LOS_POETAS</t>
  </si>
  <si>
    <t>Los Poetas 066</t>
  </si>
  <si>
    <t>SIC-10012</t>
  </si>
  <si>
    <t>S/E LOS POETAS</t>
  </si>
  <si>
    <t>Compañía Transmisora del Norte Grande S.A.</t>
  </si>
  <si>
    <t>SIC-0558</t>
  </si>
  <si>
    <t>Los Sauces 023</t>
  </si>
  <si>
    <t>S/E LOS SAUCES</t>
  </si>
  <si>
    <t>Los Sauces 066</t>
  </si>
  <si>
    <t>Los Tambores 066</t>
  </si>
  <si>
    <t>LOS_VARONES</t>
  </si>
  <si>
    <t>Los Varones 220</t>
  </si>
  <si>
    <t>LOTA</t>
  </si>
  <si>
    <t>SIC-0563</t>
  </si>
  <si>
    <t>Lota 13.8</t>
  </si>
  <si>
    <t>S/E LOTA</t>
  </si>
  <si>
    <t>Lota 066</t>
  </si>
  <si>
    <t>LUCERO</t>
  </si>
  <si>
    <t>Lucero 066</t>
  </si>
  <si>
    <t>SING-0232</t>
  </si>
  <si>
    <t>Mantos Blancos 023</t>
  </si>
  <si>
    <t>S/E MANTOS BLANCOS</t>
  </si>
  <si>
    <t>SING-0234</t>
  </si>
  <si>
    <t>Mantos Blancos 220</t>
  </si>
  <si>
    <t>SIC-0594</t>
  </si>
  <si>
    <t>Manso de Velasco 015</t>
  </si>
  <si>
    <t>S/E MANSO DE VELASCO</t>
  </si>
  <si>
    <t>Manso de Velasco 066</t>
  </si>
  <si>
    <t>M.DOLORES</t>
  </si>
  <si>
    <t>Maria Dolores 220</t>
  </si>
  <si>
    <t>M.ELENA</t>
  </si>
  <si>
    <t>Maria Elena 220</t>
  </si>
  <si>
    <t>M.MELADO</t>
  </si>
  <si>
    <t>SIC-0872</t>
  </si>
  <si>
    <t>R. Melado 154</t>
  </si>
  <si>
    <t>SIC-0651</t>
  </si>
  <si>
    <t>Monte Patria 13.2</t>
  </si>
  <si>
    <t>S/E MONTE PATRIA</t>
  </si>
  <si>
    <t>Monte Patria 066</t>
  </si>
  <si>
    <t>M.V.CEN.</t>
  </si>
  <si>
    <t>SIC-0637</t>
  </si>
  <si>
    <t>Minera Valle Central 154</t>
  </si>
  <si>
    <t>S/E MINERA VALLE CENTRAL</t>
  </si>
  <si>
    <t>SIC-0564</t>
  </si>
  <si>
    <t>Machali 015</t>
  </si>
  <si>
    <t>S/E MACHALI</t>
  </si>
  <si>
    <t>Machali 066</t>
  </si>
  <si>
    <t>MACUL</t>
  </si>
  <si>
    <t>SIC-0567</t>
  </si>
  <si>
    <t>Macul 012</t>
  </si>
  <si>
    <t>S/E MACUL</t>
  </si>
  <si>
    <t>Macul 020</t>
  </si>
  <si>
    <t>Macul 110</t>
  </si>
  <si>
    <t>MAESTRANZA</t>
  </si>
  <si>
    <t>SIC-0569</t>
  </si>
  <si>
    <t>Maestranza 013</t>
  </si>
  <si>
    <t>TAP OFF MAESTRANZA</t>
  </si>
  <si>
    <t>MAHNS</t>
  </si>
  <si>
    <t>SIC-0571</t>
  </si>
  <si>
    <t>Mahns 015</t>
  </si>
  <si>
    <t>S/E MAHNS</t>
  </si>
  <si>
    <t>Mahns 066</t>
  </si>
  <si>
    <t>Maipo 110</t>
  </si>
  <si>
    <t>Maipo 220</t>
  </si>
  <si>
    <t>SIC-0576</t>
  </si>
  <si>
    <t>Maipu 012</t>
  </si>
  <si>
    <t>S/E MAIPU</t>
  </si>
  <si>
    <t>Maitencillo 110</t>
  </si>
  <si>
    <t>SIC-0579</t>
  </si>
  <si>
    <t>Maitencillo 220</t>
  </si>
  <si>
    <t>S/E MAITENCILLO</t>
  </si>
  <si>
    <t>MAITENES</t>
  </si>
  <si>
    <t>MALGARIDA</t>
  </si>
  <si>
    <t>SIC-0585</t>
  </si>
  <si>
    <t>Malloa 015</t>
  </si>
  <si>
    <t>S/E MALLOA</t>
  </si>
  <si>
    <t>Malloa 066</t>
  </si>
  <si>
    <t>SIC-0588</t>
  </si>
  <si>
    <t>Malloco 012</t>
  </si>
  <si>
    <t>S/E MALLOCO</t>
  </si>
  <si>
    <t>Malloco 110</t>
  </si>
  <si>
    <t>SIC-0591</t>
  </si>
  <si>
    <t>Mampil 220</t>
  </si>
  <si>
    <t>S/E CENTRAL MAMPIL</t>
  </si>
  <si>
    <t>SIC-0593</t>
  </si>
  <si>
    <t>Mandinga 13.2</t>
  </si>
  <si>
    <t>S/E MANDINGA</t>
  </si>
  <si>
    <t>Mandinga 066</t>
  </si>
  <si>
    <t>MANTILHUE</t>
  </si>
  <si>
    <t>Mantilhue 110</t>
  </si>
  <si>
    <t>MAPAL</t>
  </si>
  <si>
    <t>SIC-0600</t>
  </si>
  <si>
    <t>Mapal 154</t>
  </si>
  <si>
    <t>MARBELLA</t>
  </si>
  <si>
    <t>SIC-0602</t>
  </si>
  <si>
    <t>Marbella 13.2</t>
  </si>
  <si>
    <t>S/E MARBELLA</t>
  </si>
  <si>
    <t>Marbella 110</t>
  </si>
  <si>
    <t>SIC-0605</t>
  </si>
  <si>
    <t>Marchigue 13.2</t>
  </si>
  <si>
    <t>S/E MARCHIGÜE</t>
  </si>
  <si>
    <t>Marchigue 066</t>
  </si>
  <si>
    <t>MARGA_MARGA</t>
  </si>
  <si>
    <t>SIC-0607</t>
  </si>
  <si>
    <t>Marga Marga 13.2</t>
  </si>
  <si>
    <t>S/E MARGA MARGA</t>
  </si>
  <si>
    <t>Marga Marga 110</t>
  </si>
  <si>
    <t>MARIQUINA</t>
  </si>
  <si>
    <t>SIC-0609</t>
  </si>
  <si>
    <t>Mariquina 023</t>
  </si>
  <si>
    <t>S/E MARIQUINA</t>
  </si>
  <si>
    <t>Mariquina 220</t>
  </si>
  <si>
    <t>MARISCAL</t>
  </si>
  <si>
    <t>SIC-0611</t>
  </si>
  <si>
    <t>Mariscal 023</t>
  </si>
  <si>
    <t>S/E MARISCAL</t>
  </si>
  <si>
    <t>Mariscal 110</t>
  </si>
  <si>
    <t>SIC-0612</t>
  </si>
  <si>
    <t>Marquesa 023</t>
  </si>
  <si>
    <t>S/E MARQUESA</t>
  </si>
  <si>
    <t>Marquesa 066</t>
  </si>
  <si>
    <t>MASISA</t>
  </si>
  <si>
    <t>Masisa 066</t>
  </si>
  <si>
    <t>Aihuapi 066</t>
  </si>
  <si>
    <t>Aihuapi 110</t>
  </si>
  <si>
    <t>AJAHUEL</t>
  </si>
  <si>
    <t>SIC-0014</t>
  </si>
  <si>
    <t>Alameda 015</t>
  </si>
  <si>
    <t>S/E ALAMEDA</t>
  </si>
  <si>
    <t>Alameda 066</t>
  </si>
  <si>
    <t>SIC-0016</t>
  </si>
  <si>
    <t>Alcones 023</t>
  </si>
  <si>
    <t>S/E ALCONES</t>
  </si>
  <si>
    <t>Alcones 066</t>
  </si>
  <si>
    <t>ALFALFAL</t>
  </si>
  <si>
    <t>Alfalfal 110</t>
  </si>
  <si>
    <t>Alfalfal 220</t>
  </si>
  <si>
    <t>ALGARR.NORTE</t>
  </si>
  <si>
    <t>SIC-1013</t>
  </si>
  <si>
    <t>Tap Algarrobo Norte 012</t>
  </si>
  <si>
    <t>S/E ALGARROBO NORTE</t>
  </si>
  <si>
    <t>Tap Algarrobo Norte 066</t>
  </si>
  <si>
    <t>ALGARROBAL</t>
  </si>
  <si>
    <t>Algarrobal 220</t>
  </si>
  <si>
    <t>ALGARROBO</t>
  </si>
  <si>
    <t>SIC-0019</t>
  </si>
  <si>
    <t>Algarrobo 110</t>
  </si>
  <si>
    <t>S/E ALGARROBO</t>
  </si>
  <si>
    <t>SIC-0020</t>
  </si>
  <si>
    <t>Alhue 023</t>
  </si>
  <si>
    <t>S/E ALHUE</t>
  </si>
  <si>
    <t>Alhue 066</t>
  </si>
  <si>
    <t>ALMEYDA</t>
  </si>
  <si>
    <t>ALTAMIRANO</t>
  </si>
  <si>
    <t>SIC-0026</t>
  </si>
  <si>
    <t>Altamirano 012</t>
  </si>
  <si>
    <t>S/E ALTAMIRANO</t>
  </si>
  <si>
    <t>Altamirano 110</t>
  </si>
  <si>
    <t>ALTO_BONITO</t>
  </si>
  <si>
    <t>SIC-0028</t>
  </si>
  <si>
    <t>Alto Bonito 023</t>
  </si>
  <si>
    <t>S/E ALTO BONITO</t>
  </si>
  <si>
    <t>Alto Bonito 110</t>
  </si>
  <si>
    <t>ALTO_MAIPO</t>
  </si>
  <si>
    <t>Alto Maipo 110</t>
  </si>
  <si>
    <t>ALTODCARMEN</t>
  </si>
  <si>
    <t>SIC-0030</t>
  </si>
  <si>
    <t>Alto del Carmen 13.8</t>
  </si>
  <si>
    <t>S/E ALTO DEL CARMEN</t>
  </si>
  <si>
    <t>Alto del Carmen 110</t>
  </si>
  <si>
    <t>ALTONORTE</t>
  </si>
  <si>
    <t>SING-0015</t>
  </si>
  <si>
    <t>Alto Norte 110</t>
  </si>
  <si>
    <t>S/E ALTO NORTE</t>
  </si>
  <si>
    <t>AMARGA</t>
  </si>
  <si>
    <t>ANA_MARIA</t>
  </si>
  <si>
    <t>SIC-0039</t>
  </si>
  <si>
    <t>Ancoa 13.8</t>
  </si>
  <si>
    <t>SIC-0619</t>
  </si>
  <si>
    <t>Maule 015</t>
  </si>
  <si>
    <t>S/E MAULE</t>
  </si>
  <si>
    <t>Maule 066</t>
  </si>
  <si>
    <t>Maule 154</t>
  </si>
  <si>
    <t>Maule 220</t>
  </si>
  <si>
    <t>SIC-1217</t>
  </si>
  <si>
    <t>Mayaca 012</t>
  </si>
  <si>
    <t>S/E MAYACA</t>
  </si>
  <si>
    <t>Mayaca 110</t>
  </si>
  <si>
    <t>SING-40286</t>
  </si>
  <si>
    <t>Mejillones 13.8</t>
  </si>
  <si>
    <t>S/E MEJILLONES</t>
  </si>
  <si>
    <t>SING-0238</t>
  </si>
  <si>
    <t>Mejillones 023</t>
  </si>
  <si>
    <t>SING-0239</t>
  </si>
  <si>
    <t>Mejillones 110</t>
  </si>
  <si>
    <t>Mejillones 220</t>
  </si>
  <si>
    <t>MELIPEUCO</t>
  </si>
  <si>
    <t>Melipeuco 110</t>
  </si>
  <si>
    <t>SIC-0623</t>
  </si>
  <si>
    <t>Melipilla 13.2</t>
  </si>
  <si>
    <t>S/E BAJO MELIPILLA</t>
  </si>
  <si>
    <t>Melipilla 066</t>
  </si>
  <si>
    <t>Melipilla 110</t>
  </si>
  <si>
    <t>SIC-0624</t>
  </si>
  <si>
    <t>Melipulli 023</t>
  </si>
  <si>
    <t>S/E MELIPULLI</t>
  </si>
  <si>
    <t>Melipulli 066</t>
  </si>
  <si>
    <t>Melipulli 110</t>
  </si>
  <si>
    <t>Melipulli 220</t>
  </si>
  <si>
    <t>METRENCO</t>
  </si>
  <si>
    <t>SIC-1084</t>
  </si>
  <si>
    <t>Metrenco 066</t>
  </si>
  <si>
    <t>S/E METRENCO (FFCC)</t>
  </si>
  <si>
    <t>METRO</t>
  </si>
  <si>
    <t>SIC-0628</t>
  </si>
  <si>
    <t>Metro 110</t>
  </si>
  <si>
    <t>S/E METRO</t>
  </si>
  <si>
    <t>SIC-0638</t>
  </si>
  <si>
    <t>Mineros 110</t>
  </si>
  <si>
    <t>S/E MINERO</t>
  </si>
  <si>
    <t>Mineros 220</t>
  </si>
  <si>
    <t>MININCO</t>
  </si>
  <si>
    <t>SIC-1218</t>
  </si>
  <si>
    <t>Mininco 220</t>
  </si>
  <si>
    <t>SIC-0642</t>
  </si>
  <si>
    <t>Miraflores 13.2</t>
  </si>
  <si>
    <t>S/E MIRAFLORES</t>
  </si>
  <si>
    <t>Miraflores 110</t>
  </si>
  <si>
    <t>MIRAFLORES2</t>
  </si>
  <si>
    <t>Miraflores 012</t>
  </si>
  <si>
    <t>Ancoa 500</t>
  </si>
  <si>
    <t>ANCUD</t>
  </si>
  <si>
    <t>SIC-0043</t>
  </si>
  <si>
    <t>Ancud 023</t>
  </si>
  <si>
    <t>S/E ANCUD</t>
  </si>
  <si>
    <t>Ancud 110</t>
  </si>
  <si>
    <t>SIC-0047</t>
  </si>
  <si>
    <t>Andacollo 13.2</t>
  </si>
  <si>
    <t>S/E ANDACOLLO</t>
  </si>
  <si>
    <t>Andacollo 066</t>
  </si>
  <si>
    <t>SIC-0048</t>
  </si>
  <si>
    <t>Andalien 015</t>
  </si>
  <si>
    <t>S/E ANDALIEN</t>
  </si>
  <si>
    <t>Andalien 066</t>
  </si>
  <si>
    <t>ANDES</t>
  </si>
  <si>
    <t>SIC-0050</t>
  </si>
  <si>
    <t>Andes 012</t>
  </si>
  <si>
    <t>S/E ANDES (ENEL TRANSMISION)</t>
  </si>
  <si>
    <t>Andes 110</t>
  </si>
  <si>
    <t>Andes 220</t>
  </si>
  <si>
    <t>SING-0020</t>
  </si>
  <si>
    <t>Andes 345</t>
  </si>
  <si>
    <t>S/E ANDES (AES ANDES)</t>
  </si>
  <si>
    <t>ANGAMOS</t>
  </si>
  <si>
    <t>SING-0022</t>
  </si>
  <si>
    <t>Angamos 220</t>
  </si>
  <si>
    <t>S/E ANGAMOS</t>
  </si>
  <si>
    <t>ANGOL</t>
  </si>
  <si>
    <t>SIC-0054</t>
  </si>
  <si>
    <t>Angol 13.2</t>
  </si>
  <si>
    <t>S/E ANGOL</t>
  </si>
  <si>
    <t>SIC-0052</t>
  </si>
  <si>
    <t>Angol 023</t>
  </si>
  <si>
    <t>Angol 066</t>
  </si>
  <si>
    <t>ANGOSTURA</t>
  </si>
  <si>
    <t>S/E CENTRAL ANGOSTURA</t>
  </si>
  <si>
    <t>SIC-1189</t>
  </si>
  <si>
    <t>Angostura 220</t>
  </si>
  <si>
    <t>ANTILLANCA</t>
  </si>
  <si>
    <t>Antillanca 110</t>
  </si>
  <si>
    <t>Antillanca 220</t>
  </si>
  <si>
    <t>ANTOFAGASTA</t>
  </si>
  <si>
    <t>SING-0025</t>
  </si>
  <si>
    <t>Antofagasta 13.8</t>
  </si>
  <si>
    <t>S/E ANTOFAGASTA</t>
  </si>
  <si>
    <t>Antofagasta 110</t>
  </si>
  <si>
    <t>ANTUCO</t>
  </si>
  <si>
    <t>Antuco 220</t>
  </si>
  <si>
    <t>ANTUCOYA</t>
  </si>
  <si>
    <t>Antucoya 220</t>
  </si>
  <si>
    <t>S/E ANTUCOYA</t>
  </si>
  <si>
    <t>APOQUINDO</t>
  </si>
  <si>
    <t>SIC-0057</t>
  </si>
  <si>
    <t>Apoquindo 012</t>
  </si>
  <si>
    <t>S/E APOQUINDO</t>
  </si>
  <si>
    <t>Apoquindo 110</t>
  </si>
  <si>
    <t>ARICA</t>
  </si>
  <si>
    <t>SING-0030</t>
  </si>
  <si>
    <t>Arica 13.8</t>
  </si>
  <si>
    <t>SING-0027</t>
  </si>
  <si>
    <t>Arica 066</t>
  </si>
  <si>
    <t>S/E ARICA</t>
  </si>
  <si>
    <t>SING-0028</t>
  </si>
  <si>
    <t>Arica 110</t>
  </si>
  <si>
    <t>ARMERILLO</t>
  </si>
  <si>
    <t>Armerillo 220</t>
  </si>
  <si>
    <t>ARR.PETROQ.</t>
  </si>
  <si>
    <t>Tap Petroquimicas 154</t>
  </si>
  <si>
    <t>ARRIERO</t>
  </si>
  <si>
    <t>El Arriero 220</t>
  </si>
  <si>
    <t>SING-0052</t>
  </si>
  <si>
    <t>Central Atacama 015</t>
  </si>
  <si>
    <t>S/E ATACAMA</t>
  </si>
  <si>
    <t>SING-0038</t>
  </si>
  <si>
    <t>Atacama 220</t>
  </si>
  <si>
    <t>AURORA</t>
  </si>
  <si>
    <t>B.BLANCO</t>
  </si>
  <si>
    <t>SIC-0065</t>
  </si>
  <si>
    <t>Barro Blanco 023</t>
  </si>
  <si>
    <t>S/E BARRO BLANCO</t>
  </si>
  <si>
    <t>Barro Blanco 066</t>
  </si>
  <si>
    <t>BALANDRAS</t>
  </si>
  <si>
    <t>SIC-0064</t>
  </si>
  <si>
    <t>Balandras 12.5</t>
  </si>
  <si>
    <t>S/E LAS BALANDRAS</t>
  </si>
  <si>
    <t>Balandras 066</t>
  </si>
  <si>
    <t>SIC-0068</t>
  </si>
  <si>
    <t>Batuco 023</t>
  </si>
  <si>
    <t>S/E BATUCO</t>
  </si>
  <si>
    <t>Batuco 110</t>
  </si>
  <si>
    <t>BELLAVISTA</t>
  </si>
  <si>
    <t>BICENTENARIO</t>
  </si>
  <si>
    <t>SIC-0070</t>
  </si>
  <si>
    <t>Bicentenario 012</t>
  </si>
  <si>
    <t>S/E BICENTENARIO</t>
  </si>
  <si>
    <t>Bicentenario 110</t>
  </si>
  <si>
    <t>BJOSDMNA</t>
  </si>
  <si>
    <t>Bajos de Mena 012</t>
  </si>
  <si>
    <t>S/E BAJOS DE MENA</t>
  </si>
  <si>
    <t>Bajos de Mena 110</t>
  </si>
  <si>
    <t>BOCAMINA</t>
  </si>
  <si>
    <t>Bocamina 066</t>
  </si>
  <si>
    <t>Bocamina 154</t>
  </si>
  <si>
    <t>BOCAMINA_II</t>
  </si>
  <si>
    <t>Bocamina II 220</t>
  </si>
  <si>
    <t>SIC-0076</t>
  </si>
  <si>
    <t>Bollenar 13.2</t>
  </si>
  <si>
    <t>S/E BOLLENAR</t>
  </si>
  <si>
    <t>Bollenar 110</t>
  </si>
  <si>
    <t>BOMBEO2</t>
  </si>
  <si>
    <t>SE Bombeo 2 4.16</t>
  </si>
  <si>
    <t>S/E TAP OFF ESTACION DE BOMBEO N°2</t>
  </si>
  <si>
    <t>SE Bombeo 2 220</t>
  </si>
  <si>
    <t>SE BOMBEO 3 220</t>
  </si>
  <si>
    <t>BOMBEO4</t>
  </si>
  <si>
    <t>SE Bombeo 4 4.16</t>
  </si>
  <si>
    <t>S/E TAP OFF ESTACION DE BOMBEO N°4</t>
  </si>
  <si>
    <t>SE Bombeo 4 220</t>
  </si>
  <si>
    <t>BOSQUEMAR</t>
  </si>
  <si>
    <t>SIC-0077</t>
  </si>
  <si>
    <t>Bosquemar 012</t>
  </si>
  <si>
    <t>S/E BOSQUEMAR</t>
  </si>
  <si>
    <t>Bosquemar 110</t>
  </si>
  <si>
    <t>BRASIL</t>
  </si>
  <si>
    <t>SIC-0078</t>
  </si>
  <si>
    <t>Brasil 012</t>
  </si>
  <si>
    <t>S/E BRASIL</t>
  </si>
  <si>
    <t>Brasil 110</t>
  </si>
  <si>
    <t>BUCALEMU</t>
  </si>
  <si>
    <t>SIC-0080</t>
  </si>
  <si>
    <t>Bucalemu 066</t>
  </si>
  <si>
    <t>S/E BUCALEMU</t>
  </si>
  <si>
    <t>SIC-0084</t>
  </si>
  <si>
    <t>Buin CGE 015</t>
  </si>
  <si>
    <t>S/E BUIN (ENEL TRANSMISION)</t>
  </si>
  <si>
    <t>Buin CGE 066</t>
  </si>
  <si>
    <t>Buin 110</t>
  </si>
  <si>
    <t>Buin 220</t>
  </si>
  <si>
    <t>C.BIOBIO</t>
  </si>
  <si>
    <t>SIC-0090</t>
  </si>
  <si>
    <t>C. Bio Bio 066</t>
  </si>
  <si>
    <t>S/E CEMENTOS BIO BIO</t>
  </si>
  <si>
    <t>C.CALERA1</t>
  </si>
  <si>
    <t>Cerro Calera 066</t>
  </si>
  <si>
    <t>Cerro Calera 110</t>
  </si>
  <si>
    <t>Chena 110</t>
  </si>
  <si>
    <t>Chena 220</t>
  </si>
  <si>
    <t>S/E CENTRAL COMBARBALA</t>
  </si>
  <si>
    <t>SIC-1272</t>
  </si>
  <si>
    <t>Combarbala 110</t>
  </si>
  <si>
    <t>C.CONSTIT1</t>
  </si>
  <si>
    <t>Constitucion 023</t>
  </si>
  <si>
    <t>C.DOMINADOR</t>
  </si>
  <si>
    <t>Cerro Dominador 220</t>
  </si>
  <si>
    <t>C.DRAGON</t>
  </si>
  <si>
    <t>SING-0084</t>
  </si>
  <si>
    <t>Cerro Dragón 13.8</t>
  </si>
  <si>
    <t>S/E CERRO DRAGON</t>
  </si>
  <si>
    <t>SING-0081</t>
  </si>
  <si>
    <t>Cerro Dragon 110</t>
  </si>
  <si>
    <t>C.HUICHAHUE</t>
  </si>
  <si>
    <t>Cerro de Huichahue 220</t>
  </si>
  <si>
    <t>SIC-0156</t>
  </si>
  <si>
    <t>Cerro Navia 110</t>
  </si>
  <si>
    <t>S/E CERRO NAVIA (ENEL TRANSMISION)</t>
  </si>
  <si>
    <t>SIC-0157</t>
  </si>
  <si>
    <t>Cerro Navia 220</t>
  </si>
  <si>
    <t>S/E CERRO NAVIA (TRANSELEC)</t>
  </si>
  <si>
    <t>C.SAN_ANDRES</t>
  </si>
  <si>
    <t>San Andres 220</t>
  </si>
  <si>
    <t>SIC-0092</t>
  </si>
  <si>
    <t>Cabildo 023</t>
  </si>
  <si>
    <t>S/E CABILDO</t>
  </si>
  <si>
    <t>Cabildo 110</t>
  </si>
  <si>
    <t>SIC-0096</t>
  </si>
  <si>
    <t>Cabrero 13.8</t>
  </si>
  <si>
    <t>S/E CABRERO</t>
  </si>
  <si>
    <t>Cabrero 66</t>
  </si>
  <si>
    <t>SIC-0097</t>
  </si>
  <si>
    <t>Cachapoal 015</t>
  </si>
  <si>
    <t>S/E CACHAPOAL</t>
  </si>
  <si>
    <t>Cachapoal 066</t>
  </si>
  <si>
    <t>CACHIYUYAL</t>
  </si>
  <si>
    <t>Cachiyuyal 220</t>
  </si>
  <si>
    <t>CAHUIZA</t>
  </si>
  <si>
    <t>S/E CAHUIZA</t>
  </si>
  <si>
    <t>Compañía Doña Inés de Collahuasi SCM</t>
  </si>
  <si>
    <t>SING-0042</t>
  </si>
  <si>
    <t>Calama 023</t>
  </si>
  <si>
    <t>S/E CALAMA</t>
  </si>
  <si>
    <t>SING-0044</t>
  </si>
  <si>
    <t>Calama 110</t>
  </si>
  <si>
    <t>Calama 220</t>
  </si>
  <si>
    <t>CALBUCO</t>
  </si>
  <si>
    <t>SIC-0100</t>
  </si>
  <si>
    <t>Calbuco 023</t>
  </si>
  <si>
    <t>S/E CALBUCO</t>
  </si>
  <si>
    <t>Calbuco 110</t>
  </si>
  <si>
    <t>SIC-0103</t>
  </si>
  <si>
    <t>Caldera 023</t>
  </si>
  <si>
    <t>S/E CALDERA</t>
  </si>
  <si>
    <t>Caldera 110</t>
  </si>
  <si>
    <t>CALERA.C</t>
  </si>
  <si>
    <t>SIC-0105</t>
  </si>
  <si>
    <t>Calera Centro 066</t>
  </si>
  <si>
    <t>S/E CALERA CENTRO</t>
  </si>
  <si>
    <t>CALEU</t>
  </si>
  <si>
    <t>SIC-0106</t>
  </si>
  <si>
    <t>Caleu 012</t>
  </si>
  <si>
    <t>S/E CALEU</t>
  </si>
  <si>
    <t>Caleu 044</t>
  </si>
  <si>
    <t>CALLAO</t>
  </si>
  <si>
    <t>CAMPO_LINDO</t>
  </si>
  <si>
    <t>CAMPO_LINDO1</t>
  </si>
  <si>
    <t>S/E CAMPO LINDO</t>
  </si>
  <si>
    <t>Parque Eólico Campo Lindo SpA</t>
  </si>
  <si>
    <t>CAMPO_LINDO2</t>
  </si>
  <si>
    <t>CANAL_MELADO</t>
  </si>
  <si>
    <t>Canal Melado 220</t>
  </si>
  <si>
    <t>Candelaria 220</t>
  </si>
  <si>
    <t>Cañete 066</t>
  </si>
  <si>
    <t>CANTERAS</t>
  </si>
  <si>
    <t>IT_ZD</t>
  </si>
  <si>
    <t>CANUTILLAR</t>
  </si>
  <si>
    <t>Canutillar 220</t>
  </si>
  <si>
    <t>CAPRICORNIO</t>
  </si>
  <si>
    <t>Capricornio 110</t>
  </si>
  <si>
    <t>CAPULLO</t>
  </si>
  <si>
    <t>Capullo 066</t>
  </si>
  <si>
    <t>SIC-0116</t>
  </si>
  <si>
    <t>Carampangue 13.2</t>
  </si>
  <si>
    <t>S/E CARAMPANGUE</t>
  </si>
  <si>
    <t>Carampangue 023</t>
  </si>
  <si>
    <t>Carampangue 066 1</t>
  </si>
  <si>
    <t>CARDONAL</t>
  </si>
  <si>
    <t>S/E CARDONAL</t>
  </si>
  <si>
    <t>Statkraft Eolico S.A.</t>
  </si>
  <si>
    <t>SIC-0117</t>
  </si>
  <si>
    <t>Cardones 110</t>
  </si>
  <si>
    <t>SIC-0118</t>
  </si>
  <si>
    <t>Cardones 220</t>
  </si>
  <si>
    <t>S/E CARDONES</t>
  </si>
  <si>
    <t>Carena 044</t>
  </si>
  <si>
    <t>CARRASCAL</t>
  </si>
  <si>
    <t>SIC-0121</t>
  </si>
  <si>
    <t>Carrascal 012</t>
  </si>
  <si>
    <t>S/E CARRASCAL</t>
  </si>
  <si>
    <t>Carrascal 110</t>
  </si>
  <si>
    <t>SIC-0124</t>
  </si>
  <si>
    <t>Casablanca 012</t>
  </si>
  <si>
    <t>S/E CASABLANCA</t>
  </si>
  <si>
    <t>Casablanca 066</t>
  </si>
  <si>
    <t>SIC-0126</t>
  </si>
  <si>
    <t>Casas Viejas 13.2</t>
  </si>
  <si>
    <t>S/E CASAS VIEJAS</t>
  </si>
  <si>
    <t>Casas Viejas 110</t>
  </si>
  <si>
    <t>CASERONES</t>
  </si>
  <si>
    <t>S/E CASERONES</t>
  </si>
  <si>
    <t>Compañía SCM Minera Lumina Copper Chile</t>
  </si>
  <si>
    <t>SIC-0130</t>
  </si>
  <si>
    <t>Castilla 023</t>
  </si>
  <si>
    <t>S/E CASTILLA</t>
  </si>
  <si>
    <t>SIC-0131</t>
  </si>
  <si>
    <t>Castilla 110</t>
  </si>
  <si>
    <t>CASTRO</t>
  </si>
  <si>
    <t>SIC-0133</t>
  </si>
  <si>
    <t>Castro 023</t>
  </si>
  <si>
    <t>S/E CASTRO</t>
  </si>
  <si>
    <t>Castro 110</t>
  </si>
  <si>
    <t>SIC-0135</t>
  </si>
  <si>
    <t>Catemu 012</t>
  </si>
  <si>
    <t>A</t>
  </si>
  <si>
    <t>SING-0006</t>
  </si>
  <si>
    <t>SE A 110</t>
  </si>
  <si>
    <t>S/E A</t>
  </si>
  <si>
    <t>A.BLANCAS</t>
  </si>
  <si>
    <t>SIC-0060</t>
  </si>
  <si>
    <t>Arenas Blancas 015</t>
  </si>
  <si>
    <t>S/E ARENAS BLANCAS</t>
  </si>
  <si>
    <t>Arenas Blancas 066</t>
  </si>
  <si>
    <t>A.CLARAS</t>
  </si>
  <si>
    <t>A.DERIBERA</t>
  </si>
  <si>
    <t>Alonso de Ribera A066</t>
  </si>
  <si>
    <t>Alonso de Ribera 154</t>
  </si>
  <si>
    <t>A.HOSPICIO</t>
  </si>
  <si>
    <t>SING-0014</t>
  </si>
  <si>
    <t>Alto Hospicio 13.8</t>
  </si>
  <si>
    <t>S/E ALTO HOSPICIO</t>
  </si>
  <si>
    <t>SING-0013</t>
  </si>
  <si>
    <t>Alto Hospicio 110</t>
  </si>
  <si>
    <t>SIC-0031</t>
  </si>
  <si>
    <t>Alto Jahuel 066</t>
  </si>
  <si>
    <t>S/E ALTO JAHUEL</t>
  </si>
  <si>
    <t>Alto Jahuel 110</t>
  </si>
  <si>
    <t>Alto Jahuel 154</t>
  </si>
  <si>
    <t>SIC-0034</t>
  </si>
  <si>
    <t>Alto Jahuel 220</t>
  </si>
  <si>
    <t>Alto Melipilla 110</t>
  </si>
  <si>
    <t>Alto Melipilla 220</t>
  </si>
  <si>
    <t>Aguas Negras 066</t>
  </si>
  <si>
    <t>A.SANTA</t>
  </si>
  <si>
    <t>Agua Santa 110</t>
  </si>
  <si>
    <t>Agua Santa 220</t>
  </si>
  <si>
    <t>A_DE_CORDOVA</t>
  </si>
  <si>
    <t>Alonso de Cordova 110</t>
  </si>
  <si>
    <t>ACHUPALLAS</t>
  </si>
  <si>
    <t>Tap Achupallas 110</t>
  </si>
  <si>
    <t>ACONCAGUA</t>
  </si>
  <si>
    <t>SIC-0006</t>
  </si>
  <si>
    <t>Aconcagua 066</t>
  </si>
  <si>
    <t>S/E ACONCAGUA</t>
  </si>
  <si>
    <t>Aconcagua 110</t>
  </si>
  <si>
    <t>ACONCAGUA_1</t>
  </si>
  <si>
    <t>Aconcagua 012</t>
  </si>
  <si>
    <t>ACONCAGUA_2</t>
  </si>
  <si>
    <t>AG.BLANCAS</t>
  </si>
  <si>
    <t>SING-0011</t>
  </si>
  <si>
    <t>Aguas Blancas 13.8</t>
  </si>
  <si>
    <t>S/E AGUAS BLANCAS</t>
  </si>
  <si>
    <t>Aguas Blancas 066</t>
  </si>
  <si>
    <t>SING-0144</t>
  </si>
  <si>
    <t>El Aguila 066</t>
  </si>
  <si>
    <t>SIC-0139</t>
  </si>
  <si>
    <t>Cauquenes 13.2</t>
  </si>
  <si>
    <t>S/E CAUQUENES</t>
  </si>
  <si>
    <t>Cauquenes 066</t>
  </si>
  <si>
    <t>SIC-0140</t>
  </si>
  <si>
    <t>Cautin 220</t>
  </si>
  <si>
    <t>S/E CAUTIN</t>
  </si>
  <si>
    <t>CD.ARICA</t>
  </si>
  <si>
    <t>SING-0035</t>
  </si>
  <si>
    <t>Arica Diesel 13.8</t>
  </si>
  <si>
    <t>S/E CENTRAL DIESEL ARICA</t>
  </si>
  <si>
    <t>Arica Diesel 066</t>
  </si>
  <si>
    <t>CD.TAMAYA</t>
  </si>
  <si>
    <t>Tamaya 110</t>
  </si>
  <si>
    <t>CENTINELA</t>
  </si>
  <si>
    <t>Centinela 220</t>
  </si>
  <si>
    <t>CENTRAL_ELEC</t>
  </si>
  <si>
    <t>CENTRO</t>
  </si>
  <si>
    <t>SING-0071</t>
  </si>
  <si>
    <t>Centro 023</t>
  </si>
  <si>
    <t>S/E CENTRO</t>
  </si>
  <si>
    <t>SING-0072</t>
  </si>
  <si>
    <t>Centro 110</t>
  </si>
  <si>
    <t>SIC-0153</t>
  </si>
  <si>
    <t>Cerrillos 023</t>
  </si>
  <si>
    <t>S/E CERRILLOS</t>
  </si>
  <si>
    <t>Cerrillos 110</t>
  </si>
  <si>
    <t>CERRO_CHEPE1</t>
  </si>
  <si>
    <t>CERRO_CHEPE2</t>
  </si>
  <si>
    <t>CERRONEGRONOR</t>
  </si>
  <si>
    <t>SIC-0159</t>
  </si>
  <si>
    <t>Cerro Negro Norte 220</t>
  </si>
  <si>
    <t>S/E CERRO NEGRO NORTE</t>
  </si>
  <si>
    <t>SIC-0160</t>
  </si>
  <si>
    <t>Chacabuco 012</t>
  </si>
  <si>
    <t>S/E CHACABUCO</t>
  </si>
  <si>
    <t>SIC-0161</t>
  </si>
  <si>
    <t>Chacabuco 023</t>
  </si>
  <si>
    <t>Chacabuco 110</t>
  </si>
  <si>
    <t>SIC-0164</t>
  </si>
  <si>
    <t>Chacahuin 13.2</t>
  </si>
  <si>
    <t>S/E CHACAHUIN</t>
  </si>
  <si>
    <t>Chacahuin 066</t>
  </si>
  <si>
    <t>CHACAYA</t>
  </si>
  <si>
    <t>S/E CHACAYA</t>
  </si>
  <si>
    <t>SING-0091</t>
  </si>
  <si>
    <t>Chacaya 110</t>
  </si>
  <si>
    <t>SING-0092</t>
  </si>
  <si>
    <t>Chacaya 220</t>
  </si>
  <si>
    <t>CHACAYA2</t>
  </si>
  <si>
    <t>1</t>
  </si>
  <si>
    <t>CHAGRES</t>
  </si>
  <si>
    <t>SIC-0167</t>
  </si>
  <si>
    <t>Chagres 110</t>
  </si>
  <si>
    <t>S/E FUNDICION CHAGRES</t>
  </si>
  <si>
    <t>SING-0099</t>
  </si>
  <si>
    <t>Chapiquiña 13.2</t>
  </si>
  <si>
    <t>SING-0098</t>
  </si>
  <si>
    <t>Chapiquiña 066</t>
  </si>
  <si>
    <t>S/E CENTRAL CHAPIQUInA</t>
  </si>
  <si>
    <t>SIC-0171</t>
  </si>
  <si>
    <t>Charrua 13.2</t>
  </si>
  <si>
    <t>S/E CHARRUA</t>
  </si>
  <si>
    <t>SIC-0170</t>
  </si>
  <si>
    <t>Charrua 066</t>
  </si>
  <si>
    <t>SIC-0172</t>
  </si>
  <si>
    <t>Charrua 154</t>
  </si>
  <si>
    <t>SIC-0173</t>
  </si>
  <si>
    <t>Charrua 220</t>
  </si>
  <si>
    <t>Charrua 500</t>
  </si>
  <si>
    <t>CHICUREO</t>
  </si>
  <si>
    <t>SIC-1213</t>
  </si>
  <si>
    <t>Chicureo 023</t>
  </si>
  <si>
    <t>S/E CHICUREO</t>
  </si>
  <si>
    <t>Chicureo 220</t>
  </si>
  <si>
    <t>CHIGUAYANTE</t>
  </si>
  <si>
    <t>SIC-0179</t>
  </si>
  <si>
    <t>Chiguayante 015</t>
  </si>
  <si>
    <t>S/E CHIGUAYANTE</t>
  </si>
  <si>
    <t>SIC-0180</t>
  </si>
  <si>
    <t>Chiguayante 066</t>
  </si>
  <si>
    <t>SIC-0183</t>
  </si>
  <si>
    <t>Chillan 13.2</t>
  </si>
  <si>
    <t>S/E CHILLAN</t>
  </si>
  <si>
    <t>Chillan 066</t>
  </si>
  <si>
    <t>Chillan 154</t>
  </si>
  <si>
    <t>Chiloe 110</t>
  </si>
  <si>
    <t>Chiloe 220</t>
  </si>
  <si>
    <t>SIC-0187</t>
  </si>
  <si>
    <t>Chimbarongo 015</t>
  </si>
  <si>
    <t>S/E CHIMBARONGO</t>
  </si>
  <si>
    <t>Chimbarongo 066</t>
  </si>
  <si>
    <t>CHIMBORAZO</t>
  </si>
  <si>
    <t>Chimborazo 220</t>
  </si>
  <si>
    <t>S/E CHIMBORAZO</t>
  </si>
  <si>
    <t>CHINCHORRO</t>
  </si>
  <si>
    <t>SING-0101</t>
  </si>
  <si>
    <t>Chinchorro 13.8</t>
  </si>
  <si>
    <t>S/E CHINCHORRO</t>
  </si>
  <si>
    <t>SING-0100</t>
  </si>
  <si>
    <t>Chinchorro 066</t>
  </si>
  <si>
    <t>Chirre 023</t>
  </si>
  <si>
    <t>S/E CHIRRE</t>
  </si>
  <si>
    <t>Chirre 110</t>
  </si>
  <si>
    <t>CHIU_CHIU</t>
  </si>
  <si>
    <t>CHIVILCAN</t>
  </si>
  <si>
    <t>SIC-0189</t>
  </si>
  <si>
    <t>Chivilcan 015</t>
  </si>
  <si>
    <t>S/E CHIVILCAN</t>
  </si>
  <si>
    <t>Chivilcan 066</t>
  </si>
  <si>
    <t>CHOAPA</t>
  </si>
  <si>
    <t>Choapa 110</t>
  </si>
  <si>
    <t>Chocalan 066</t>
  </si>
  <si>
    <t>SIC-0196</t>
  </si>
  <si>
    <t>Cholguan 13.2</t>
  </si>
  <si>
    <t>S/E CHOLGUAN (STS)</t>
  </si>
  <si>
    <t>SIC-0195</t>
  </si>
  <si>
    <t>Cholguan 066</t>
  </si>
  <si>
    <t>Cholguan STS 220</t>
  </si>
  <si>
    <t>SIC-0201</t>
  </si>
  <si>
    <t>Chonchi 023</t>
  </si>
  <si>
    <t>S/E CHONCHI</t>
  </si>
  <si>
    <t>Chonchi 110</t>
  </si>
  <si>
    <t>SIC-0203</t>
  </si>
  <si>
    <t>Chumaquito 015</t>
  </si>
  <si>
    <t>S/E CHUMAQUITO</t>
  </si>
  <si>
    <t>Chumaquito 066</t>
  </si>
  <si>
    <t>CHUMPULLO</t>
  </si>
  <si>
    <t>SIC-0206</t>
  </si>
  <si>
    <t>Chumpullo 066</t>
  </si>
  <si>
    <t>S/E CHUMPULLO</t>
  </si>
  <si>
    <t>SING-0103</t>
  </si>
  <si>
    <t>Chuquicamata 110</t>
  </si>
  <si>
    <t>S/E CHUQUICAMATA</t>
  </si>
  <si>
    <t>SING-0105</t>
  </si>
  <si>
    <t>Chuquicamata 220</t>
  </si>
  <si>
    <t>CHUSCHA</t>
  </si>
  <si>
    <t>Chuschampis 110</t>
  </si>
  <si>
    <t>CIPRESES</t>
  </si>
  <si>
    <t>SIC-0210</t>
  </si>
  <si>
    <t>Cipreses 154</t>
  </si>
  <si>
    <t>S/E CENTRAL CIPRESES</t>
  </si>
  <si>
    <t>CIRUELITOS</t>
  </si>
  <si>
    <t>SIC-1214</t>
  </si>
  <si>
    <t>Ciruelito 13.2</t>
  </si>
  <si>
    <t>S/E CIRUELITO</t>
  </si>
  <si>
    <t>Ciruelito 033</t>
  </si>
  <si>
    <t>SIC-0211</t>
  </si>
  <si>
    <t>Ciruelos 220</t>
  </si>
  <si>
    <t>S/E CIRUELOS</t>
  </si>
  <si>
    <t>CLEONES_1</t>
  </si>
  <si>
    <t>CABO LEONES 220</t>
  </si>
  <si>
    <t>S/E CENTRAL PARQUE EOLICO CABO LEONES I</t>
  </si>
  <si>
    <t>Parque Eólico Cabo Leones I S.A.</t>
  </si>
  <si>
    <t>CLUB_HIPICO</t>
  </si>
  <si>
    <t>SIC-0212</t>
  </si>
  <si>
    <t>Club Hipico 012</t>
  </si>
  <si>
    <t>S/E CLUB HIPICO</t>
  </si>
  <si>
    <t>Club Hipico 110</t>
  </si>
  <si>
    <t>CNTALTAL</t>
  </si>
  <si>
    <t>SIC-0217</t>
  </si>
  <si>
    <t>Cocharcas 13.2</t>
  </si>
  <si>
    <t>S/E COCHARCAS</t>
  </si>
  <si>
    <t>SIC-0216</t>
  </si>
  <si>
    <t>Cocharcas 066</t>
  </si>
  <si>
    <t>S/E COCHARCAS (CGE)</t>
  </si>
  <si>
    <t>SIC-0214</t>
  </si>
  <si>
    <t>Cocharcas 015</t>
  </si>
  <si>
    <t>COCHRANE</t>
  </si>
  <si>
    <t>Cochrane 220</t>
  </si>
  <si>
    <t>CODEGUA</t>
  </si>
  <si>
    <t>SIC-1586</t>
  </si>
  <si>
    <t>Codegua 066</t>
  </si>
  <si>
    <t>S/E CODEGUA</t>
  </si>
  <si>
    <t>SIC-1585</t>
  </si>
  <si>
    <t>Codegua 110</t>
  </si>
  <si>
    <t>Colaco 110</t>
  </si>
  <si>
    <t>SIC-0222</t>
  </si>
  <si>
    <t>Colbun 13.8</t>
  </si>
  <si>
    <t>S/E COLBUN</t>
  </si>
  <si>
    <t>SIC-0223</t>
  </si>
  <si>
    <t>Colbun 220</t>
  </si>
  <si>
    <t>SIC-0224</t>
  </si>
  <si>
    <t>Colchagua 015</t>
  </si>
  <si>
    <t>S/E COLCHAGUA</t>
  </si>
  <si>
    <t>Colchagua 066</t>
  </si>
  <si>
    <t>COLCURA</t>
  </si>
  <si>
    <t>Colcura 066</t>
  </si>
  <si>
    <t>COLLAHUASI</t>
  </si>
  <si>
    <t>SING-0108</t>
  </si>
  <si>
    <t>Collahuasi 220</t>
  </si>
  <si>
    <t>S/E COLLAHUASI</t>
  </si>
  <si>
    <t>COLLIPULLI</t>
  </si>
  <si>
    <t>SIC-0229</t>
  </si>
  <si>
    <t>Collipulli 13.2</t>
  </si>
  <si>
    <t>S/E COLLIPULLI</t>
  </si>
  <si>
    <t>SIC-0228</t>
  </si>
  <si>
    <t>Collipulli 066</t>
  </si>
  <si>
    <t>COLOCOLO</t>
  </si>
  <si>
    <t>SIC-0230</t>
  </si>
  <si>
    <t>Colo Colo 015</t>
  </si>
  <si>
    <t>S/E COLO COLO</t>
  </si>
  <si>
    <t>Colo Colo 066</t>
  </si>
  <si>
    <t>COLOSO</t>
  </si>
  <si>
    <t>Coloso 220</t>
  </si>
  <si>
    <t>SIC-0233</t>
  </si>
  <si>
    <t>Combarbala 13.2</t>
  </si>
  <si>
    <t>S/E COMBARBALA</t>
  </si>
  <si>
    <t>Combarbala 066</t>
  </si>
  <si>
    <t>SIC-0458</t>
  </si>
  <si>
    <t>Las Compañias 13.2</t>
  </si>
  <si>
    <t>S/E LAS COMPAnIAS</t>
  </si>
  <si>
    <t>Las Compañías 110</t>
  </si>
  <si>
    <t>CONCEPCION</t>
  </si>
  <si>
    <t>SIC-0236</t>
  </si>
  <si>
    <t>Concepcion 066</t>
  </si>
  <si>
    <t>S/E CONCEPCION (FFCC)</t>
  </si>
  <si>
    <t>Concepcion 154</t>
  </si>
  <si>
    <t>SIC-0238</t>
  </si>
  <si>
    <t>Concepcion 220</t>
  </si>
  <si>
    <t>S/E CONCEPCION</t>
  </si>
  <si>
    <t>CONCHI</t>
  </si>
  <si>
    <t>Conchi 220</t>
  </si>
  <si>
    <t>SIC-0234</t>
  </si>
  <si>
    <t>Con Con 012</t>
  </si>
  <si>
    <t>S/E CONCON</t>
  </si>
  <si>
    <t>Con Con 110</t>
  </si>
  <si>
    <t>SING-0111</t>
  </si>
  <si>
    <t>Condores 110</t>
  </si>
  <si>
    <t>S/E CONDORES</t>
  </si>
  <si>
    <t>SING-0114</t>
  </si>
  <si>
    <t>Condores 220</t>
  </si>
  <si>
    <t>CONSTIT.</t>
  </si>
  <si>
    <t>SIC-0239</t>
  </si>
  <si>
    <t>Constitucion 066</t>
  </si>
  <si>
    <t>S/E CONSTITUCION</t>
  </si>
  <si>
    <t>SIC-0240</t>
  </si>
  <si>
    <t>CONSTIT2</t>
  </si>
  <si>
    <t>SIC-0241</t>
  </si>
  <si>
    <t>COPAYAPU</t>
  </si>
  <si>
    <t>Copayapu 110</t>
  </si>
  <si>
    <t>SIC-0243</t>
  </si>
  <si>
    <t>Copiapo 13.8</t>
  </si>
  <si>
    <t>S/E COPIAPO</t>
  </si>
  <si>
    <t>Copiapo 110</t>
  </si>
  <si>
    <t>COPIHUES</t>
  </si>
  <si>
    <t>Copihues 110</t>
  </si>
  <si>
    <t>CORONEL</t>
  </si>
  <si>
    <t>SIC-0247</t>
  </si>
  <si>
    <t>Coronel 015</t>
  </si>
  <si>
    <t>S/E CORONEL</t>
  </si>
  <si>
    <t>Coronel A 066</t>
  </si>
  <si>
    <t>Coronel 154</t>
  </si>
  <si>
    <t>CORRAL</t>
  </si>
  <si>
    <t>SIC-0250</t>
  </si>
  <si>
    <t>Corral 13.2</t>
  </si>
  <si>
    <t>S/E CORRAL</t>
  </si>
  <si>
    <t>Corral 066</t>
  </si>
  <si>
    <t>COSTANERA</t>
  </si>
  <si>
    <t>SIC-0251</t>
  </si>
  <si>
    <t>Costanera 012</t>
  </si>
  <si>
    <t>S/E COSTANERA</t>
  </si>
  <si>
    <t>Costanera 110</t>
  </si>
  <si>
    <t>Crucero 220</t>
  </si>
  <si>
    <t>CSP.C.DOMINAD</t>
  </si>
  <si>
    <t>CSP C.Dominador 220</t>
  </si>
  <si>
    <t>S/E CERRO DOMINADOR</t>
  </si>
  <si>
    <t>CTIGRE</t>
  </si>
  <si>
    <t>Cerro Tigre 220</t>
  </si>
  <si>
    <t>SIC-416</t>
  </si>
  <si>
    <t>Machicura 220</t>
  </si>
  <si>
    <t>S/E CENTRAL MACHICURA</t>
  </si>
  <si>
    <t>CUMBRES</t>
  </si>
  <si>
    <t>Cumbre 220</t>
  </si>
  <si>
    <t>Cumbre 500</t>
  </si>
  <si>
    <t>Cunco 023</t>
  </si>
  <si>
    <t>S/E CUNCO</t>
  </si>
  <si>
    <t>Cunco 110</t>
  </si>
  <si>
    <t>SIC-0255</t>
  </si>
  <si>
    <t>Curacautin 13.2</t>
  </si>
  <si>
    <t>S/E CURACAUTIN</t>
  </si>
  <si>
    <t>Curacautin 066</t>
  </si>
  <si>
    <t>SIC-0256</t>
  </si>
  <si>
    <t>Curacavi 012</t>
  </si>
  <si>
    <t>S/E CURACAVI</t>
  </si>
  <si>
    <t>Curacavi 044</t>
  </si>
  <si>
    <t>CURANILAHUE</t>
  </si>
  <si>
    <t>SIC-0260</t>
  </si>
  <si>
    <t>Curanilahue 13.2</t>
  </si>
  <si>
    <t>S/E CURANILAHUE</t>
  </si>
  <si>
    <t>Curanilahue 066</t>
  </si>
  <si>
    <t>CURANILAHUEN</t>
  </si>
  <si>
    <t>Curanilahue Norte 066</t>
  </si>
  <si>
    <t>Aux</t>
  </si>
  <si>
    <t>nota:</t>
  </si>
  <si>
    <t>el Precio estabilizado  corresponde a la suma del producto de factor_referenciacion x factor_perdida x precio_estabilizado_decreto_index en cada bloque para cada barra</t>
  </si>
  <si>
    <t>ESALVADO_013_C302_RTS</t>
  </si>
  <si>
    <t>G_GUINDILLAS</t>
  </si>
  <si>
    <t>G_PMGD_FV_GUINDILLAS</t>
  </si>
  <si>
    <t>Sur Solar SpA</t>
  </si>
  <si>
    <t>GANTAY</t>
  </si>
  <si>
    <t>SIN ZONA DE TRANSMISION</t>
  </si>
  <si>
    <t>Decreto vigente</t>
  </si>
  <si>
    <t>Enel Green Power Chile S.A.</t>
  </si>
  <si>
    <t>ERUCASOL_110_H1_RUC_kWhR</t>
  </si>
  <si>
    <t>G_CTRL_FV_RUCASOL</t>
  </si>
  <si>
    <t>Rucasol SpA</t>
  </si>
  <si>
    <t>G_ALGARROBO_V</t>
  </si>
  <si>
    <t>G_PMGD_FV_ALGARROBO_V</t>
  </si>
  <si>
    <t>Algarrobo SpA</t>
  </si>
  <si>
    <t>G_BELLOTO</t>
  </si>
  <si>
    <t>G_PMGD_FV_BELLOTO</t>
  </si>
  <si>
    <t>Belloto SpA</t>
  </si>
  <si>
    <t>G_ENCINA</t>
  </si>
  <si>
    <t>G_PMGD_FV_ENCINA</t>
  </si>
  <si>
    <t>Encina SpA</t>
  </si>
  <si>
    <t>G_TOLEDO</t>
  </si>
  <si>
    <t>G_PMGD_FV_TOLEDO</t>
  </si>
  <si>
    <t>Toledo Solar SpA</t>
  </si>
  <si>
    <t>G_VILLA_LONGAVI</t>
  </si>
  <si>
    <t>G_PMG_FV_VILLA_LONGAVI</t>
  </si>
  <si>
    <t>1520</t>
  </si>
  <si>
    <t>Lampa 023</t>
  </si>
  <si>
    <t>G_CHINCHORRO</t>
  </si>
  <si>
    <t>G_PMGD_FV_CHINCHORRO</t>
  </si>
  <si>
    <t>Parque Solar Benavente SpA</t>
  </si>
  <si>
    <t>G_COLLANCO</t>
  </si>
  <si>
    <t>G_PMGD_FV_COLLANCO</t>
  </si>
  <si>
    <t>Blue Solar Uno SpA</t>
  </si>
  <si>
    <t>G_CORRALES</t>
  </si>
  <si>
    <t>G_PMGD_FV_CORRALES</t>
  </si>
  <si>
    <t>Fénix Solar SpA</t>
  </si>
  <si>
    <t>G_ESMERALDA</t>
  </si>
  <si>
    <t>G_PMGD_FV_ESMERALDA</t>
  </si>
  <si>
    <t>Fotovoltaica Cipres SpA</t>
  </si>
  <si>
    <t>G_LIPANGUE</t>
  </si>
  <si>
    <t>G_RANGUIL_SOLAR_NORTE</t>
  </si>
  <si>
    <t>G_PMGD_FV_RANGUIL_SOLAR_NORTE</t>
  </si>
  <si>
    <t>Ranguil SpA</t>
  </si>
  <si>
    <t>G_SAN_RAMON</t>
  </si>
  <si>
    <t>G_PMGD_FV_SAN_RAMON</t>
  </si>
  <si>
    <t>San Ramon Solar SpA</t>
  </si>
  <si>
    <t>Til Til Solar SpA</t>
  </si>
  <si>
    <t>G_AMANECER</t>
  </si>
  <si>
    <t>G_PMGD_FV_AMANECER</t>
  </si>
  <si>
    <t>G_CHILLAN_VICENTE_MENDEZ</t>
  </si>
  <si>
    <t>G_PMGD_FV_CHILLAN_VICENTE_MENDEZ</t>
  </si>
  <si>
    <t>G_DONA_BERTA</t>
  </si>
  <si>
    <t>G_PMGD_FV_DONA_BERTA</t>
  </si>
  <si>
    <t>G_LA_COSECHA</t>
  </si>
  <si>
    <t>G_PMGD_FV_LA_COSECHA</t>
  </si>
  <si>
    <t>Sociedad Energías Renovables El Álamo SpA</t>
  </si>
  <si>
    <t>G_MANZANO</t>
  </si>
  <si>
    <t>G_PMGD_HP_MANZANO</t>
  </si>
  <si>
    <t>Hidroeléctrica el Manzano S.A.</t>
  </si>
  <si>
    <t>G_SANTAELENA</t>
  </si>
  <si>
    <t>G_PMGD_HP_SANTA_ELENA</t>
  </si>
  <si>
    <t>Central Hidroeléctrica Santa Elena S.A.</t>
  </si>
  <si>
    <t>G_ALCAZAR_SOLAR</t>
  </si>
  <si>
    <t>G_PMGD_FV_ALCAZAR_SOLAR</t>
  </si>
  <si>
    <t>Juan Solar SpA</t>
  </si>
  <si>
    <t>G_DINAMO</t>
  </si>
  <si>
    <t>G_PMGD_FV_DINAMO</t>
  </si>
  <si>
    <t>Solar TI Trece SpA</t>
  </si>
  <si>
    <t>G_FALCON</t>
  </si>
  <si>
    <t>G_PMGD_FV_FALCON</t>
  </si>
  <si>
    <t>Energía Renovable Roble SpA</t>
  </si>
  <si>
    <t>G_PIRINCHO_SOLAR</t>
  </si>
  <si>
    <t>G_PMGD_FV_PIRINCHO_SOLAR</t>
  </si>
  <si>
    <t>CVE Proyecto Veintiocho SpA</t>
  </si>
  <si>
    <t>G_PUIG_SUNLIGHT</t>
  </si>
  <si>
    <t>G_PMGD_FV_PUIG_SUNLIGHT</t>
  </si>
  <si>
    <t>G_RAMIREZ_VERANO_SOLAR</t>
  </si>
  <si>
    <t>G_PMGD_FV_RAMIREZ_VERANO_SOLAR</t>
  </si>
  <si>
    <t>G_TUTUVEN</t>
  </si>
  <si>
    <t>G_PMG_FV_TUTUVEN</t>
  </si>
  <si>
    <t>Parque Solar Tangua SpA</t>
  </si>
  <si>
    <t>PEOLMOS</t>
  </si>
  <si>
    <t>SIC-1617</t>
  </si>
  <si>
    <t>Los Olmos 220</t>
  </si>
  <si>
    <t>S/E LOS OLMOS</t>
  </si>
  <si>
    <t>Energía Eólica Los Olmos SpA</t>
  </si>
  <si>
    <t>LA_POLVORA</t>
  </si>
  <si>
    <t>PARAUCO</t>
  </si>
  <si>
    <t>S/E ARAUCO MAPA [EN_REVISION]</t>
  </si>
  <si>
    <t>Arauco Bioenergía SpA</t>
  </si>
  <si>
    <t>El Olivar Solar SpA</t>
  </si>
  <si>
    <t>G_LUMILLA</t>
  </si>
  <si>
    <t>G_PMGD_FV_LUMILLA</t>
  </si>
  <si>
    <t>Transelec</t>
  </si>
  <si>
    <t>Sonnedix Chile Inversiones 3 SpA</t>
  </si>
  <si>
    <t>Copiapó Energía Solar SpA</t>
  </si>
  <si>
    <t>G_YUNGAY_TRILALEO</t>
  </si>
  <si>
    <t>G_PMGD_FV_YUNGAY_TRILALEO</t>
  </si>
  <si>
    <t>MVC Solar 17 SpA</t>
  </si>
  <si>
    <t>G_ANDROMEDA</t>
  </si>
  <si>
    <t>G_PMGD_FV_ANDROMEDA</t>
  </si>
  <si>
    <t>Andrómeda Solar SpA</t>
  </si>
  <si>
    <t>G_BRUJULA</t>
  </si>
  <si>
    <t>G_PMGD_FV_BRUJULA</t>
  </si>
  <si>
    <t>PS La Brújula SpA</t>
  </si>
  <si>
    <t>G_LA_ROSA_SHARON</t>
  </si>
  <si>
    <t>G_PMGD_FV_ROSA_SHARON</t>
  </si>
  <si>
    <t>PMGD La Rosa de Sharon SpA</t>
  </si>
  <si>
    <t>G_VALLE_ALEGRE</t>
  </si>
  <si>
    <t>G_PMGD_FV_VALLE_ALEGRE</t>
  </si>
  <si>
    <t>Fotovoltaica Valle Alegre SpA</t>
  </si>
  <si>
    <t>CELPACIFICO</t>
  </si>
  <si>
    <t>S/E CELULOSA PACIFICO</t>
  </si>
  <si>
    <t>SIC-496</t>
  </si>
  <si>
    <t>Pacifico CMPC 220</t>
  </si>
  <si>
    <t>CKHURI</t>
  </si>
  <si>
    <t>S/E CKHURI</t>
  </si>
  <si>
    <t>Huemul Energía SpA</t>
  </si>
  <si>
    <t>EPULEUFU</t>
  </si>
  <si>
    <t>SIC-10004</t>
  </si>
  <si>
    <t>Epuleufu 066</t>
  </si>
  <si>
    <t>S/E EPULEUFU [EN_REVISION]</t>
  </si>
  <si>
    <t>SIC-10005</t>
  </si>
  <si>
    <t>Epuleufu 220</t>
  </si>
  <si>
    <t>CENTELLA</t>
  </si>
  <si>
    <t>S/E CENTELLA</t>
  </si>
  <si>
    <t>Centella Transmisión S.A.</t>
  </si>
  <si>
    <t>G_ANGOL_SOLAR_I</t>
  </si>
  <si>
    <t>G_PMGD_FV_ANGOL_SOLAR_I</t>
  </si>
  <si>
    <t>Angol Solar I SpA</t>
  </si>
  <si>
    <t>G_CHILLAN_CONFLUENCIA</t>
  </si>
  <si>
    <t>G_PMGD_FV_CHILLAN_CONFLUENCIA</t>
  </si>
  <si>
    <t>Osa Mayor Solar SpA</t>
  </si>
  <si>
    <t>G_HORTENSIAS</t>
  </si>
  <si>
    <t>G_PMGD_FV_HORTENSIAS</t>
  </si>
  <si>
    <t>Aurora Solar SpA</t>
  </si>
  <si>
    <t>G_ARTEMISA</t>
  </si>
  <si>
    <t>G_PMGD_FV_ARTEMISA</t>
  </si>
  <si>
    <t>CVE Proyecto Treinta y Tres SpA</t>
  </si>
  <si>
    <t>G_BOIX_BI</t>
  </si>
  <si>
    <t>G_PMGD_FV_BOIX_BI</t>
  </si>
  <si>
    <t>G_HERGO_LOS_SAUCES</t>
  </si>
  <si>
    <t>G_PMGD_FV_HERGO_LOS_SAUCES</t>
  </si>
  <si>
    <t>Los Sauces Solar II SpA</t>
  </si>
  <si>
    <t>G_LINCE</t>
  </si>
  <si>
    <t>G_PMGD_FV_LINCE_SOLAR</t>
  </si>
  <si>
    <t>Orión Solar SpA</t>
  </si>
  <si>
    <t>G_NANCAGUA</t>
  </si>
  <si>
    <t>G_PFV_CHILOE</t>
  </si>
  <si>
    <t>G_PMGD_FV_CHILOE</t>
  </si>
  <si>
    <t>G_SIERRA_II</t>
  </si>
  <si>
    <t>G_PMGD_FV_LA_SIERRA_II</t>
  </si>
  <si>
    <t>VICTOR_JARA</t>
  </si>
  <si>
    <t>S/E VICTOR JARA</t>
  </si>
  <si>
    <t>GR Chañar SpA</t>
  </si>
  <si>
    <t>G_CONCORDE</t>
  </si>
  <si>
    <t>G_PMGD_FV_CONCORDE</t>
  </si>
  <si>
    <t>G_CERES</t>
  </si>
  <si>
    <t>G_PMGD_FV_CERES</t>
  </si>
  <si>
    <t>CVE Proyecto Treinta y Cinco SpA</t>
  </si>
  <si>
    <t>G_JACARANDA</t>
  </si>
  <si>
    <t>G_PMGD_FV_JACARANDA</t>
  </si>
  <si>
    <t>Jacarandá SpA</t>
  </si>
  <si>
    <t>G_LILIUM</t>
  </si>
  <si>
    <t>G_PMGD_FV_LILIUM</t>
  </si>
  <si>
    <t>Lirios de Chumaquito SpA</t>
  </si>
  <si>
    <t>G_MAULE_X</t>
  </si>
  <si>
    <t>G_PMGD_FV_MAULE_X</t>
  </si>
  <si>
    <t>Tielmes Energía SpA</t>
  </si>
  <si>
    <t>G_QUILVO</t>
  </si>
  <si>
    <t>G_PMGD_FV_QUILVO</t>
  </si>
  <si>
    <t>Nicolás Solar SpA</t>
  </si>
  <si>
    <t>G_VILLA</t>
  </si>
  <si>
    <t>G_PMGD_FV_VILLA</t>
  </si>
  <si>
    <t>Solar TI Veinticuatro SpA</t>
  </si>
  <si>
    <t>23T-2025</t>
  </si>
  <si>
    <t>TOFF.MAURO</t>
  </si>
  <si>
    <t>S/E MAURO</t>
  </si>
  <si>
    <t>Minera Los Pelambres</t>
  </si>
  <si>
    <t>G_CASA_DE_LATA</t>
  </si>
  <si>
    <t>G_PMGD_FV_CASA_DE_LATA</t>
  </si>
  <si>
    <t>Tedlar Mercurio SpA</t>
  </si>
  <si>
    <t>G_DRUX</t>
  </si>
  <si>
    <t>G_PMGD_FV_DRUX</t>
  </si>
  <si>
    <t>Naín Solar SpA</t>
  </si>
  <si>
    <t>G_LO_CONTY</t>
  </si>
  <si>
    <t>G_PMGD_FV_LO_CONTY</t>
  </si>
  <si>
    <t>Maui Solar SpA</t>
  </si>
  <si>
    <t>G_LOS_EUCALIPTOS</t>
  </si>
  <si>
    <t>G_PMGD_FV_LOS_EUCALIPTOS</t>
  </si>
  <si>
    <t>Los Sauces Solar I SpA</t>
  </si>
  <si>
    <t>G_SAN_VICENTE_TT</t>
  </si>
  <si>
    <t>PSF Santa Elizabeth SpA</t>
  </si>
  <si>
    <t>G_PFV_SALAMANCA</t>
  </si>
  <si>
    <t>G_PMGD_FV_PFV_SALAMANCA</t>
  </si>
  <si>
    <t>Maite Solar SpA</t>
  </si>
  <si>
    <t>CANCURA</t>
  </si>
  <si>
    <t>SIC-30025</t>
  </si>
  <si>
    <t>Cancura 066</t>
  </si>
  <si>
    <t>S/E SECCIONADORA CANCURA [EN_REVISION]</t>
  </si>
  <si>
    <t>PE Cancura SpA</t>
  </si>
  <si>
    <t>ESTEPA</t>
  </si>
  <si>
    <t>Estepa Solar SpA</t>
  </si>
  <si>
    <t>CRISTALE_012_C2_GPL_kWhR</t>
  </si>
  <si>
    <t>G_PMG_FV_CALEU</t>
  </si>
  <si>
    <t>4T-2026</t>
  </si>
  <si>
    <t>G_BALLOTA</t>
  </si>
  <si>
    <t>G_PMGD_FV_BALLOTA</t>
  </si>
  <si>
    <t>Manzanares Energía SpA</t>
  </si>
  <si>
    <t>G_PMGD_FV_LALAJUELA</t>
  </si>
  <si>
    <t>Reden La Lajuela Solar SpA</t>
  </si>
  <si>
    <t>G_LAS_PENITAS</t>
  </si>
  <si>
    <t>G_PMGD_FV_LAS_PENITAS</t>
  </si>
  <si>
    <t>La Pena Solar SpA</t>
  </si>
  <si>
    <t>4T-2026:</t>
  </si>
  <si>
    <t>ARENA</t>
  </si>
  <si>
    <t>S/E ARENA</t>
  </si>
  <si>
    <t>CI GMF II Arena ProjectCo SpA</t>
  </si>
  <si>
    <t>GABRIELA</t>
  </si>
  <si>
    <t>S/E GABRIELA</t>
  </si>
  <si>
    <t>GR Lenga SpA</t>
  </si>
  <si>
    <t>GABY</t>
  </si>
  <si>
    <t>S/E GABY</t>
  </si>
  <si>
    <t>Codelco (Corporación Nacional del Cobre)</t>
  </si>
  <si>
    <t>S/E LOS VARONES</t>
  </si>
  <si>
    <t>Besalco Transmisión SpA</t>
  </si>
  <si>
    <t>TOFF.MISTRAL</t>
  </si>
  <si>
    <t>S/E TAP OFF MISTRAL</t>
  </si>
  <si>
    <t>DEUGENIO_023_E4_EUO_kWhR</t>
  </si>
  <si>
    <t>G_PMG_HP_DON_EUGENIO</t>
  </si>
  <si>
    <t>Hidroeléctrica Don Eugenio SpA</t>
  </si>
  <si>
    <t>G_AMPLICACION_MONTE</t>
  </si>
  <si>
    <t>G_PMGD_FV_AMPLIACION_MONTE</t>
  </si>
  <si>
    <t>G_EA_MAITEN</t>
  </si>
  <si>
    <t>G_PMGD_FV_EA_MAITEN</t>
  </si>
  <si>
    <t>Energia Renovable Olmo SpA</t>
  </si>
  <si>
    <t>G_HIJUELA_4</t>
  </si>
  <si>
    <t>G_PMGD_FV_HIJUELA_4</t>
  </si>
  <si>
    <t>G_WARAIRA</t>
  </si>
  <si>
    <t>G_PMGD_FV_WARAIRA</t>
  </si>
  <si>
    <t>Waraira SpA</t>
  </si>
  <si>
    <t>GR Palmas de Cocalán SpA</t>
  </si>
  <si>
    <t>G_BESS_LOTA_II</t>
  </si>
  <si>
    <t>G_PMGD_FV_BESS_LOTA_II</t>
  </si>
  <si>
    <t>Tedlar Marte SpA</t>
  </si>
  <si>
    <t>G_CUARZO</t>
  </si>
  <si>
    <t>G_PMGD_FV_CUARZO</t>
  </si>
  <si>
    <t>G_DON_RENATO</t>
  </si>
  <si>
    <t>G_PMGD_FV_RENATO</t>
  </si>
  <si>
    <t>Fotovoltaica Don Renato SpA</t>
  </si>
  <si>
    <t>G_ELVIRA</t>
  </si>
  <si>
    <t>G_PMGD_FV_ELVIRA</t>
  </si>
  <si>
    <t>G_LALAJUELA</t>
  </si>
  <si>
    <t>G_LAS_TACAS_2</t>
  </si>
  <si>
    <t>G_PMGD_FV_TACAS_2</t>
  </si>
  <si>
    <t>G_MORA</t>
  </si>
  <si>
    <t>G_PMGD_FV_MORA</t>
  </si>
  <si>
    <t>G_PICHILEMU</t>
  </si>
  <si>
    <t>G_PMGD_FV_PICHILEMU</t>
  </si>
  <si>
    <t>G_ROMANZAS</t>
  </si>
  <si>
    <t>G_PMGD_FV_ROMANZAS</t>
  </si>
  <si>
    <t>Fotovoltaica Estancilla SpA</t>
  </si>
  <si>
    <t>G_RUBENA</t>
  </si>
  <si>
    <t>G_PMGD_FV_RUBENA</t>
  </si>
  <si>
    <t>G_SOLARIS</t>
  </si>
  <si>
    <t>G_PMGD_FV_SOLARIS</t>
  </si>
  <si>
    <t>TOTIHUE</t>
  </si>
  <si>
    <t>S/E TOTIHUE</t>
  </si>
  <si>
    <t>ESTELA</t>
  </si>
  <si>
    <t>S/E ESTELA SOLAR</t>
  </si>
  <si>
    <t>Tamarugal Solar SpA</t>
  </si>
  <si>
    <t>S/E LA RUCA</t>
  </si>
  <si>
    <t>IT_ZB</t>
  </si>
  <si>
    <t>G.SOLAR</t>
  </si>
  <si>
    <t>S/E GRANJA SOLAR</t>
  </si>
  <si>
    <t>COPEC Renovables SpA</t>
  </si>
  <si>
    <t>0</t>
  </si>
  <si>
    <t>Precio estabilizado</t>
  </si>
  <si>
    <t>Precios Estabilizados en Subestación Primaria de Distribución (SPD) para Valorización</t>
  </si>
  <si>
    <t>G_EMPRESA_ELECTRICA_RAULI</t>
  </si>
  <si>
    <t>G_PMG_FV_EMPRESA_ELECTRICA_RAULI</t>
  </si>
  <si>
    <t>Empresa Eléctrica Raulí SpA</t>
  </si>
  <si>
    <t>LSNARANJ_066_BT1_NAR_kWhR</t>
  </si>
  <si>
    <t>G_PMG_FV_PFV_LOS_NARANJOS</t>
  </si>
  <si>
    <t>Empresa eléctrica Ciprés SpA</t>
  </si>
  <si>
    <t>PEUMOYUN_066_BT1_EPM_kWhR</t>
  </si>
  <si>
    <t>G_PMG_FV_PARQUE_SOLAR_PEUMO</t>
  </si>
  <si>
    <t>Empresa Eléctrica Peumo SpA</t>
  </si>
  <si>
    <t>*Informe de Armonización 2erSem2026</t>
  </si>
  <si>
    <t>G_AGUAS_CLARAS</t>
  </si>
  <si>
    <t>G_PMGD_FV_AGUAS_CLARAS</t>
  </si>
  <si>
    <t>Planta Solar Aguas Claras SpA</t>
  </si>
  <si>
    <t>G_CETUS</t>
  </si>
  <si>
    <t>G_PMGD_FV_CETUS</t>
  </si>
  <si>
    <t>G_LICURA</t>
  </si>
  <si>
    <t>G_PMGD_FV_LICURA</t>
  </si>
  <si>
    <t>Solar Las Golondrinas SpA</t>
  </si>
  <si>
    <t>G_MULCHEN_SANTA_BARBARA</t>
  </si>
  <si>
    <t>G_PMGD_FV_MULCHEN_SANTA_BARBARA</t>
  </si>
  <si>
    <t>Tierra Solar SpA</t>
  </si>
  <si>
    <t>G_POROTA</t>
  </si>
  <si>
    <t>G_PMGD_FV_POROTA</t>
  </si>
  <si>
    <t>Porota Solar SpA</t>
  </si>
  <si>
    <t>Avanza Energía SpA</t>
  </si>
  <si>
    <t>TOFF.GARZAS</t>
  </si>
  <si>
    <t>S/E TAP OFF LAS GARZAS</t>
  </si>
  <si>
    <t>Sociedad Transmisora Metropolitana S.A.</t>
  </si>
  <si>
    <t>10T-2026</t>
  </si>
  <si>
    <t>G_PMGD_FV_PUELCHE_SOLAR</t>
  </si>
  <si>
    <t>G_PMGD_FV_PITOTOY</t>
  </si>
  <si>
    <t>G_PMGD_FV_QUELTEHE</t>
  </si>
  <si>
    <t>G_PMGD_FV_SOL_DE_SANTA_INES</t>
  </si>
  <si>
    <t>G_TRES_MARIAS_BESS</t>
  </si>
  <si>
    <t>G_PMGD_FV_LAS_TRES_MARIAS_BESS</t>
  </si>
  <si>
    <t>PSF Los Quilos SPA</t>
  </si>
  <si>
    <t>TEA</t>
  </si>
  <si>
    <t>S/E TEA</t>
  </si>
  <si>
    <t>CRISTALES</t>
  </si>
  <si>
    <t>S/E CRISTALES</t>
  </si>
  <si>
    <t>Cristales SpA</t>
  </si>
  <si>
    <t>Fecha Inicio Decreto/Indexación</t>
  </si>
  <si>
    <t>Fecha Fin Decreto/Indexación</t>
  </si>
  <si>
    <t>Tipo</t>
  </si>
  <si>
    <t>2026-08-25</t>
  </si>
  <si>
    <t>2026-01-20</t>
  </si>
  <si>
    <t>2026-08-24</t>
  </si>
  <si>
    <t>1T-2025</t>
  </si>
  <si>
    <t>2025-04-01</t>
  </si>
  <si>
    <t>2025-09-30</t>
  </si>
  <si>
    <t>20T-2025</t>
  </si>
  <si>
    <t>2025-10-01</t>
  </si>
  <si>
    <t>2026-03-31</t>
  </si>
  <si>
    <t>2026-04-01</t>
  </si>
  <si>
    <t>8T-2025</t>
  </si>
  <si>
    <t>2025-07-08</t>
  </si>
  <si>
    <t>2026-01-19</t>
  </si>
  <si>
    <t>-</t>
  </si>
  <si>
    <t>GDOSANTO_066_BT1_EGS_kWhR</t>
  </si>
  <si>
    <t>G_PMG_FV_PFV_GUINDO_SANTO</t>
  </si>
  <si>
    <t>Empresa Eléctrica Guindo Santo SpA</t>
  </si>
  <si>
    <t>Barra Troncal</t>
  </si>
  <si>
    <t>SOLIS_________154</t>
  </si>
  <si>
    <t>CHAÑARAL______023</t>
  </si>
  <si>
    <t>AMARGA________220</t>
  </si>
  <si>
    <t>S.FRUTILLAR.N_220</t>
  </si>
  <si>
    <t>CHAGUAL_______220</t>
  </si>
  <si>
    <t>IBERATACAMA___220</t>
  </si>
  <si>
    <t>MONTENEGRO____154</t>
  </si>
  <si>
    <t>MONTENEGRO____066</t>
  </si>
  <si>
    <t>RIO_MALLECO___220</t>
  </si>
  <si>
    <t>TAP_LOTA______066</t>
  </si>
  <si>
    <t>TMAYACA_______110</t>
  </si>
  <si>
    <t>DAMASCAL______110</t>
  </si>
  <si>
    <t>ALTO_MAIPO____110</t>
  </si>
  <si>
    <t>NPANQUEHUE____110</t>
  </si>
  <si>
    <t>PUEBLOSECO____154</t>
  </si>
  <si>
    <t>PUEBLOSECO____023</t>
  </si>
  <si>
    <t>LAS_VIOLETAS__066</t>
  </si>
  <si>
    <t>BJOSDMNA______012</t>
  </si>
  <si>
    <t>BJOSDMNA______110</t>
  </si>
  <si>
    <t>LA_RUCA_______110</t>
  </si>
  <si>
    <t>SANTACLARA____220</t>
  </si>
  <si>
    <t>GEOGLIFOS_____220</t>
  </si>
  <si>
    <t>PUERTOPATACHE_220</t>
  </si>
  <si>
    <t>PALPANA_______220</t>
  </si>
  <si>
    <t>LOS_VARONES___220</t>
  </si>
  <si>
    <t>LITORAL_CTL___066</t>
  </si>
  <si>
    <t>LOS_NOTROS____220</t>
  </si>
  <si>
    <t>LOS_VILLARES__110</t>
  </si>
  <si>
    <t>JADRESIC______220</t>
  </si>
  <si>
    <t>LAS_CANTERAS__110</t>
  </si>
  <si>
    <t>JADRESIC______500</t>
  </si>
  <si>
    <t>LOS_VARONES___066</t>
  </si>
  <si>
    <t>S.CODEGUA_____110</t>
  </si>
  <si>
    <t>S.CODEGUA_____066</t>
  </si>
  <si>
    <t>GAMBOA________220</t>
  </si>
  <si>
    <t>GAMBOA________110</t>
  </si>
  <si>
    <t>L.POETAS______066</t>
  </si>
  <si>
    <t>FUTURO_____220</t>
  </si>
  <si>
    <t>FUTURO_____33_A</t>
  </si>
  <si>
    <t>FUTURO_____33_B</t>
  </si>
  <si>
    <t>LA_CABANA_____220</t>
  </si>
  <si>
    <t>LA_CABANA_____033</t>
  </si>
  <si>
    <t>ESPERANZA_____023</t>
  </si>
  <si>
    <t>LIQCAU________110</t>
  </si>
  <si>
    <t>LIQCAU1_______220</t>
  </si>
  <si>
    <t>EL_RUIL_______066</t>
  </si>
  <si>
    <t>TAIRA_________220</t>
  </si>
  <si>
    <t>MONTE_MINA1___220</t>
  </si>
  <si>
    <t>TAP.ESPIGAORO_023</t>
  </si>
  <si>
    <t>ESPIGAORO_____023</t>
  </si>
  <si>
    <t>T.PATAGUILLA__044</t>
  </si>
  <si>
    <t>PAJONALES_____220</t>
  </si>
  <si>
    <t>KALLPA________220</t>
  </si>
  <si>
    <t>CD.TAMAYA_____033</t>
  </si>
  <si>
    <t>EL_MANZANO____033</t>
  </si>
  <si>
    <t>INCA_DE_ORO_A_033</t>
  </si>
  <si>
    <t>INCA_DE_ORO_B_033</t>
  </si>
  <si>
    <t>ANDES_SNG_3___023</t>
  </si>
  <si>
    <t>ANDES_SOLAR___023</t>
  </si>
  <si>
    <t>INCA_DE_ORO___220</t>
  </si>
  <si>
    <t>PALPANA_______033</t>
  </si>
  <si>
    <t>PUNTA_SIERRA__031</t>
  </si>
  <si>
    <t>URIBE_SOLAR___110</t>
  </si>
  <si>
    <t>URIBE_SOLAR___033</t>
  </si>
  <si>
    <t>LA_POLVORA____220</t>
  </si>
  <si>
    <t>DICHAS________220</t>
  </si>
  <si>
    <t>SENORAZA______220</t>
  </si>
  <si>
    <t>SENORAZA______066</t>
  </si>
  <si>
    <t>RUCASOL_______110</t>
  </si>
  <si>
    <t>COLACO________023</t>
  </si>
  <si>
    <t>HORIZONTENOR__220</t>
  </si>
  <si>
    <t>SOLDESIERTO___220</t>
  </si>
  <si>
    <t>SOLDESIERTOA__033</t>
  </si>
  <si>
    <t>SOLDESIERTOB__033</t>
  </si>
  <si>
    <t>TAP.MAITENES__066</t>
  </si>
  <si>
    <t>TRINIDAD______066</t>
  </si>
  <si>
    <t>DICHAS________066</t>
  </si>
  <si>
    <t>LAS_VIOLETAS__023</t>
  </si>
  <si>
    <t>PUQUILLAY_____013</t>
  </si>
  <si>
    <t>SANTACRUZ_____013</t>
  </si>
  <si>
    <t>CENTRALARAUCO_066</t>
  </si>
  <si>
    <t>PARAUCO_______220</t>
  </si>
  <si>
    <t>PARAUCO_______066</t>
  </si>
  <si>
    <t>CENTELLA______220</t>
  </si>
  <si>
    <t>TOFF.MAURO1___220</t>
  </si>
  <si>
    <t>TOFF.MAURO2___220</t>
  </si>
  <si>
    <t>CANCURA_______066</t>
  </si>
  <si>
    <t>CKHURI________220</t>
  </si>
  <si>
    <t>CSANTA_FE_____220</t>
  </si>
  <si>
    <t>CELPACIFICO___220</t>
  </si>
  <si>
    <t>EPULEUFU______220</t>
  </si>
  <si>
    <t>EPULEUFU______066</t>
  </si>
  <si>
    <t>TOTIHUE_______220</t>
  </si>
  <si>
    <t>C.SAN_ANDRES__220</t>
  </si>
  <si>
    <t>CORRALES______023</t>
  </si>
  <si>
    <t>DON_EUGENIO___023</t>
  </si>
  <si>
    <t>TEA___________220</t>
  </si>
  <si>
    <t>TAP_LASNIEVES_023</t>
  </si>
  <si>
    <t>TOTIHUE_______066</t>
  </si>
  <si>
    <t>FUTURO_B______220</t>
  </si>
  <si>
    <t>FUTURO_BA_____033</t>
  </si>
  <si>
    <t>FUTURO_BB_____033</t>
  </si>
  <si>
    <t>N.VICTORIA____066</t>
  </si>
  <si>
    <t>ARENA_________220</t>
  </si>
  <si>
    <t>LA_RUCA_______220</t>
  </si>
  <si>
    <t>ESTEPA________220</t>
  </si>
  <si>
    <t>ESTEPA_A______033</t>
  </si>
  <si>
    <t>ESTEPA_B______033</t>
  </si>
  <si>
    <t>C.SAN_ANDRES__023</t>
  </si>
  <si>
    <t>TOFF.MISTRAL__220</t>
  </si>
  <si>
    <t>GUARDIAMARINA_013</t>
  </si>
  <si>
    <t>GUARDIAMARINA_023</t>
  </si>
  <si>
    <t>LAMPA_________023</t>
  </si>
  <si>
    <t>Asociación de Barras</t>
  </si>
  <si>
    <t>PSECO_________023</t>
  </si>
  <si>
    <t>A.NEGRAS______066</t>
  </si>
  <si>
    <t>CHAGUAL_______023</t>
  </si>
  <si>
    <t>CTR_MACHICURA_220</t>
  </si>
  <si>
    <t>MONTENEGRO____013</t>
  </si>
  <si>
    <t>LAS_PIEDRAS___023</t>
  </si>
  <si>
    <t>PAJONALES_____023</t>
  </si>
  <si>
    <t>LLANBLANCOS___023</t>
  </si>
  <si>
    <t>C.COMBARBALA__023</t>
  </si>
  <si>
    <t>TERMOPACIFIC__220</t>
  </si>
  <si>
    <t>FUENTECILLA___015</t>
  </si>
  <si>
    <t>01-09-2026</t>
  </si>
  <si>
    <t>30-09-2026</t>
  </si>
  <si>
    <t>2026-09-01</t>
  </si>
  <si>
    <t>2026-09-30</t>
  </si>
  <si>
    <t>EB3</t>
  </si>
  <si>
    <t>S/E EB3</t>
  </si>
  <si>
    <t>Aguas Horizonte SpA</t>
  </si>
  <si>
    <t>LALIGUA</t>
  </si>
  <si>
    <t>S/E LA LIGUA</t>
  </si>
  <si>
    <t>G_BOQUIAMARGO</t>
  </si>
  <si>
    <t>G_PMGD_HP_BOQUIAMARGO</t>
  </si>
  <si>
    <t>Gestión de Proyectos Eléctricos S.A</t>
  </si>
  <si>
    <t>G_HUAJACHE</t>
  </si>
  <si>
    <t>G_PMGD_EO_HUAJACHE</t>
  </si>
  <si>
    <t>G_RAKI</t>
  </si>
  <si>
    <t>G_PMGD_EO_RAKI</t>
  </si>
  <si>
    <t>Definitivo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</si>
</sst>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2" formatCode="_ &quot;$&quot;* #,##0_ ;_ &quot;$&quot;* \-#,##0_ ;_ &quot;$&quot;* &quot;-&quot;_ ;_ @_ "/>
    <numFmt numFmtId="41" formatCode="_ * #,##0_ ;_ * \-#,##0_ ;_ * &quot;-&quot;_ ;_ @_ "/>
    <numFmt numFmtId="164" formatCode="#,##0.000"/>
    <numFmt numFmtId="165" formatCode="_-&quot;$&quot;\ * #,##0_-;\-&quot;$&quot;\ * #,##0_-;_-&quot;$&quot;\ * &quot;-&quot;_-;_-@_-"/>
    <numFmt numFmtId="166" formatCode="_-* #,##0.00_-;\-* #,##0.00_-;_-* &quot;-&quot;??_-;_-@_-"/>
    <numFmt numFmtId="167" formatCode="_-* #,##0\ _€_-;\-* #,##0\ _€_-;_-* &quot;-&quot;\ _€_-;_-@_-"/>
    <numFmt numFmtId="168" formatCode="_-* #,##0.00\ _€_-;\-* #,##0.00\ _€_-;_-* &quot;-&quot;??\ _€_-;_-@_-"/>
    <numFmt numFmtId="169" formatCode="_-[$€-2]\ * #,##0.00_-;\-[$€-2]\ * #,##0.00_-;_-[$€-2]\ * &quot;-&quot;??_-"/>
    <numFmt numFmtId="170" formatCode="_-* #,##0.00\ [$€]_-;\-* #,##0.00\ [$€]_-;_-* &quot;-&quot;??\ [$€]_-;_-@_-"/>
    <numFmt numFmtId="171" formatCode="dddd"/>
    <numFmt numFmtId="172" formatCode="_-[$€-2]* #,##0.00_-;\-[$€-2]* #,##0.00_-;_-[$€-2]* &quot;-&quot;??_-"/>
    <numFmt numFmtId="173" formatCode="#,##0.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Helv"/>
      <charset val="204"/>
    </font>
    <font>
      <sz val="12"/>
      <name val="Times New Roman"/>
      <family val="1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Times New Roman"/>
      <family val="1"/>
    </font>
    <font>
      <u/>
      <sz val="12"/>
      <color theme="10"/>
      <name val="Arial"/>
      <family val="2"/>
    </font>
    <font>
      <u/>
      <sz val="10"/>
      <color indexed="18"/>
      <name val="Arial"/>
      <family val="2"/>
    </font>
    <font>
      <u/>
      <sz val="10"/>
      <color indexed="12"/>
      <name val="Arial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2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u/>
      <sz val="10"/>
      <color theme="10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42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9" fontId="21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24" fillId="0" borderId="0">
      <alignment vertical="top"/>
    </xf>
    <xf numFmtId="0" fontId="18" fillId="0" borderId="0"/>
    <xf numFmtId="0" fontId="18" fillId="0" borderId="0"/>
    <xf numFmtId="0" fontId="21" fillId="0" borderId="0"/>
    <xf numFmtId="0" fontId="1" fillId="0" borderId="0"/>
    <xf numFmtId="9" fontId="2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  <xf numFmtId="0" fontId="26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36" borderId="0" applyNumberFormat="0" applyBorder="0" applyAlignment="0" applyProtection="0"/>
    <xf numFmtId="0" fontId="22" fillId="37" borderId="0" applyNumberFormat="0" applyBorder="0" applyAlignment="0" applyProtection="0"/>
    <xf numFmtId="0" fontId="22" fillId="38" borderId="0" applyNumberFormat="0" applyBorder="0" applyAlignment="0" applyProtection="0"/>
    <xf numFmtId="0" fontId="22" fillId="39" borderId="0" applyNumberFormat="0" applyBorder="0" applyAlignment="0" applyProtection="0"/>
    <xf numFmtId="0" fontId="22" fillId="40" borderId="0" applyNumberFormat="0" applyBorder="0" applyAlignment="0" applyProtection="0"/>
    <xf numFmtId="0" fontId="22" fillId="41" borderId="0" applyNumberFormat="0" applyBorder="0" applyAlignment="0" applyProtection="0"/>
    <xf numFmtId="0" fontId="22" fillId="42" borderId="0" applyNumberFormat="0" applyBorder="0" applyAlignment="0" applyProtection="0"/>
    <xf numFmtId="0" fontId="22" fillId="43" borderId="0" applyNumberFormat="0" applyBorder="0" applyAlignment="0" applyProtection="0"/>
    <xf numFmtId="0" fontId="22" fillId="44" borderId="0" applyNumberFormat="0" applyBorder="0" applyAlignment="0" applyProtection="0"/>
    <xf numFmtId="0" fontId="22" fillId="39" borderId="0" applyNumberFormat="0" applyBorder="0" applyAlignment="0" applyProtection="0"/>
    <xf numFmtId="0" fontId="22" fillId="42" borderId="0" applyNumberFormat="0" applyBorder="0" applyAlignment="0" applyProtection="0"/>
    <xf numFmtId="0" fontId="22" fillId="45" borderId="0" applyNumberFormat="0" applyBorder="0" applyAlignment="0" applyProtection="0"/>
    <xf numFmtId="0" fontId="27" fillId="46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27" fillId="47" borderId="0" applyNumberFormat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28" fillId="38" borderId="0" applyNumberFormat="0" applyBorder="0" applyAlignment="0" applyProtection="0"/>
    <xf numFmtId="0" fontId="29" fillId="50" borderId="12" applyNumberFormat="0" applyAlignment="0" applyProtection="0"/>
    <xf numFmtId="0" fontId="30" fillId="51" borderId="13" applyNumberFormat="0" applyAlignment="0" applyProtection="0"/>
    <xf numFmtId="0" fontId="31" fillId="0" borderId="14" applyNumberFormat="0" applyFill="0" applyAlignment="0" applyProtection="0"/>
    <xf numFmtId="0" fontId="32" fillId="0" borderId="0" applyNumberFormat="0" applyFill="0" applyBorder="0" applyAlignment="0" applyProtection="0"/>
    <xf numFmtId="0" fontId="27" fillId="52" borderId="0" applyNumberFormat="0" applyBorder="0" applyAlignment="0" applyProtection="0"/>
    <xf numFmtId="0" fontId="27" fillId="53" borderId="0" applyNumberFormat="0" applyBorder="0" applyAlignment="0" applyProtection="0"/>
    <xf numFmtId="0" fontId="27" fillId="54" borderId="0" applyNumberFormat="0" applyBorder="0" applyAlignment="0" applyProtection="0"/>
    <xf numFmtId="0" fontId="27" fillId="47" borderId="0" applyNumberFormat="0" applyBorder="0" applyAlignment="0" applyProtection="0"/>
    <xf numFmtId="0" fontId="27" fillId="48" borderId="0" applyNumberFormat="0" applyBorder="0" applyAlignment="0" applyProtection="0"/>
    <xf numFmtId="0" fontId="27" fillId="55" borderId="0" applyNumberFormat="0" applyBorder="0" applyAlignment="0" applyProtection="0"/>
    <xf numFmtId="0" fontId="33" fillId="41" borderId="12" applyNumberFormat="0" applyAlignment="0" applyProtection="0"/>
    <xf numFmtId="0" fontId="23" fillId="0" borderId="0"/>
    <xf numFmtId="0" fontId="21" fillId="0" borderId="0"/>
    <xf numFmtId="0" fontId="21" fillId="0" borderId="0"/>
    <xf numFmtId="170" fontId="34" fillId="0" borderId="0" applyFont="0" applyFill="0" applyBorder="0" applyAlignment="0" applyProtection="0"/>
    <xf numFmtId="0" fontId="35" fillId="56" borderId="0" applyNumberFormat="0" applyFill="0" applyBorder="0" applyAlignment="0" applyProtection="0"/>
    <xf numFmtId="0" fontId="36" fillId="0" borderId="0" applyNumberFormat="0" applyFill="0" applyBorder="0" applyAlignment="0" applyProtection="0">
      <alignment vertical="top"/>
      <protection locked="0"/>
    </xf>
    <xf numFmtId="0" fontId="37" fillId="0" borderId="0" applyNumberFormat="0" applyFill="0" applyBorder="0" applyAlignment="0" applyProtection="0">
      <alignment vertical="top"/>
      <protection locked="0"/>
    </xf>
    <xf numFmtId="0" fontId="38" fillId="37" borderId="0" applyNumberFormat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39" fillId="57" borderId="0" applyNumberFormat="0" applyBorder="0" applyAlignment="0" applyProtection="0"/>
    <xf numFmtId="0" fontId="23" fillId="0" borderId="0"/>
    <xf numFmtId="0" fontId="40" fillId="56" borderId="0"/>
    <xf numFmtId="0" fontId="21" fillId="0" borderId="0"/>
    <xf numFmtId="0" fontId="21" fillId="0" borderId="0"/>
    <xf numFmtId="0" fontId="21" fillId="0" borderId="0">
      <alignment wrapText="1"/>
    </xf>
    <xf numFmtId="0" fontId="21" fillId="0" borderId="0"/>
    <xf numFmtId="0" fontId="18" fillId="0" borderId="0"/>
    <xf numFmtId="0" fontId="21" fillId="0" borderId="0">
      <alignment wrapText="1"/>
    </xf>
    <xf numFmtId="0" fontId="21" fillId="0" borderId="0">
      <alignment wrapText="1"/>
    </xf>
    <xf numFmtId="0" fontId="18" fillId="0" borderId="0"/>
    <xf numFmtId="0" fontId="21" fillId="0" borderId="0"/>
    <xf numFmtId="0" fontId="21" fillId="0" borderId="0">
      <alignment wrapText="1"/>
    </xf>
    <xf numFmtId="0" fontId="21" fillId="58" borderId="15" applyNumberFormat="0" applyFont="0" applyAlignment="0" applyProtection="0"/>
    <xf numFmtId="0" fontId="21" fillId="58" borderId="15" applyNumberFormat="0" applyFont="0" applyAlignment="0" applyProtection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41" fillId="50" borderId="11" applyNumberFormat="0" applyAlignment="0" applyProtection="0"/>
    <xf numFmtId="0" fontId="25" fillId="0" borderId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32" fillId="0" borderId="18" applyNumberFormat="0" applyFill="0" applyAlignment="0" applyProtection="0"/>
    <xf numFmtId="0" fontId="32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0" borderId="19" applyNumberFormat="0" applyFill="0" applyAlignment="0" applyProtection="0"/>
    <xf numFmtId="0" fontId="1" fillId="0" borderId="0"/>
    <xf numFmtId="0" fontId="23" fillId="0" borderId="0"/>
    <xf numFmtId="0" fontId="1" fillId="0" borderId="0"/>
    <xf numFmtId="170" fontId="34" fillId="0" borderId="0" applyFont="0" applyFill="0" applyBorder="0" applyAlignment="0" applyProtection="0"/>
    <xf numFmtId="0" fontId="1" fillId="0" borderId="0"/>
    <xf numFmtId="0" fontId="40" fillId="56" borderId="0"/>
    <xf numFmtId="0" fontId="21" fillId="0" borderId="0">
      <alignment wrapText="1"/>
    </xf>
    <xf numFmtId="0" fontId="21" fillId="0" borderId="0">
      <alignment wrapText="1"/>
    </xf>
    <xf numFmtId="0" fontId="18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6" fontId="2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21" fillId="0" borderId="0"/>
    <xf numFmtId="166" fontId="18" fillId="0" borderId="0" applyFont="0" applyFill="0" applyBorder="0" applyAlignment="0" applyProtection="0"/>
    <xf numFmtId="171" fontId="2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0" fontId="21" fillId="0" borderId="0"/>
    <xf numFmtId="0" fontId="1" fillId="0" borderId="0"/>
    <xf numFmtId="0" fontId="1" fillId="0" borderId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8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21" fillId="0" borderId="0"/>
    <xf numFmtId="0" fontId="1" fillId="0" borderId="0"/>
    <xf numFmtId="0" fontId="29" fillId="50" borderId="12" applyNumberFormat="0" applyAlignment="0" applyProtection="0"/>
    <xf numFmtId="0" fontId="33" fillId="41" borderId="12" applyNumberFormat="0" applyAlignment="0" applyProtection="0"/>
    <xf numFmtId="0" fontId="21" fillId="58" borderId="15" applyNumberFormat="0" applyFont="0" applyAlignment="0" applyProtection="0"/>
    <xf numFmtId="0" fontId="21" fillId="58" borderId="15" applyNumberFormat="0" applyFont="0" applyAlignment="0" applyProtection="0"/>
    <xf numFmtId="9" fontId="1" fillId="0" borderId="0" applyFont="0" applyFill="0" applyBorder="0" applyAlignment="0" applyProtection="0"/>
    <xf numFmtId="0" fontId="41" fillId="50" borderId="11" applyNumberFormat="0" applyAlignment="0" applyProtection="0"/>
    <xf numFmtId="0" fontId="47" fillId="0" borderId="19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21" fillId="0" borderId="0"/>
    <xf numFmtId="0" fontId="21" fillId="0" borderId="0"/>
    <xf numFmtId="0" fontId="18" fillId="0" borderId="0"/>
    <xf numFmtId="0" fontId="24" fillId="0" borderId="0">
      <alignment vertical="top"/>
    </xf>
    <xf numFmtId="0" fontId="18" fillId="0" borderId="0"/>
    <xf numFmtId="167" fontId="1" fillId="0" borderId="0" applyFont="0" applyFill="0" applyBorder="0" applyAlignment="0" applyProtection="0"/>
    <xf numFmtId="0" fontId="1" fillId="0" borderId="0"/>
    <xf numFmtId="0" fontId="1" fillId="0" borderId="0"/>
    <xf numFmtId="9" fontId="2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29" fillId="50" borderId="12" applyNumberFormat="0" applyAlignment="0" applyProtection="0"/>
    <xf numFmtId="0" fontId="33" fillId="41" borderId="12" applyNumberFormat="0" applyAlignment="0" applyProtection="0"/>
    <xf numFmtId="9" fontId="21" fillId="0" borderId="0" applyFont="0" applyFill="0" applyBorder="0" applyAlignment="0" applyProtection="0"/>
    <xf numFmtId="166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21" fillId="58" borderId="15" applyNumberFormat="0" applyFont="0" applyAlignment="0" applyProtection="0"/>
    <xf numFmtId="0" fontId="21" fillId="58" borderId="15" applyNumberFormat="0" applyFont="0" applyAlignment="0" applyProtection="0"/>
    <xf numFmtId="9" fontId="1" fillId="0" borderId="0" applyFont="0" applyFill="0" applyBorder="0" applyAlignment="0" applyProtection="0"/>
    <xf numFmtId="0" fontId="41" fillId="50" borderId="11" applyNumberFormat="0" applyAlignment="0" applyProtection="0"/>
    <xf numFmtId="0" fontId="47" fillId="0" borderId="19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0" fontId="2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0" fontId="48" fillId="0" borderId="0" applyNumberFormat="0" applyFill="0" applyBorder="0" applyAlignment="0" applyProtection="0"/>
    <xf numFmtId="166" fontId="2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9" fillId="50" borderId="12" applyNumberFormat="0" applyAlignment="0" applyProtection="0"/>
    <xf numFmtId="0" fontId="33" fillId="41" borderId="12" applyNumberFormat="0" applyAlignment="0" applyProtection="0"/>
    <xf numFmtId="0" fontId="21" fillId="58" borderId="15" applyNumberFormat="0" applyFont="0" applyAlignment="0" applyProtection="0"/>
    <xf numFmtId="0" fontId="21" fillId="58" borderId="15" applyNumberFormat="0" applyFont="0" applyAlignment="0" applyProtection="0"/>
    <xf numFmtId="0" fontId="41" fillId="50" borderId="11" applyNumberFormat="0" applyAlignment="0" applyProtection="0"/>
    <xf numFmtId="0" fontId="47" fillId="0" borderId="19" applyNumberFormat="0" applyFill="0" applyAlignment="0" applyProtection="0"/>
    <xf numFmtId="0" fontId="29" fillId="50" borderId="12" applyNumberFormat="0" applyAlignment="0" applyProtection="0"/>
    <xf numFmtId="0" fontId="33" fillId="41" borderId="12" applyNumberFormat="0" applyAlignment="0" applyProtection="0"/>
    <xf numFmtId="0" fontId="21" fillId="58" borderId="15" applyNumberFormat="0" applyFont="0" applyAlignment="0" applyProtection="0"/>
    <xf numFmtId="0" fontId="21" fillId="58" borderId="15" applyNumberFormat="0" applyFont="0" applyAlignment="0" applyProtection="0"/>
    <xf numFmtId="0" fontId="41" fillId="50" borderId="11" applyNumberFormat="0" applyAlignment="0" applyProtection="0"/>
    <xf numFmtId="0" fontId="47" fillId="0" borderId="19" applyNumberFormat="0" applyFill="0" applyAlignment="0" applyProtection="0"/>
    <xf numFmtId="0" fontId="29" fillId="50" borderId="12" applyNumberFormat="0" applyAlignment="0" applyProtection="0"/>
    <xf numFmtId="0" fontId="33" fillId="41" borderId="12" applyNumberFormat="0" applyAlignment="0" applyProtection="0"/>
    <xf numFmtId="0" fontId="21" fillId="58" borderId="15" applyNumberFormat="0" applyFont="0" applyAlignment="0" applyProtection="0"/>
    <xf numFmtId="0" fontId="21" fillId="58" borderId="15" applyNumberFormat="0" applyFont="0" applyAlignment="0" applyProtection="0"/>
    <xf numFmtId="0" fontId="41" fillId="50" borderId="11" applyNumberFormat="0" applyAlignment="0" applyProtection="0"/>
    <xf numFmtId="0" fontId="47" fillId="0" borderId="19" applyNumberFormat="0" applyFill="0" applyAlignment="0" applyProtection="0"/>
    <xf numFmtId="0" fontId="18" fillId="0" borderId="0"/>
    <xf numFmtId="0" fontId="1" fillId="0" borderId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1" fillId="0" borderId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72" fontId="1" fillId="0" borderId="0"/>
    <xf numFmtId="172" fontId="1" fillId="0" borderId="0"/>
    <xf numFmtId="0" fontId="49" fillId="0" borderId="0"/>
  </cellStyleXfs>
  <cellXfs count="48">
    <xf numFmtId="0" fontId="0" fillId="0" borderId="0" xfId="0"/>
    <xf numFmtId="0" fontId="0" fillId="35" borderId="0" xfId="0" applyFill="1" applyAlignment="1">
      <alignment horizontal="center" vertical="center"/>
    </xf>
    <xf numFmtId="0" fontId="16" fillId="34" borderId="10" xfId="0" applyFont="1" applyFill="1" applyBorder="1" applyAlignment="1">
      <alignment horizontal="center" vertical="center" wrapText="1"/>
    </xf>
    <xf numFmtId="0" fontId="16" fillId="34" borderId="1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35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9" fillId="0" borderId="0" xfId="0" applyFont="1"/>
    <xf numFmtId="0" fontId="16" fillId="0" borderId="0" xfId="0" applyFont="1" applyAlignment="1">
      <alignment horizontal="center"/>
    </xf>
    <xf numFmtId="0" fontId="16" fillId="0" borderId="10" xfId="0" applyFont="1" applyBorder="1"/>
    <xf numFmtId="0" fontId="0" fillId="0" borderId="10" xfId="0" applyBorder="1"/>
    <xf numFmtId="14" fontId="0" fillId="0" borderId="0" xfId="0" applyNumberFormat="1" applyAlignment="1">
      <alignment horizontal="center"/>
    </xf>
    <xf numFmtId="9" fontId="16" fillId="0" borderId="10" xfId="0" applyNumberFormat="1" applyFont="1" applyBorder="1" applyAlignment="1">
      <alignment horizontal="center"/>
    </xf>
    <xf numFmtId="0" fontId="49" fillId="0" borderId="0" xfId="436"/>
    <xf numFmtId="0" fontId="49" fillId="0" borderId="0" xfId="436" applyAlignment="1">
      <alignment horizontal="center"/>
    </xf>
    <xf numFmtId="14" fontId="49" fillId="0" borderId="0" xfId="436" applyNumberFormat="1" applyAlignment="1">
      <alignment horizontal="center"/>
    </xf>
    <xf numFmtId="0" fontId="50" fillId="0" borderId="0" xfId="0" applyFont="1" applyAlignment="1">
      <alignment horizontal="center"/>
    </xf>
    <xf numFmtId="0" fontId="50" fillId="33" borderId="0" xfId="0" applyFont="1" applyFill="1" applyAlignment="1">
      <alignment horizontal="center"/>
    </xf>
    <xf numFmtId="0" fontId="51" fillId="33" borderId="0" xfId="0" applyFont="1" applyFill="1" applyAlignment="1">
      <alignment horizontal="center"/>
    </xf>
    <xf numFmtId="0" fontId="16" fillId="59" borderId="10" xfId="0" applyFont="1" applyFill="1" applyBorder="1"/>
    <xf numFmtId="14" fontId="16" fillId="59" borderId="10" xfId="0" quotePrefix="1" applyNumberFormat="1" applyFont="1" applyFill="1" applyBorder="1" applyAlignment="1">
      <alignment horizontal="center"/>
    </xf>
    <xf numFmtId="0" fontId="16" fillId="59" borderId="10" xfId="0" applyFont="1" applyFill="1" applyBorder="1" applyAlignment="1">
      <alignment horizontal="center"/>
    </xf>
    <xf numFmtId="0" fontId="16" fillId="0" borderId="20" xfId="0" applyFont="1" applyBorder="1" applyAlignment="1">
      <alignment horizontal="center" vertical="top"/>
    </xf>
    <xf numFmtId="0" fontId="0" fillId="33" borderId="0" xfId="0" applyFill="1"/>
    <xf numFmtId="0" fontId="16" fillId="0" borderId="0" xfId="0" applyFont="1" applyAlignment="1">
      <alignment horizontal="center" vertical="top"/>
    </xf>
    <xf numFmtId="0" fontId="16" fillId="0" borderId="0" xfId="0" applyFont="1"/>
    <xf numFmtId="0" fontId="16" fillId="59" borderId="0" xfId="0" applyFont="1" applyFill="1"/>
    <xf numFmtId="173" fontId="52" fillId="0" borderId="0" xfId="0" applyNumberFormat="1" applyFont="1" applyAlignment="1">
      <alignment horizontal="center"/>
    </xf>
    <xf numFmtId="0" fontId="0" fillId="0" borderId="20" xfId="0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 vertical="center"/>
    </xf>
    <xf numFmtId="0" fontId="0" fillId="0" borderId="0" xfId="0" applyAlignment="1">
      <alignment horizontal="left"/>
    </xf>
    <xf numFmtId="4" fontId="0" fillId="0" borderId="0" xfId="0" applyNumberFormat="1" applyAlignment="1">
      <alignment horizontal="center"/>
    </xf>
    <xf numFmtId="4" fontId="0" fillId="0" borderId="0" xfId="0" pivotButton="1" applyNumberForma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pivotButton="1" applyNumberFormat="1" applyAlignment="1">
      <alignment horizontal="center"/>
    </xf>
    <xf numFmtId="0" fontId="16" fillId="0" borderId="0" xfId="0" applyFont="1" applyAlignment="1">
      <alignment horizontal="left"/>
    </xf>
    <xf numFmtId="0" fontId="16" fillId="33" borderId="21" xfId="436" applyFont="1" applyFill="1" applyBorder="1" applyAlignment="1">
      <alignment horizontal="center"/>
    </xf>
    <xf numFmtId="0" fontId="54" fillId="33" borderId="21" xfId="436" applyFont="1" applyFill="1" applyBorder="1" applyAlignment="1">
      <alignment horizontal="left"/>
    </xf>
    <xf numFmtId="164" fontId="0" fillId="60" borderId="0" xfId="0" applyNumberFormat="1" applyFill="1" applyAlignment="1">
      <alignment horizontal="center"/>
    </xf>
    <xf numFmtId="0" fontId="0" fillId="60" borderId="0" xfId="0" applyFill="1" applyAlignment="1">
      <alignment horizontal="center"/>
    </xf>
    <xf numFmtId="0" fontId="0" fillId="0" borderId="10" xfId="0" applyBorder="1" applyAlignment="1">
      <alignment horizontal="center"/>
    </xf>
    <xf numFmtId="0" fontId="16" fillId="0" borderId="10" xfId="0" applyFont="1" applyBorder="1" applyAlignment="1">
      <alignment horizontal="center"/>
    </xf>
  </cellXfs>
  <cellStyles count="437">
    <cellStyle name="_Capex BP 2009-2013" xfId="62" xr:uid="{03442CC4-4776-41B7-9C37-2F4645B2AC63}"/>
    <cellStyle name="_Model Datails" xfId="63" xr:uid="{540F1FBB-EFAF-4E25-8052-3790AED42435}"/>
    <cellStyle name="_Revenue Model Draft v17" xfId="64" xr:uid="{6F1015FF-8C23-47D6-BB46-F796F371FBB3}"/>
    <cellStyle name="=C:\WINNT\SYSTEM32\COMMAND.COM" xfId="65" xr:uid="{FC7C8FFD-8DC8-4370-BF9B-152113751ABE}"/>
    <cellStyle name="=C:\WINNT\SYSTEM32\COMMAND.COM 2" xfId="66" xr:uid="{07E94C5B-3AF9-4A33-BD76-EA69C1D97663}"/>
    <cellStyle name="0,0_x000d__x000a_NA_x000d__x000a_" xfId="47" xr:uid="{A42260D8-26AB-478A-9D26-1E80535BEF6B}"/>
    <cellStyle name="20% - Énfasis1" xfId="19" builtinId="30" customBuiltin="1"/>
    <cellStyle name="20% - Énfasis1 2" xfId="67" xr:uid="{4E45074B-76F1-46AF-A9D5-4F602CC2A827}"/>
    <cellStyle name="20% - Énfasis2" xfId="23" builtinId="34" customBuiltin="1"/>
    <cellStyle name="20% - Énfasis2 2" xfId="68" xr:uid="{54B094AE-1610-4440-B79F-B9C53F0E0FBF}"/>
    <cellStyle name="20% - Énfasis3" xfId="27" builtinId="38" customBuiltin="1"/>
    <cellStyle name="20% - Énfasis3 2" xfId="69" xr:uid="{7F0B77DF-0BE2-4F27-9BEE-0A63DBF37011}"/>
    <cellStyle name="20% - Énfasis4" xfId="31" builtinId="42" customBuiltin="1"/>
    <cellStyle name="20% - Énfasis4 2" xfId="70" xr:uid="{C9D403D4-DAF3-4408-8E3A-59BFB9054EA2}"/>
    <cellStyle name="20% - Énfasis5" xfId="35" builtinId="46" customBuiltin="1"/>
    <cellStyle name="20% - Énfasis5 2" xfId="71" xr:uid="{71EA178A-5AEE-4167-BF3C-CE69D890ABEB}"/>
    <cellStyle name="20% - Énfasis6" xfId="39" builtinId="50" customBuiltin="1"/>
    <cellStyle name="20% - Énfasis6 2" xfId="72" xr:uid="{9B5346C8-E6DA-4A5D-9607-07EE47F7D796}"/>
    <cellStyle name="40% - Énfasis1" xfId="20" builtinId="31" customBuiltin="1"/>
    <cellStyle name="40% - Énfasis1 2" xfId="73" xr:uid="{5DA8246F-EC28-4241-8E17-3718C12F7038}"/>
    <cellStyle name="40% - Énfasis2" xfId="24" builtinId="35" customBuiltin="1"/>
    <cellStyle name="40% - Énfasis2 2" xfId="74" xr:uid="{20A13354-42C8-4CA8-97E7-DB8D78FAFEDC}"/>
    <cellStyle name="40% - Énfasis3" xfId="28" builtinId="39" customBuiltin="1"/>
    <cellStyle name="40% - Énfasis3 2" xfId="75" xr:uid="{6835F2A2-27BC-41AA-B4CC-08E384D835A8}"/>
    <cellStyle name="40% - Énfasis4" xfId="32" builtinId="43" customBuiltin="1"/>
    <cellStyle name="40% - Énfasis4 2" xfId="76" xr:uid="{F09D4E13-AFA5-430D-9E07-7230AABA831D}"/>
    <cellStyle name="40% - Énfasis5" xfId="36" builtinId="47" customBuiltin="1"/>
    <cellStyle name="40% - Énfasis5 2" xfId="77" xr:uid="{7317CAA9-222E-455F-BCBE-347B892F4740}"/>
    <cellStyle name="40% - Énfasis6" xfId="40" builtinId="51" customBuiltin="1"/>
    <cellStyle name="40% - Énfasis6 2" xfId="78" xr:uid="{80B91511-E3A7-4635-A4FF-B08753F6F304}"/>
    <cellStyle name="60% - Énfasis1" xfId="21" builtinId="32" customBuiltin="1"/>
    <cellStyle name="60% - Énfasis1 2" xfId="79" xr:uid="{C4620591-291E-47F8-AA59-FA70D4702BBC}"/>
    <cellStyle name="60% - Énfasis1 3" xfId="369" xr:uid="{3AB106C4-24D9-459A-BC03-6CD4552DB17E}"/>
    <cellStyle name="60% - Énfasis2" xfId="25" builtinId="36" customBuiltin="1"/>
    <cellStyle name="60% - Énfasis2 2" xfId="80" xr:uid="{B3CCB36B-4AC9-4C1C-8A05-D3BCB380441F}"/>
    <cellStyle name="60% - Énfasis2 3" xfId="370" xr:uid="{32C8DF16-A8F1-4C14-9E9E-95C25D1FE08B}"/>
    <cellStyle name="60% - Énfasis3" xfId="29" builtinId="40" customBuiltin="1"/>
    <cellStyle name="60% - Énfasis3 2" xfId="81" xr:uid="{B7FC4A9F-EC11-459D-A601-87218D2A069E}"/>
    <cellStyle name="60% - Énfasis3 3" xfId="371" xr:uid="{CDD2736D-3A9F-47A8-9313-24C81BF7AFBD}"/>
    <cellStyle name="60% - Énfasis4" xfId="33" builtinId="44" customBuiltin="1"/>
    <cellStyle name="60% - Énfasis4 2" xfId="82" xr:uid="{18BAD4F2-2920-464D-AD78-9A14E35CF464}"/>
    <cellStyle name="60% - Énfasis4 3" xfId="372" xr:uid="{4BC19D32-73ED-483C-B1C1-313F4F987989}"/>
    <cellStyle name="60% - Énfasis5" xfId="37" builtinId="48" customBuiltin="1"/>
    <cellStyle name="60% - Énfasis5 2" xfId="83" xr:uid="{5C51C13B-ED4E-4CAA-AD82-C7A5A210D5B5}"/>
    <cellStyle name="60% - Énfasis5 3" xfId="373" xr:uid="{3876E56A-03C2-4984-AFE6-A929EEFB6A28}"/>
    <cellStyle name="60% - Énfasis6" xfId="41" builtinId="52" customBuiltin="1"/>
    <cellStyle name="60% - Énfasis6 2" xfId="84" xr:uid="{CF125425-E466-4797-BDF2-CAF11CE8FFC6}"/>
    <cellStyle name="60% - Énfasis6 3" xfId="374" xr:uid="{4E8CB3B4-DE0A-43DF-B44D-B08553929089}"/>
    <cellStyle name="A3 297 x 420 mm" xfId="48" xr:uid="{92CB58F6-D41A-4BB6-B70D-048C71211654}"/>
    <cellStyle name="A3 297 x 420 mm 10" xfId="43" xr:uid="{D4AD7976-C3D6-4EAB-8AF4-F4C853923218}"/>
    <cellStyle name="A3 297 x 420 mm 2" xfId="49" xr:uid="{4E784BD3-BE43-4772-BAE2-F9E39F7B30A0}"/>
    <cellStyle name="A3 297 x 420 mm 3" xfId="50" xr:uid="{42D6F090-370A-468C-A779-AC0C9203E5E0}"/>
    <cellStyle name="A3 297 x 420 mm 4" xfId="51" xr:uid="{6BCB7551-DCE7-472E-818C-CB1EDC75B6FD}"/>
    <cellStyle name="A3 297 x 420 mm 5" xfId="142" xr:uid="{EB07FF63-CBC4-48C6-B3B5-C8AA43CD5BB0}"/>
    <cellStyle name="A3 297 x 420 mm 6" xfId="191" xr:uid="{F3FAF585-51FE-4960-8A67-5B5AB72C104D}"/>
    <cellStyle name="A3 297 x 420 mm_ASIGNACIÓN Dx" xfId="166" xr:uid="{42878487-5530-4A09-8008-2AA771FC2E92}"/>
    <cellStyle name="Buena 2" xfId="85" xr:uid="{F17EFB08-4134-4EB9-9F22-88C87866B168}"/>
    <cellStyle name="Bueno" xfId="6" builtinId="26" customBuiltin="1"/>
    <cellStyle name="Cálculo" xfId="11" builtinId="22" customBuiltin="1"/>
    <cellStyle name="Cálculo 2" xfId="86" xr:uid="{38F0E389-A0A8-405E-954B-7188004ED720}"/>
    <cellStyle name="Cálculo 2 2" xfId="271" xr:uid="{50E65CE2-4BCB-48BB-B626-7DBACF4B7A8E}"/>
    <cellStyle name="Cálculo 2 2 2" xfId="356" xr:uid="{1B2518A7-2DBB-4671-B480-74A22A2C307F}"/>
    <cellStyle name="Cálculo 2 3" xfId="209" xr:uid="{295635EB-B7F8-48B7-BF28-B3AA965FE065}"/>
    <cellStyle name="Cálculo 2 3 2" xfId="350" xr:uid="{54231364-6721-4F3D-A7E7-5CE9FAC54DA0}"/>
    <cellStyle name="Cálculo 2 4" xfId="344" xr:uid="{3261EDF9-6A01-4247-860E-D63A299E2F9E}"/>
    <cellStyle name="Celda de comprobación" xfId="13" builtinId="23" customBuiltin="1"/>
    <cellStyle name="Celda de comprobación 2" xfId="87" xr:uid="{E3436BD7-722D-4BE3-AFC4-CE869585D9C8}"/>
    <cellStyle name="Celda vinculada" xfId="12" builtinId="24" customBuiltin="1"/>
    <cellStyle name="Celda vinculada 2" xfId="88" xr:uid="{139E3FEA-0544-4A2C-85F7-DAFE42F9CE2E}"/>
    <cellStyle name="Encabezado 1" xfId="2" builtinId="16" customBuiltin="1"/>
    <cellStyle name="Encabezado 4" xfId="5" builtinId="19" customBuiltin="1"/>
    <cellStyle name="Encabezado 4 2" xfId="89" xr:uid="{3231F46D-1059-4941-A6DC-9E8DACA2D0FF}"/>
    <cellStyle name="Énfasis1" xfId="18" builtinId="29" customBuiltin="1"/>
    <cellStyle name="Énfasis1 2" xfId="90" xr:uid="{7B416F25-E4F3-44C0-A7C6-3C091C44918C}"/>
    <cellStyle name="Énfasis2" xfId="22" builtinId="33" customBuiltin="1"/>
    <cellStyle name="Énfasis2 2" xfId="91" xr:uid="{BB30416E-4801-43B2-A32A-38A3CB263026}"/>
    <cellStyle name="Énfasis3" xfId="26" builtinId="37" customBuiltin="1"/>
    <cellStyle name="Énfasis3 2" xfId="92" xr:uid="{780624ED-243B-4911-B89C-2CAC3A4CD1A8}"/>
    <cellStyle name="Énfasis4" xfId="30" builtinId="41" customBuiltin="1"/>
    <cellStyle name="Énfasis4 2" xfId="93" xr:uid="{CFC515FF-45B6-4ED4-B63A-08CB56751BAB}"/>
    <cellStyle name="Énfasis5" xfId="34" builtinId="45" customBuiltin="1"/>
    <cellStyle name="Énfasis5 2" xfId="94" xr:uid="{60993F9C-314D-462A-A5D6-E6EE65275BB2}"/>
    <cellStyle name="Énfasis6" xfId="38" builtinId="49" customBuiltin="1"/>
    <cellStyle name="Énfasis6 2" xfId="95" xr:uid="{01B2892B-AA99-4C24-9E54-184053857F06}"/>
    <cellStyle name="Entrada" xfId="9" builtinId="20" customBuiltin="1"/>
    <cellStyle name="Entrada 2" xfId="96" xr:uid="{D1CBC4B3-A195-4F45-969B-9F009C67A3AD}"/>
    <cellStyle name="Entrada 2 2" xfId="272" xr:uid="{4399B282-4BA9-4EB0-B929-6D6EDDA07021}"/>
    <cellStyle name="Entrada 2 2 2" xfId="357" xr:uid="{3BAA0ED0-FC27-4C99-8A54-A5941E311AD7}"/>
    <cellStyle name="Entrada 2 3" xfId="210" xr:uid="{95ECBF60-B599-4C76-809E-1AF5F2FABFBD}"/>
    <cellStyle name="Entrada 2 3 2" xfId="351" xr:uid="{C56EAD7A-5E92-4990-908F-035C711A3ECE}"/>
    <cellStyle name="Entrada 2 4" xfId="345" xr:uid="{1906D114-5C7D-4496-A4B7-29319C85DFCD}"/>
    <cellStyle name="Estilo 1" xfId="97" xr:uid="{80A6B3D5-3CAA-4376-B0D3-C91FBA02C7AD}"/>
    <cellStyle name="Estilo 1 2" xfId="98" xr:uid="{EE188A35-019C-4805-A76D-7D98D1DA0839}"/>
    <cellStyle name="Estilo 1 3" xfId="99" xr:uid="{B18607EB-8563-4340-8736-CEA6AC8FFFAF}"/>
    <cellStyle name="Euro" xfId="52" xr:uid="{FDB093C4-F818-46CA-87AF-AB99AD768C35}"/>
    <cellStyle name="Euro 2" xfId="144" xr:uid="{E605760E-73E7-4714-9E31-2EC8FB400163}"/>
    <cellStyle name="Euro_PRORRATAS ADICIONALES" xfId="100" xr:uid="{8DE4E889-0334-4315-86F1-D3A1420D9CEC}"/>
    <cellStyle name="Hipervínculo 2" xfId="101" xr:uid="{8026CBBC-A8E9-40AC-B45B-1461DDB806F8}"/>
    <cellStyle name="Hipervínculo 2 2" xfId="102" xr:uid="{BB50E354-2913-4036-81C8-53A6C7354E0D}"/>
    <cellStyle name="Hipervínculo 3" xfId="103" xr:uid="{7F37220D-8CCE-4BBF-8313-2586F1309692}"/>
    <cellStyle name="Hipervínculo 4" xfId="329" xr:uid="{F229B5EB-172D-47DA-9863-9568284362A9}"/>
    <cellStyle name="Incorrecto" xfId="7" builtinId="27" customBuiltin="1"/>
    <cellStyle name="Incorrecto 2" xfId="104" xr:uid="{A9255240-868F-4917-A41A-066F7CEE9DF8}"/>
    <cellStyle name="Millares [0] 2" xfId="168" xr:uid="{23DCB383-2097-48F6-82A9-CAEF590DADF9}"/>
    <cellStyle name="Millares [0] 3" xfId="266" xr:uid="{172F1DCA-3CC4-4651-A842-49EFE5EA71CE}"/>
    <cellStyle name="Millares [0] 4" xfId="366" xr:uid="{F6C4AE7B-F87B-47E4-94A5-4A43E0842EA6}"/>
    <cellStyle name="Millares [0] 5" xfId="45" xr:uid="{31C0FA6C-5E63-4740-AF40-BB3BC2A71644}"/>
    <cellStyle name="Millares 10" xfId="181" xr:uid="{B9CD09E5-ED20-432F-8EA1-6DE8F352E3AA}"/>
    <cellStyle name="Millares 10 2" xfId="388" xr:uid="{F864DD00-FD6C-4EFC-8B03-6D14F1B2FB53}"/>
    <cellStyle name="Millares 11" xfId="189" xr:uid="{478321FC-5EB8-4AFB-AB4F-CDF9A16CE7BE}"/>
    <cellStyle name="Millares 11 2" xfId="311" xr:uid="{6F835F40-3735-441F-9541-A083CD9A167F}"/>
    <cellStyle name="Millares 11 2 2" xfId="421" xr:uid="{8D9D520A-4CE2-4A53-B639-C1D138A95154}"/>
    <cellStyle name="Millares 11 3" xfId="243" xr:uid="{B79C0E5B-C04A-4785-A2BF-75101C0FD68C}"/>
    <cellStyle name="Millares 11 3 2" xfId="406" xr:uid="{A931F15B-F69A-42F2-A88C-D930CEC2AD4D}"/>
    <cellStyle name="Millares 11 4" xfId="391" xr:uid="{C933272C-8CEC-46FC-8163-E43A43D274BC}"/>
    <cellStyle name="Millares 12" xfId="192" xr:uid="{8019941E-A74F-401A-B563-30BD4C1EDBB2}"/>
    <cellStyle name="Millares 12 2" xfId="313" xr:uid="{29BD62D7-F5C3-43F8-87FB-00A7EF917728}"/>
    <cellStyle name="Millares 12 2 2" xfId="422" xr:uid="{5BC91AFA-B3B0-4542-860A-BECF4E2E2596}"/>
    <cellStyle name="Millares 12 3" xfId="244" xr:uid="{92F91673-AD23-4C7B-BADB-3A6C288805A8}"/>
    <cellStyle name="Millares 12 3 2" xfId="407" xr:uid="{131A49F8-82F2-4ABB-AFD9-EADA786AFD6A}"/>
    <cellStyle name="Millares 12 4" xfId="392" xr:uid="{B8666533-E2FD-443E-B040-4A492EC89C3D}"/>
    <cellStyle name="Millares 13" xfId="193" xr:uid="{C6C04D78-B28B-4BA8-A922-A0108759008C}"/>
    <cellStyle name="Millares 13 2" xfId="314" xr:uid="{BB0DA03F-C229-469E-B5E8-EC43FB93A71E}"/>
    <cellStyle name="Millares 13 2 2" xfId="423" xr:uid="{21060CE8-7792-4351-9303-81AA4485909C}"/>
    <cellStyle name="Millares 13 3" xfId="245" xr:uid="{43027A9F-188A-49F0-B58F-8FD07ED709B6}"/>
    <cellStyle name="Millares 13 3 2" xfId="408" xr:uid="{578778B5-74DE-4B50-BF1C-4406EC0CF54B}"/>
    <cellStyle name="Millares 13 4" xfId="393" xr:uid="{45F782EB-09E8-4A33-8EAF-792B93FC3145}"/>
    <cellStyle name="Millares 14" xfId="194" xr:uid="{D4161E6E-2562-416F-B46D-C9834048EE6F}"/>
    <cellStyle name="Millares 14 2" xfId="315" xr:uid="{727775BE-481E-4208-9D5F-963699A8A133}"/>
    <cellStyle name="Millares 14 2 2" xfId="424" xr:uid="{0778D6B3-2734-49D1-A5F2-E532063C0226}"/>
    <cellStyle name="Millares 14 3" xfId="246" xr:uid="{FAB6943A-BF75-430D-9465-AD9EAA5BCF1B}"/>
    <cellStyle name="Millares 14 3 2" xfId="409" xr:uid="{F316C1C1-AB76-476B-8BB6-F2E08912A849}"/>
    <cellStyle name="Millares 14 4" xfId="394" xr:uid="{787596D1-38F2-4EF9-A708-E3CF9518ED5D}"/>
    <cellStyle name="Millares 15" xfId="195" xr:uid="{75090CE0-D3BE-4DA7-AD17-F4E12C99788B}"/>
    <cellStyle name="Millares 15 2" xfId="316" xr:uid="{26D83435-D6C4-4CB0-9BCB-A68B763E5D3C}"/>
    <cellStyle name="Millares 15 2 2" xfId="425" xr:uid="{0C909A5A-8CCC-4FD5-82C6-126A3C5BCB49}"/>
    <cellStyle name="Millares 15 3" xfId="247" xr:uid="{C0740B9D-D81A-4FCB-B2D5-E9F2BEF1B034}"/>
    <cellStyle name="Millares 15 3 2" xfId="410" xr:uid="{9F94706E-40AE-4D43-B3CB-98F692517B7F}"/>
    <cellStyle name="Millares 15 4" xfId="395" xr:uid="{8597EE33-7E8C-433A-93CA-0CEE415B6AFF}"/>
    <cellStyle name="Millares 16" xfId="196" xr:uid="{AC262622-AC1C-44CF-B99B-C5480E02042A}"/>
    <cellStyle name="Millares 16 2" xfId="317" xr:uid="{931739DB-DE48-42C1-9D3B-E068E551680B}"/>
    <cellStyle name="Millares 16 2 2" xfId="426" xr:uid="{A6F11EBE-6213-405C-A20E-CE1D8D9CDA69}"/>
    <cellStyle name="Millares 16 3" xfId="248" xr:uid="{EF582E95-AB93-4A56-A89A-97CAB6FD1ACA}"/>
    <cellStyle name="Millares 16 3 2" xfId="411" xr:uid="{B2716C9B-CE95-43DE-808D-7C3E84081796}"/>
    <cellStyle name="Millares 16 4" xfId="396" xr:uid="{1CCF722C-6DDC-45A6-951B-7AFAFA594B8A}"/>
    <cellStyle name="Millares 17" xfId="198" xr:uid="{EA4A4866-A56E-4EBD-A9FD-AB67A3004F66}"/>
    <cellStyle name="Millares 17 2" xfId="319" xr:uid="{B7010039-DA17-4CAC-8468-0550553F23EB}"/>
    <cellStyle name="Millares 17 2 2" xfId="428" xr:uid="{C2EBE261-4607-48C5-8461-EB9091D2A695}"/>
    <cellStyle name="Millares 17 3" xfId="250" xr:uid="{8EB3E146-F908-4BF4-B62A-BB4AF5F0CCF6}"/>
    <cellStyle name="Millares 17 3 2" xfId="413" xr:uid="{009C86F0-4946-4F06-BB08-4F8F6C391463}"/>
    <cellStyle name="Millares 17 4" xfId="398" xr:uid="{D796CBB2-4536-4B3F-B71C-4C51843B05EA}"/>
    <cellStyle name="Millares 18" xfId="199" xr:uid="{716CE859-4A78-4C60-817A-0C8A0CBBC60E}"/>
    <cellStyle name="Millares 18 2" xfId="320" xr:uid="{0E7F3EE6-DD20-4CDB-B8A8-CB6825CAB5A8}"/>
    <cellStyle name="Millares 18 2 2" xfId="429" xr:uid="{B30BD499-5925-4D35-8C56-D55C90C3B61D}"/>
    <cellStyle name="Millares 18 3" xfId="251" xr:uid="{656FB8AF-79F1-484C-BA9A-B5B09978E4EB}"/>
    <cellStyle name="Millares 18 3 2" xfId="414" xr:uid="{B0C7ED14-1079-4BB0-AA4D-5D34BEE5FB1E}"/>
    <cellStyle name="Millares 18 4" xfId="399" xr:uid="{C0E60547-CCF0-4408-AC60-0D94225B4524}"/>
    <cellStyle name="Millares 19" xfId="197" xr:uid="{712472BC-7E73-4A51-9D16-8655E0451E66}"/>
    <cellStyle name="Millares 19 2" xfId="318" xr:uid="{477D5AFB-10A4-451E-A1EA-E7F76E519CC9}"/>
    <cellStyle name="Millares 19 2 2" xfId="427" xr:uid="{E291D1FA-FB0D-4B7A-A162-F3506542E363}"/>
    <cellStyle name="Millares 19 3" xfId="249" xr:uid="{CA18AF60-1412-456E-88AC-5C91BAE9CBAC}"/>
    <cellStyle name="Millares 19 3 2" xfId="412" xr:uid="{40C4014C-78B7-45EA-9F81-97D0F1194784}"/>
    <cellStyle name="Millares 19 4" xfId="397" xr:uid="{34EA5D8D-7D8F-4887-ACCF-C7F8F2287027}"/>
    <cellStyle name="Millares 2" xfId="105" xr:uid="{D9EAC67F-77C1-4F44-A821-6F8631B981D1}"/>
    <cellStyle name="Millares 2 2" xfId="158" xr:uid="{FF625EE6-6C0D-4889-BE3F-C06E621BDB5B}"/>
    <cellStyle name="Millares 2 2 2" xfId="174" xr:uid="{B9DEC54E-F274-427C-B3AA-2054767091E9}"/>
    <cellStyle name="Millares 2 2 2 2" xfId="302" xr:uid="{54BA1110-FFA9-4B5E-84DF-ED3132AF9646}"/>
    <cellStyle name="Millares 2 2 2 2 2" xfId="420" xr:uid="{61037C98-DED6-4489-908E-1C118B9618F7}"/>
    <cellStyle name="Millares 2 2 2 3" xfId="235" xr:uid="{F75599EA-3DC7-4E55-B017-4D6DF96ACDAD}"/>
    <cellStyle name="Millares 2 2 2 3 2" xfId="405" xr:uid="{6F19DA42-0D1C-4063-A934-39D5ED120055}"/>
    <cellStyle name="Millares 2 2 2 4" xfId="384" xr:uid="{3332E6DE-010A-4C21-8C73-3DB2510F0F2D}"/>
    <cellStyle name="Millares 2 2 3" xfId="381" xr:uid="{2B9717B8-980D-4756-813C-7249DE10A2FA}"/>
    <cellStyle name="Millares 2 3" xfId="185" xr:uid="{35D52059-8931-4FB1-9262-6E48C685AB5C}"/>
    <cellStyle name="Millares 2 3 2" xfId="330" xr:uid="{13516F09-4659-43EE-A623-894371F1F592}"/>
    <cellStyle name="Millares 2 3 2 2" xfId="432" xr:uid="{F70C3108-2EE0-4283-BC71-CB873AC29D15}"/>
    <cellStyle name="Millares 2 3 3" xfId="274" xr:uid="{6992E2DA-872E-4ADF-AEB4-E88C6B037C24}"/>
    <cellStyle name="Millares 2 3 3 2" xfId="417" xr:uid="{FACA7EBD-892C-443B-98D2-59A4B4D135C8}"/>
    <cellStyle name="Millares 2 3 4" xfId="390" xr:uid="{A08D87BA-D51B-4A46-AAA7-9F57988174B3}"/>
    <cellStyle name="Millares 2 4" xfId="376" xr:uid="{48AE50C8-1C62-4F97-B474-7B95FF66B4EF}"/>
    <cellStyle name="Millares 2_PRORRATAS ADICIONALES" xfId="162" xr:uid="{D17A0366-C67E-4971-B63D-CC38D2A601ED}"/>
    <cellStyle name="Millares 20" xfId="200" xr:uid="{4DEA741D-CB8A-4E61-BA30-D75196226F6E}"/>
    <cellStyle name="Millares 20 2" xfId="321" xr:uid="{68E46976-1780-430D-84A6-124302A6AD97}"/>
    <cellStyle name="Millares 20 2 2" xfId="430" xr:uid="{FF051794-9522-4E9C-9CA3-66936C562D6F}"/>
    <cellStyle name="Millares 20 3" xfId="252" xr:uid="{BB0BEBA1-E12D-4B6E-91AB-7AC99B45CC4F}"/>
    <cellStyle name="Millares 20 3 2" xfId="415" xr:uid="{C3B0F91A-6D15-4355-8C24-D1C782519F5B}"/>
    <cellStyle name="Millares 20 4" xfId="400" xr:uid="{97783E3B-7E46-431F-AA85-8F6FABA7A6DE}"/>
    <cellStyle name="Millares 21" xfId="201" xr:uid="{81C8B30C-F0A0-48EB-B4B2-65380FD44E83}"/>
    <cellStyle name="Millares 21 2" xfId="322" xr:uid="{F5A44FEE-7081-4E58-92E3-C1FB3EB2D73A}"/>
    <cellStyle name="Millares 21 2 2" xfId="431" xr:uid="{D9AD8155-847B-4A11-9CFE-F965E0D00746}"/>
    <cellStyle name="Millares 21 3" xfId="253" xr:uid="{D01914B8-BDA5-4C67-B80B-D55D5289C837}"/>
    <cellStyle name="Millares 21 3 2" xfId="416" xr:uid="{759C021C-C7C6-4A2E-9FAE-DF77A8284C1C}"/>
    <cellStyle name="Millares 21 4" xfId="401" xr:uid="{593EBF18-58BD-40E8-8F9C-A815CC13FF76}"/>
    <cellStyle name="Millares 22" xfId="275" xr:uid="{163387CC-3157-4CEB-9718-DA37D62BD7F2}"/>
    <cellStyle name="Millares 23" xfId="270" xr:uid="{3EAA8F75-EBE1-408E-80B5-F4743E6E56C1}"/>
    <cellStyle name="Millares 24" xfId="328" xr:uid="{A4474DE3-4EB9-417F-A139-5F4EB6B30BA5}"/>
    <cellStyle name="Millares 3" xfId="106" xr:uid="{D94CE3FC-6E41-44BF-A4BB-417343170A51}"/>
    <cellStyle name="Millares 3 2" xfId="167" xr:uid="{C7C33144-5EF5-4EF3-8E56-DB2A2D2B9B70}"/>
    <cellStyle name="Millares 3 2 2" xfId="383" xr:uid="{D9732D89-C788-4E51-BFE7-DB37C0E9E11E}"/>
    <cellStyle name="Millares 3 3" xfId="377" xr:uid="{7AA81212-9FDE-4060-8403-2BE2F6D92BB9}"/>
    <cellStyle name="Millares 4" xfId="107" xr:uid="{72E5F15A-3D13-41DE-AB21-878724E7C21E}"/>
    <cellStyle name="Millares 4 2" xfId="378" xr:uid="{B42FF559-AB12-4463-A834-50D4B5F1611D}"/>
    <cellStyle name="Millares 5" xfId="108" xr:uid="{3F8FE295-5059-48BA-BBCD-BB682C8468A0}"/>
    <cellStyle name="Millares 5 2" xfId="379" xr:uid="{E2D5C4C7-D2F8-4FA5-83EF-DBFB31C0B4C6}"/>
    <cellStyle name="Millares 6" xfId="152" xr:uid="{00F7411D-17DE-4F87-B32B-8DDEE373BE20}"/>
    <cellStyle name="Millares 6 2" xfId="179" xr:uid="{0E36D568-327C-41CE-99FF-FD45F9A96286}"/>
    <cellStyle name="Millares 6 2 2" xfId="386" xr:uid="{9679713C-8872-42BF-A4D9-92B278A0E37C}"/>
    <cellStyle name="Millares 6 3" xfId="288" xr:uid="{EEF84D4A-D255-4C45-B128-321F9BD43408}"/>
    <cellStyle name="Millares 6 3 2" xfId="418" xr:uid="{4D96DF4C-6D43-4892-8690-D01342FCB961}"/>
    <cellStyle name="Millares 6 4" xfId="221" xr:uid="{8C28CD38-B60D-414D-8954-DFF5A5861F88}"/>
    <cellStyle name="Millares 6 4 2" xfId="403" xr:uid="{29ED3BA6-46C0-4970-989A-04DE4E992C45}"/>
    <cellStyle name="Millares 6 5" xfId="380" xr:uid="{EBDC004E-7034-4FDD-96F7-4405B6A5E333}"/>
    <cellStyle name="Millares 7" xfId="161" xr:uid="{4AB4A5C1-CB6D-431B-AED3-93BF5DB8044D}"/>
    <cellStyle name="Millares 7 2" xfId="178" xr:uid="{5F6EB9A7-DBA4-4A8B-9252-BD9C670659C5}"/>
    <cellStyle name="Millares 7 2 2" xfId="385" xr:uid="{2F5479A9-436B-4E29-B38C-B2DE39030C0D}"/>
    <cellStyle name="Millares 7 3" xfId="296" xr:uid="{FA912BCB-D5C2-481C-9A95-D2D5B67D1553}"/>
    <cellStyle name="Millares 7 3 2" xfId="419" xr:uid="{C855B93F-688C-4704-BC1F-920A9401FCC4}"/>
    <cellStyle name="Millares 7 4" xfId="229" xr:uid="{EBFBFDAC-6325-4686-8FFB-0C8D575E56B9}"/>
    <cellStyle name="Millares 7 4 2" xfId="404" xr:uid="{01E29B16-7A16-40D0-90CE-C64C37CFC480}"/>
    <cellStyle name="Millares 7 5" xfId="382" xr:uid="{953AC083-6B94-4D60-A1F1-DE3F8094573C}"/>
    <cellStyle name="Millares 8" xfId="180" xr:uid="{45E9B47B-642F-4113-9260-109414D64851}"/>
    <cellStyle name="Millares 8 2" xfId="387" xr:uid="{F6954417-1361-4459-81B3-DACA2F8D43CB}"/>
    <cellStyle name="Millares 9" xfId="182" xr:uid="{A77C445E-B4F3-454C-AF35-12FBF798EBB4}"/>
    <cellStyle name="Millares 9 2" xfId="389" xr:uid="{319F5330-AACF-46ED-B312-07C9925008C5}"/>
    <cellStyle name="Milliers_GAAP Reporting Template ETC Holdings - Sep 30, 2006 v16" xfId="109" xr:uid="{E7304544-64EB-4471-A0BF-6966A612094D}"/>
    <cellStyle name="Moneda [0] 2" xfId="341" xr:uid="{B1A7D194-B46F-4089-883E-A1AE85F2101E}"/>
    <cellStyle name="Moneda [0] 2 2" xfId="433" xr:uid="{A29DC112-EE7D-4DB0-A4F7-07BDEB0F0AA1}"/>
    <cellStyle name="Moneda [0] 3" xfId="365" xr:uid="{3C5B3A31-4618-4521-90FD-9398D3725E1F}"/>
    <cellStyle name="Moneda [0] 4" xfId="44" xr:uid="{8A893E7B-ADE5-4D7B-A997-EDF353DD23FA}"/>
    <cellStyle name="Neutral" xfId="8" builtinId="28" customBuiltin="1"/>
    <cellStyle name="Neutral 2" xfId="110" xr:uid="{9645EE0C-A32F-49A5-B343-C97E4BD66AFD}"/>
    <cellStyle name="Neutral 3" xfId="368" xr:uid="{261EA7BB-EB8E-4398-BF44-ED3E55F18609}"/>
    <cellStyle name="No-definido" xfId="111" xr:uid="{CD14E7CE-6455-4EEF-A372-DB83AF4C9C90}"/>
    <cellStyle name="Normal" xfId="0" builtinId="0"/>
    <cellStyle name="Normal 10" xfId="151" xr:uid="{D80D3CAF-4AFE-4F3F-A380-13674C2D729D}"/>
    <cellStyle name="Normal 10 2" xfId="287" xr:uid="{E13D5468-94A7-4653-9F91-0D663FCF8D58}"/>
    <cellStyle name="Normal 10 2 2 2 2" xfId="435" xr:uid="{A3C6E3B2-A8F9-4A30-94D7-AEF2073648B7}"/>
    <cellStyle name="Normal 10 3" xfId="220" xr:uid="{E341C3D1-0C8F-42C9-B3FB-82D22E686620}"/>
    <cellStyle name="Normal 10 4" xfId="333" xr:uid="{9CE39AEF-1161-454F-BCFE-90BE07A20664}"/>
    <cellStyle name="Normal 11" xfId="154" xr:uid="{05A362E7-6BFC-4769-BC08-EB057A4C8C0C}"/>
    <cellStyle name="Normal 11 2" xfId="290" xr:uid="{425922E2-0D8A-4275-95A4-364AB99C5AA4}"/>
    <cellStyle name="Normal 11 3" xfId="223" xr:uid="{EA27663C-14A0-4838-AFE2-EDD2AED06D27}"/>
    <cellStyle name="Normal 12" xfId="163" xr:uid="{D0DF4A53-3BD2-472C-A26F-B5FAC9A7C285}"/>
    <cellStyle name="Normal 12 2" xfId="297" xr:uid="{10957DD2-BEB3-42FA-B501-77820C916243}"/>
    <cellStyle name="Normal 12 3" xfId="230" xr:uid="{D310A704-9A87-475C-A377-E89F484AED38}"/>
    <cellStyle name="Normal 13" xfId="165" xr:uid="{2B56B90C-C3AC-4BF6-8FA2-43790184226D}"/>
    <cellStyle name="Normal 13 2" xfId="299" xr:uid="{3E249CA5-E62E-4FC9-8F3D-663A66BBFB29}"/>
    <cellStyle name="Normal 13 3" xfId="232" xr:uid="{295DB10E-B6AE-47E6-A722-20C4394512EC}"/>
    <cellStyle name="Normal 14" xfId="183" xr:uid="{5BB5100D-D787-4FED-BF02-FC34CB0C03BF}"/>
    <cellStyle name="Normal 14 2" xfId="306" xr:uid="{B56C17B3-3E88-4919-A394-4FC0720C1994}"/>
    <cellStyle name="Normal 14 3" xfId="238" xr:uid="{5188C479-89AC-4E7D-8E1C-7C3EA00228A0}"/>
    <cellStyle name="Normal 15" xfId="188" xr:uid="{760DC5EA-B560-48AB-8641-A3FE4B8A54DA}"/>
    <cellStyle name="Normal 15 2" xfId="310" xr:uid="{C640573F-3475-477C-9526-162B4D13020C}"/>
    <cellStyle name="Normal 15 3" xfId="242" xr:uid="{18F56BF7-A91C-4235-9DD5-98EE94321E25}"/>
    <cellStyle name="Normal 16" xfId="202" xr:uid="{340AC022-A6A4-4B7A-A9D2-42A5192B8740}"/>
    <cellStyle name="Normal 16 2" xfId="323" xr:uid="{B709198B-9025-4D1D-AB88-7BA96AED59B8}"/>
    <cellStyle name="Normal 16 3" xfId="303" xr:uid="{302DA375-526F-4E9A-BEB5-B3FDCE017384}"/>
    <cellStyle name="Normal 16 4" xfId="254" xr:uid="{BA2BD408-228A-45A3-BAB5-9DB3663FA824}"/>
    <cellStyle name="Normal 17" xfId="204" xr:uid="{89C7EB22-778E-411E-9AAD-CAAC9B4E589D}"/>
    <cellStyle name="Normal 17 2" xfId="325" xr:uid="{599B02F5-AF57-40EA-A8A6-CBB3E9AAD2E9}"/>
    <cellStyle name="Normal 17 3" xfId="256" xr:uid="{2E6D1425-D065-4890-98D8-C8D9444B4449}"/>
    <cellStyle name="Normal 17 4" xfId="331" xr:uid="{E71FBC92-3909-4FAD-8AE3-0BBBD71D37C6}"/>
    <cellStyle name="Normal 18" xfId="206" xr:uid="{2A0DB8E9-4FBC-43AE-9B1B-36E81E16C756}"/>
    <cellStyle name="Normal 18 2" xfId="327" xr:uid="{0DEB275F-BE88-41F1-9877-6EC8700D17E7}"/>
    <cellStyle name="Normal 18 3" xfId="258" xr:uid="{302648A2-7015-4CA2-89F3-18FB3AFEA1F5}"/>
    <cellStyle name="Normal 19" xfId="261" xr:uid="{ECF0C325-3463-410B-B44D-C47E68D3C475}"/>
    <cellStyle name="Normal 2" xfId="53" xr:uid="{24452007-BE2A-49FF-A6F0-04329AF93CDE}"/>
    <cellStyle name="Normal 2 10" xfId="157" xr:uid="{BCE2D5ED-17C6-4D19-9D75-2DF6489262A7}"/>
    <cellStyle name="Normal 2 10 2" xfId="293" xr:uid="{67C07234-0164-4588-83A9-867BDAB6F9BD}"/>
    <cellStyle name="Normal 2 10 3" xfId="226" xr:uid="{E6190388-C9F1-430F-83BF-A81870454D4A}"/>
    <cellStyle name="Normal 2 11" xfId="186" xr:uid="{CDC0BBE0-AC59-4C26-A643-8B13B72B540C}"/>
    <cellStyle name="Normal 2 11 2" xfId="308" xr:uid="{E43EB461-EB37-4E0C-9847-2CFF34BD0B5E}"/>
    <cellStyle name="Normal 2 11 3" xfId="240" xr:uid="{DBF60B5B-D4ED-484B-8506-FC5E8EFF0F51}"/>
    <cellStyle name="Normal 2 2" xfId="54" xr:uid="{EA586309-2657-4AFD-B986-5C6BA1AC9848}"/>
    <cellStyle name="Normal 2 2 2" xfId="113" xr:uid="{40B495C5-6F68-4484-A7DF-9C98481C782A}"/>
    <cellStyle name="Normal 2 2 2 2" xfId="262" xr:uid="{017D002B-48A9-405C-823E-95E8E8633636}"/>
    <cellStyle name="Normal 2 2 2 3" xfId="284" xr:uid="{2FCF19F9-CDD0-4903-8C29-14214FBE023B}"/>
    <cellStyle name="Normal 2 2 3" xfId="146" xr:uid="{E47F86F2-33AF-4D7E-BBA2-08A810F55425}"/>
    <cellStyle name="Normal 2 2_PRORRATAS ADICIONALES" xfId="112" xr:uid="{1F3B147D-E870-413A-AE56-4C5F308D1ED9}"/>
    <cellStyle name="Normal 2 3" xfId="114" xr:uid="{A2CAC0ED-CF40-4407-9FC0-B9933D881896}"/>
    <cellStyle name="Normal 2 4" xfId="115" xr:uid="{CD10999F-6B49-4941-BE06-F69B4A5A086D}"/>
    <cellStyle name="Normal 2 5" xfId="116" xr:uid="{0EC1FFAF-CF65-4AB1-80D1-8DBA3666C117}"/>
    <cellStyle name="Normal 2 6" xfId="145" xr:uid="{000A75BB-D1CE-439A-90B6-1538BE342E66}"/>
    <cellStyle name="Normal 2 6 2" xfId="283" xr:uid="{2B7514DC-8BE2-4FAF-AC4E-0C482F11E2EB}"/>
    <cellStyle name="Normal 2 6 3" xfId="218" xr:uid="{B46556C4-7192-41FD-B89E-E4BB27ADF307}"/>
    <cellStyle name="Normal 2 7" xfId="143" xr:uid="{2BDDC267-241C-4534-A2E5-D486C95303BB}"/>
    <cellStyle name="Normal 2 7 2" xfId="282" xr:uid="{B75D49C7-C4D6-4018-970A-37A964A94FB3}"/>
    <cellStyle name="Normal 2 7 3" xfId="217" xr:uid="{036F99C3-3CEA-48E0-93E0-DB4820C54131}"/>
    <cellStyle name="Normal 2 8" xfId="159" xr:uid="{B3D404C5-9629-411F-AC28-207E8491290C}"/>
    <cellStyle name="Normal 2 8 2" xfId="294" xr:uid="{6EE7DCB1-FBB0-4306-8278-7737745A9441}"/>
    <cellStyle name="Normal 2 8 3" xfId="227" xr:uid="{71E60FA3-82EA-4938-810D-05533ED07BDB}"/>
    <cellStyle name="Normal 2 9" xfId="156" xr:uid="{AD44694B-F546-4964-8A89-C2F56955632E}"/>
    <cellStyle name="Normal 2 9 2" xfId="292" xr:uid="{6F1A31C5-ADF4-48C1-A197-F71EE9928A2B}"/>
    <cellStyle name="Normal 2 9 3" xfId="225" xr:uid="{178DD318-BB2C-4345-BC43-12740A4AE817}"/>
    <cellStyle name="Normal 2_ASIGNACIÓN Dx" xfId="175" xr:uid="{3103FB07-3CE6-40D4-855F-D6656A6F6506}"/>
    <cellStyle name="Normal 20" xfId="259" xr:uid="{AAE11ACB-D056-49E8-AE57-7F054CAAB3E6}"/>
    <cellStyle name="Normal 21" xfId="335" xr:uid="{D42F3AE4-9701-4E06-BC2E-CA8BB8CB5CE7}"/>
    <cellStyle name="Normal 22" xfId="337" xr:uid="{2735A4B9-701A-40F8-BB94-42DF20C382DF}"/>
    <cellStyle name="Normal 23" xfId="339" xr:uid="{0D68E76F-C346-4F5D-B4CB-11F5848C6ED9}"/>
    <cellStyle name="Normal 24" xfId="342" xr:uid="{BDEBE331-CCD5-415D-9C7B-D3F6830217A4}"/>
    <cellStyle name="Normal 25" xfId="46" xr:uid="{EBBD5243-6948-4A34-BC48-0210F7EB1237}"/>
    <cellStyle name="Normal 25 2" xfId="375" xr:uid="{F0B7F1E6-0A3A-489B-A691-A5496D5C3DED}"/>
    <cellStyle name="Normal 26" xfId="207" xr:uid="{D3E45571-746C-40E9-A0C1-ED537C4201E3}"/>
    <cellStyle name="Normal 26 2" xfId="402" xr:uid="{978715CA-8745-4C67-BCBD-36BDD1F363FD}"/>
    <cellStyle name="Normal 27" xfId="363" xr:uid="{30D6081C-98A1-4238-9A71-B3F0B8DE5DC5}"/>
    <cellStyle name="Normal 28" xfId="362" xr:uid="{33BF1C66-4F65-44CB-B00D-EACE99CC4416}"/>
    <cellStyle name="Normal 29" xfId="436" xr:uid="{97B65FAF-FECD-4D86-9C5B-187910D93376}"/>
    <cellStyle name="Normal 3" xfId="117" xr:uid="{3EE7FC6A-93A6-4E50-9878-D22FC79D6499}"/>
    <cellStyle name="Normal 3 17" xfId="176" xr:uid="{4ED4F490-1E88-4D9B-9BD3-84C5B9AD2351}"/>
    <cellStyle name="Normal 3 17 2" xfId="177" xr:uid="{B3017306-5DD8-4ED6-871D-EB17CF40EB2E}"/>
    <cellStyle name="Normal 3 17 2 2" xfId="305" xr:uid="{F0335563-12EA-4B06-87C8-730772187320}"/>
    <cellStyle name="Normal 3 17 2 3" xfId="237" xr:uid="{BAB12005-220F-4A83-B729-F0257A1AD87D}"/>
    <cellStyle name="Normal 3 17 3" xfId="304" xr:uid="{C33EA12B-ADAD-4501-B919-3F520701B15E}"/>
    <cellStyle name="Normal 3 17 4" xfId="236" xr:uid="{8B4BF788-311F-4E6C-81D6-1FF59C66F210}"/>
    <cellStyle name="Normal 3 2" xfId="55" xr:uid="{E1832C9F-4074-474B-94AE-415CF7F3DACA}"/>
    <cellStyle name="Normal 3 2 2" xfId="56" xr:uid="{C216D08C-7325-4CB9-B152-1AD650859EFD}"/>
    <cellStyle name="Normal 3 2 2 2" xfId="264" xr:uid="{82FCD9CA-2F4B-472D-827E-439D2B1D560B}"/>
    <cellStyle name="Normal 3 2 2 3" xfId="285" xr:uid="{F4BB34DF-382D-496E-8C84-6F7011E2BF82}"/>
    <cellStyle name="Normal 3 2 3" xfId="147" xr:uid="{79FB6E6D-CAA9-4C69-A278-060A95A1CD30}"/>
    <cellStyle name="Normal 3 2 3 2" xfId="265" xr:uid="{7F17D63D-EFB2-4181-8868-3F5CD0823FE2}"/>
    <cellStyle name="Normal 3 2_PRORRATAS ADICIONALES" xfId="118" xr:uid="{66F8A991-75AF-4F2B-B8B5-D8059245E48E}"/>
    <cellStyle name="Normal 3 3" xfId="57" xr:uid="{C7FD5AB2-C113-42BE-897C-A9E60B5B44CD}"/>
    <cellStyle name="Normal 3 3 2" xfId="148" xr:uid="{C191DC01-5656-4D86-BDCA-674DB0EB3D34}"/>
    <cellStyle name="Normal 3 3 3" xfId="263" xr:uid="{A6B5EFAC-CE43-4C07-ACEC-9658C917432B}"/>
    <cellStyle name="Normal 3 3 4" xfId="267" xr:uid="{9F029321-7880-4D10-8C47-2622FFBC686E}"/>
    <cellStyle name="Normal 3 3_PRORRATAS ADICIONALES" xfId="119" xr:uid="{3BD806C0-53E8-42D3-9061-8AF571B4206C}"/>
    <cellStyle name="Normal 3 4" xfId="58" xr:uid="{C66347C6-59ED-4AF2-B340-7C987142AA2A}"/>
    <cellStyle name="Normal 3 5" xfId="170" xr:uid="{BE2CC22A-6C39-4427-9E6C-2E8C7EA933FB}"/>
    <cellStyle name="Normal 3 5 2" xfId="300" xr:uid="{BB8BD0A5-86BB-4292-8953-4452855911AB}"/>
    <cellStyle name="Normal 3 5 3" xfId="233" xr:uid="{8BE7BC3C-440A-420C-B4E4-6F8EDFCB0714}"/>
    <cellStyle name="Normal 3_ASIGNACIÓN Dx" xfId="172" xr:uid="{BA71CAC0-009C-421B-A6B6-BE5019986402}"/>
    <cellStyle name="Normal 33" xfId="434" xr:uid="{3AC1AEFF-BFEB-42FE-AF21-2F4150F2E3EE}"/>
    <cellStyle name="Normal 4" xfId="120" xr:uid="{9551F26A-9903-4AE1-B27B-B96C42E52603}"/>
    <cellStyle name="Normal 4 2" xfId="121" xr:uid="{94DB2116-D8B2-4CCD-BD04-B4127D6B739C}"/>
    <cellStyle name="Normal 5" xfId="122" xr:uid="{510DD175-DED7-40D5-960F-A33231AAEF82}"/>
    <cellStyle name="Normal 5 2" xfId="173" xr:uid="{8D5101C6-1AA0-4A34-8866-F63D7DD217A8}"/>
    <cellStyle name="Normal 5 2 2" xfId="301" xr:uid="{D0C0BB26-8D9B-4EC7-AA56-B215891D12BF}"/>
    <cellStyle name="Normal 5 2 3" xfId="234" xr:uid="{21AE8FC9-9973-4FEC-AF9B-E8FEE9BD174B}"/>
    <cellStyle name="Normal 5_ASIGNACIÓN Dx" xfId="171" xr:uid="{C3A38ADA-F48F-438B-BB9F-60F1953878C3}"/>
    <cellStyle name="Normal 6" xfId="59" xr:uid="{E7FC6669-5570-4237-8D39-608231DF3F6E}"/>
    <cellStyle name="Normal 7" xfId="60" xr:uid="{83FF802D-2B04-4A62-980F-9969F00AF1D2}"/>
    <cellStyle name="Normal 7 2" xfId="149" xr:uid="{5715D71D-8671-40BC-96D9-B63DBEB67216}"/>
    <cellStyle name="Normal 7 3" xfId="268" xr:uid="{35248852-56F6-4CE1-BB63-4CB9B16D421C}"/>
    <cellStyle name="Normal 7 4" xfId="208" xr:uid="{6519A9D4-89AA-40F3-A21E-9ED423A3B024}"/>
    <cellStyle name="Normal 7_ASIGNACIÓN Dx" xfId="169" xr:uid="{53149734-E3AF-4E3A-B4D1-3CFB755A489D}"/>
    <cellStyle name="Normal 8" xfId="141" xr:uid="{68F904C5-26B9-4750-9090-4577E0E73D99}"/>
    <cellStyle name="Normal 8 2" xfId="281" xr:uid="{E2ED9219-D6E0-418F-9472-C343D25D3A3E}"/>
    <cellStyle name="Normal 8 3" xfId="216" xr:uid="{9E6C3B8E-FE2E-4E52-B27F-DC7DB357DA63}"/>
    <cellStyle name="Normal 9" xfId="150" xr:uid="{32F5E6F4-7ED1-4E90-B162-CFAAC9BC5962}"/>
    <cellStyle name="Normal 9 2" xfId="286" xr:uid="{66107348-348E-4B91-B03F-7670B93C59AA}"/>
    <cellStyle name="Normal 9 3" xfId="219" xr:uid="{CC40A5C9-5664-4026-B069-119D35AF2E09}"/>
    <cellStyle name="Notas" xfId="15" builtinId="10" customBuiltin="1"/>
    <cellStyle name="Notas 2" xfId="123" xr:uid="{28CF186D-6AD9-40E7-8F42-27AB52F4AE81}"/>
    <cellStyle name="Notas 2 2" xfId="276" xr:uid="{A8A3477B-3A9F-4A2E-A55C-392A9EFD4AD1}"/>
    <cellStyle name="Notas 2 2 2" xfId="358" xr:uid="{B79FFD9C-9AC8-4024-940D-D9A471BFE420}"/>
    <cellStyle name="Notas 2 3" xfId="211" xr:uid="{1F1238C9-5AB1-4D5B-9BEC-25EB96F8D791}"/>
    <cellStyle name="Notas 2 3 2" xfId="352" xr:uid="{55517E16-7ED8-4928-98DF-01FE9071B4BE}"/>
    <cellStyle name="Notas 2 4" xfId="346" xr:uid="{40755566-8157-45C2-992B-59D1E591912F}"/>
    <cellStyle name="Notas 3" xfId="124" xr:uid="{FCBDE4FE-AC65-40B0-828E-C62ED894DE6B}"/>
    <cellStyle name="Notas 3 2" xfId="277" xr:uid="{A6C527B0-37A5-4193-8A4C-999AAD414054}"/>
    <cellStyle name="Notas 3 2 2" xfId="359" xr:uid="{A4023F27-1730-46BE-B97E-F20EADCD70FA}"/>
    <cellStyle name="Notas 3 3" xfId="212" xr:uid="{8A78BA75-6EEC-483D-A740-785DC3512936}"/>
    <cellStyle name="Notas 3 3 2" xfId="353" xr:uid="{9A17FB54-AF62-48A3-96AA-7D705AC6AD01}"/>
    <cellStyle name="Notas 3 4" xfId="347" xr:uid="{55E502FF-09B9-464C-8DF0-69BF085CC4EA}"/>
    <cellStyle name="Notas 4" xfId="260" xr:uid="{CDD70182-B401-48D5-88B9-BE6BD53EE1D1}"/>
    <cellStyle name="Porcentaje 10" xfId="190" xr:uid="{F5FD2E4D-7191-4A72-A4C6-4DAD4D86C21A}"/>
    <cellStyle name="Porcentaje 10 2" xfId="312" xr:uid="{01E8121C-A68E-4C2F-A99B-93933AEC5B8A}"/>
    <cellStyle name="Porcentaje 10 3" xfId="42" xr:uid="{82DE5382-7981-46EC-BA1C-B2E21125834F}"/>
    <cellStyle name="Porcentaje 11" xfId="203" xr:uid="{BD57A17A-F49B-4904-86B7-6DA8E1FA2BC3}"/>
    <cellStyle name="Porcentaje 11 2" xfId="324" xr:uid="{A5226C35-C129-448C-9545-4AC49D6E6282}"/>
    <cellStyle name="Porcentaje 11 3" xfId="273" xr:uid="{CBDB27D3-CF0A-4BA1-AFED-CEDEF62E2B1C}"/>
    <cellStyle name="Porcentaje 11 4" xfId="255" xr:uid="{A9D06980-F97D-4D21-97D4-D56FFC9A2F8B}"/>
    <cellStyle name="Porcentaje 12" xfId="205" xr:uid="{7E8C8366-23D5-4C1F-A84C-3CA56805AAB9}"/>
    <cellStyle name="Porcentaje 12 2" xfId="326" xr:uid="{F6665512-A1DE-4B4F-92EB-B82C8B2277FF}"/>
    <cellStyle name="Porcentaje 12 3" xfId="257" xr:uid="{AFEEB3D5-4EC7-4D9A-BB27-DDA5D15A8F5A}"/>
    <cellStyle name="Porcentaje 12 4" xfId="332" xr:uid="{C3468114-FED4-4230-B8C8-AF2875F1CE9A}"/>
    <cellStyle name="Porcentaje 13" xfId="269" xr:uid="{72B22E0D-43EF-48B5-84D5-7EB5C9A7406D}"/>
    <cellStyle name="Porcentaje 14" xfId="336" xr:uid="{4B0D6D83-A02A-4455-A239-B63A699C4523}"/>
    <cellStyle name="Porcentaje 15" xfId="338" xr:uid="{5AE6DCC0-0F35-425A-8504-0E3FF04EB83C}"/>
    <cellStyle name="Porcentaje 16" xfId="340" xr:uid="{6573FBC1-8F1E-4976-AA8A-4685FD30B249}"/>
    <cellStyle name="Porcentaje 17" xfId="343" xr:uid="{A88DB7AE-8DCE-46A1-862B-5CA4870EBE67}"/>
    <cellStyle name="Porcentaje 18" xfId="61" xr:uid="{A9E3FEF5-CA99-44FB-AF7D-F1B80E47AE5D}"/>
    <cellStyle name="Porcentaje 19" xfId="364" xr:uid="{0A72CA8C-FEC4-49FB-8866-652EA209C4E5}"/>
    <cellStyle name="Porcentaje 2" xfId="125" xr:uid="{EBD84031-0F2B-4D0E-A917-BFA53D218DB3}"/>
    <cellStyle name="Porcentaje 2 2" xfId="126" xr:uid="{5FECBC58-31EF-4B5B-9869-15FF48403211}"/>
    <cellStyle name="Porcentaje 2 3" xfId="160" xr:uid="{581FDDD0-A01B-48C0-88EE-6A126626262E}"/>
    <cellStyle name="Porcentaje 2 3 2" xfId="295" xr:uid="{09F0BCDB-D39D-4BAF-B091-D1CF13464D83}"/>
    <cellStyle name="Porcentaje 2 3 3" xfId="228" xr:uid="{3E463B9E-AEB6-4F3F-B23A-75F246FEA220}"/>
    <cellStyle name="Porcentaje 2 4" xfId="187" xr:uid="{0BB7ACD9-EE24-449B-811D-985B6CEFA7C0}"/>
    <cellStyle name="Porcentaje 2 4 2" xfId="309" xr:uid="{6E8C87BA-0D87-46D1-A86C-DA775BE6D541}"/>
    <cellStyle name="Porcentaje 2 4 3" xfId="241" xr:uid="{93D89E6D-CE11-4EDB-A072-70CF83042955}"/>
    <cellStyle name="Porcentaje 2 5" xfId="278" xr:uid="{1F80E209-9BF4-49D1-BB07-393D560A75DD}"/>
    <cellStyle name="Porcentaje 2 6" xfId="213" xr:uid="{03077F7D-491A-4EA8-B1B0-C3E9514ACEB7}"/>
    <cellStyle name="Porcentaje 3" xfId="127" xr:uid="{1D1B61A5-7593-464B-8377-3D26B1559340}"/>
    <cellStyle name="Porcentaje 3 2" xfId="128" xr:uid="{92E545B9-40F8-4726-89FE-22981DC635EC}"/>
    <cellStyle name="Porcentaje 4" xfId="129" xr:uid="{B939CE8C-8337-4ADB-A527-C0EEB33DEDCF}"/>
    <cellStyle name="Porcentaje 5" xfId="130" xr:uid="{2C48D1EE-3948-4D9C-A670-E0438961E6EA}"/>
    <cellStyle name="Porcentaje 6" xfId="153" xr:uid="{B7F85065-A871-42C8-8F3F-4869F6274C23}"/>
    <cellStyle name="Porcentaje 6 2" xfId="289" xr:uid="{6C6644B7-177E-4AD1-B933-E393DE9DBE4E}"/>
    <cellStyle name="Porcentaje 6 3" xfId="222" xr:uid="{AC2DB77E-7544-4B58-98B0-F443283372FE}"/>
    <cellStyle name="Porcentaje 6 4" xfId="334" xr:uid="{261E479E-5433-412A-93D5-CC169161ED95}"/>
    <cellStyle name="Porcentaje 7" xfId="155" xr:uid="{16174522-674D-48D0-A394-CDA9D74D3B6D}"/>
    <cellStyle name="Porcentaje 7 2" xfId="291" xr:uid="{DAFCB452-4A14-4B9C-9914-591C01E12A18}"/>
    <cellStyle name="Porcentaje 7 3" xfId="224" xr:uid="{964903A6-735D-4FCA-9CCB-E7E506DEEAFA}"/>
    <cellStyle name="Porcentaje 8" xfId="164" xr:uid="{EA7D1310-A6C2-4A11-B1A1-C9D3F94BC9CB}"/>
    <cellStyle name="Porcentaje 8 2" xfId="298" xr:uid="{E68DC17D-F210-4F91-B78C-8142CBA98BC6}"/>
    <cellStyle name="Porcentaje 8 3" xfId="231" xr:uid="{053FC401-F059-4045-8D27-59FE2488DDA1}"/>
    <cellStyle name="Porcentaje 9" xfId="184" xr:uid="{4CDCE666-13EC-447F-9229-2640F65A5A39}"/>
    <cellStyle name="Porcentaje 9 2" xfId="307" xr:uid="{986130BF-FAC1-4CF8-A2AC-9661D75FB3F2}"/>
    <cellStyle name="Porcentaje 9 3" xfId="239" xr:uid="{E111AA5E-C3DD-441E-871C-C0C23E6A311E}"/>
    <cellStyle name="Salida" xfId="10" builtinId="21" customBuiltin="1"/>
    <cellStyle name="Salida 2" xfId="131" xr:uid="{58E1E4F5-EBD4-48BE-8C09-0E6A6DA15378}"/>
    <cellStyle name="Salida 2 2" xfId="279" xr:uid="{884B5E2D-E6D9-457B-BBA1-1902C506BE6A}"/>
    <cellStyle name="Salida 2 2 2" xfId="360" xr:uid="{7BAEF934-02DB-47F6-8A62-6B37CD3ADEB4}"/>
    <cellStyle name="Salida 2 3" xfId="214" xr:uid="{79603490-4E59-481C-AEC3-AA47B2664DE6}"/>
    <cellStyle name="Salida 2 3 2" xfId="354" xr:uid="{7212D79D-F373-4225-A625-B118BBC12075}"/>
    <cellStyle name="Salida 2 4" xfId="348" xr:uid="{47746D88-DB82-4BE0-9EEF-68FC99FF4527}"/>
    <cellStyle name="Style 1" xfId="132" xr:uid="{3BE79F88-A836-4F1B-8D26-BF18D67231E0}"/>
    <cellStyle name="Texto de advertencia" xfId="14" builtinId="11" customBuiltin="1"/>
    <cellStyle name="Texto de advertencia 2" xfId="133" xr:uid="{18558547-DE0D-45B7-8ADF-3A1A54E60CF2}"/>
    <cellStyle name="Texto explicativo" xfId="16" builtinId="53" customBuiltin="1"/>
    <cellStyle name="Texto explicativo 2" xfId="134" xr:uid="{E2260BF7-3162-44A1-8C91-1E78EE652801}"/>
    <cellStyle name="Título" xfId="1" builtinId="15" customBuiltin="1"/>
    <cellStyle name="Título 1 2" xfId="135" xr:uid="{198EA2DF-54FB-4C34-8EC6-8D5BE81FACA6}"/>
    <cellStyle name="Título 2" xfId="3" builtinId="17" customBuiltin="1"/>
    <cellStyle name="Título 2 2" xfId="136" xr:uid="{2724B151-D600-4BAD-BC95-1FBB1A404D89}"/>
    <cellStyle name="Título 3" xfId="4" builtinId="18" customBuiltin="1"/>
    <cellStyle name="Título 3 2" xfId="137" xr:uid="{9E86A525-E8A3-426A-83E4-B511ACAF47B9}"/>
    <cellStyle name="Título 3 3" xfId="138" xr:uid="{4AAA0EAE-6A8A-4200-83D5-E8C6A4AF5A91}"/>
    <cellStyle name="Título 4" xfId="139" xr:uid="{4C74061F-B1CF-4812-812B-DE8E274D06F4}"/>
    <cellStyle name="Título 5" xfId="367" xr:uid="{D9F94C2E-9B49-4C59-9949-5CE0B482F26B}"/>
    <cellStyle name="Total" xfId="17" builtinId="25" customBuiltin="1"/>
    <cellStyle name="Total 2" xfId="140" xr:uid="{331919D2-8E83-47EC-8854-90B4E4BEDCA9}"/>
    <cellStyle name="Total 2 2" xfId="280" xr:uid="{5FBDDCF8-58B8-4B9D-BEA7-818AB20F02EA}"/>
    <cellStyle name="Total 2 2 2" xfId="361" xr:uid="{BD355784-ED94-4813-A2F7-0883E492C51A}"/>
    <cellStyle name="Total 2 3" xfId="215" xr:uid="{E16D760B-80B0-4531-B69B-D6E08D58574F}"/>
    <cellStyle name="Total 2 3 2" xfId="355" xr:uid="{AB56E9FB-5562-41D4-8AC3-71C9A053E18F}"/>
    <cellStyle name="Total 2 4" xfId="349" xr:uid="{C7DC5C1D-A106-4934-BBD5-CF94475172BA}"/>
  </cellStyles>
  <dxfs count="80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2" defaultTableStyle="TableStyleMedium2" defaultPivotStyle="PivotStyleLight16">
    <tableStyle name="Estilo de tabla dinámica 1" table="0" count="1" xr9:uid="{82131F7B-E3C6-4EB9-B366-5BC151D64CC4}">
      <tableStyleElement type="pageFieldValues" dxfId="807"/>
    </tableStyle>
    <tableStyle name="Estilo de tabla dinámica 2" table="0" count="2" xr9:uid="{4E7E80DC-81C5-4AF2-9945-C936AEA1EA7D}">
      <tableStyleElement type="wholeTable" dxfId="806"/>
      <tableStyleElement type="pageFieldLabels" dxfId="805"/>
    </tableStyle>
  </tableStyles>
  <colors>
    <mruColors>
      <color rgb="FFA7EDB9"/>
      <color rgb="FF9AFA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828675</xdr:colOff>
          <xdr:row>4</xdr:row>
          <xdr:rowOff>142875</xdr:rowOff>
        </xdr:from>
        <xdr:to>
          <xdr:col>17</xdr:col>
          <xdr:colOff>66675</xdr:colOff>
          <xdr:row>8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Extrae Formato PNCP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15</xdr:col>
      <xdr:colOff>524480</xdr:colOff>
      <xdr:row>34</xdr:row>
      <xdr:rowOff>96088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C54C82-1AED-E2A1-AC5E-F2D24A6EC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30500" y="762000"/>
          <a:ext cx="4334480" cy="6001588"/>
        </a:xfrm>
        <a:prstGeom prst="rect">
          <a:avLst/>
        </a:prstGeom>
      </xdr:spPr>
    </xdr:pic>
    <xdr:clientData/>
  </xdr:twoCellAnchor>
  <xdr:twoCellAnchor editAs="oneCell">
    <xdr:from>
      <xdr:col>10</xdr:col>
      <xdr:colOff>122464</xdr:colOff>
      <xdr:row>34</xdr:row>
      <xdr:rowOff>136071</xdr:rowOff>
    </xdr:from>
    <xdr:to>
      <xdr:col>15</xdr:col>
      <xdr:colOff>551681</xdr:colOff>
      <xdr:row>50</xdr:row>
      <xdr:rowOff>146023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691B771-BA6E-2445-87FA-7ABC7BBC1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552964" y="6803571"/>
          <a:ext cx="4239217" cy="3057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466725</xdr:colOff>
          <xdr:row>6</xdr:row>
          <xdr:rowOff>38100</xdr:rowOff>
        </xdr:from>
        <xdr:to>
          <xdr:col>12</xdr:col>
          <xdr:colOff>2152650</xdr:colOff>
          <xdr:row>10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Extrae Formato 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561975</xdr:colOff>
          <xdr:row>0</xdr:row>
          <xdr:rowOff>180975</xdr:rowOff>
        </xdr:from>
        <xdr:to>
          <xdr:col>12</xdr:col>
          <xdr:colOff>2105025</xdr:colOff>
          <xdr:row>5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Carga Nuevo Decreto PE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2</xdr:row>
          <xdr:rowOff>95250</xdr:rowOff>
        </xdr:from>
        <xdr:to>
          <xdr:col>11</xdr:col>
          <xdr:colOff>1847850</xdr:colOff>
          <xdr:row>6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Extrae Formato FR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Iván  Peña Pascual" refreshedDate="46317.658582986114" createdVersion="8" refreshedVersion="8" minRefreshableVersion="3" recordCount="1272" xr:uid="{EBDB058F-FAA9-4547-9180-D4A1A80B3F51}">
  <cacheSource type="worksheet">
    <worksheetSource ref="H3:S1275" sheet="PRECIOS ESTABILIZADOS"/>
  </cacheSource>
  <cacheFields count="12">
    <cacheField name="nombre_barra" numFmtId="0">
      <sharedItems count="26">
        <s v="ALAMEDA"/>
        <s v="ALHUE"/>
        <s v="BUIN"/>
        <s v="CABRERO"/>
        <s v="CARAMPANGUE"/>
        <s v="CASASVIEJAS"/>
        <s v="CAUQUENES"/>
        <s v="COLCHAGUA"/>
        <s v="CORRALES"/>
        <s v="E.PENON"/>
        <s v="ESPERANZA"/>
        <s v="ISLADMAIPO"/>
        <s v="MIRAFLORES"/>
        <s v="NEGRETE"/>
        <s v="PICOLTUE"/>
        <s v="PLACERES"/>
        <s v="POLPAICO"/>
        <s v="QTILCOCO"/>
        <s v="QUINTA"/>
        <s v="S.VICENTETT"/>
        <s v="SANTA_BARBARA"/>
        <s v="STA.ROSA"/>
        <s v="TALCA"/>
        <s v="TAP_EL_MAITEN"/>
        <s v="TENO"/>
        <s v="VILLARRICA"/>
      </sharedItems>
    </cacheField>
    <cacheField name="tension" numFmtId="0">
      <sharedItems containsSemiMixedTypes="0" containsString="0" containsNumber="1" containsInteger="1" minValue="13" maxValue="66" count="4">
        <n v="15"/>
        <n v="23"/>
        <n v="13"/>
        <n v="66"/>
      </sharedItems>
    </cacheField>
    <cacheField name="nombre_barra_decreto_index" numFmtId="0">
      <sharedItems/>
    </cacheField>
    <cacheField name="tension_decreto_index" numFmtId="0">
      <sharedItems containsSemiMixedTypes="0" containsString="0" containsNumber="1" containsInteger="1" minValue="220" maxValue="220"/>
    </cacheField>
    <cacheField name="factor_referenciacion" numFmtId="0">
      <sharedItems containsSemiMixedTypes="0" containsString="0" containsNumber="1" minValue="1.1440000000000001E-3" maxValue="1"/>
    </cacheField>
    <cacheField name="bloque_pe" numFmtId="0">
      <sharedItems containsSemiMixedTypes="0" containsString="0" containsNumber="1" containsInteger="1" minValue="1" maxValue="6" count="6">
        <n v="1"/>
        <n v="2"/>
        <n v="3"/>
        <n v="4"/>
        <n v="5"/>
        <n v="6"/>
      </sharedItems>
    </cacheField>
    <cacheField name="precio_estabilizado_decreto_index" numFmtId="0">
      <sharedItems containsSemiMixedTypes="0" containsString="0" containsNumber="1" minValue="30.672000000000001" maxValue="91.134"/>
    </cacheField>
    <cacheField name="decreto_pe" numFmtId="0">
      <sharedItems count="2">
        <s v="10T-2026"/>
        <s v="23T-2025"/>
      </sharedItems>
    </cacheField>
    <cacheField name="indexacion_pe" numFmtId="0">
      <sharedItems count="1">
        <s v="0"/>
      </sharedItems>
    </cacheField>
    <cacheField name="factor_perdida" numFmtId="0">
      <sharedItems containsSemiMixedTypes="0" containsString="0" containsNumber="1" minValue="1.01102" maxValue="1.0792999999999999"/>
    </cacheField>
    <cacheField name="zona_transmision" numFmtId="0">
      <sharedItems/>
    </cacheField>
    <cacheField name="precio_estabilizado" numFmtId="0">
      <sharedItems containsSemiMixedTypes="0" containsString="0" containsNumber="1" minValue="3.786846890112E-2" maxValue="95.7846370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2">
  <r>
    <x v="0"/>
    <x v="0"/>
    <s v="A.JAHUEL"/>
    <n v="220"/>
    <n v="0.73867700000000003"/>
    <x v="0"/>
    <n v="55.936"/>
    <x v="0"/>
    <x v="0"/>
    <n v="1.0325599999999999"/>
    <s v="SISTEMA E"/>
    <n v="42.663971482040317"/>
  </r>
  <r>
    <x v="0"/>
    <x v="0"/>
    <s v="A.JAHUEL"/>
    <n v="220"/>
    <n v="0.73867700000000003"/>
    <x v="1"/>
    <n v="56.033999999999999"/>
    <x v="0"/>
    <x v="0"/>
    <n v="1.0325599999999999"/>
    <s v="SISTEMA E"/>
    <n v="42.738718857706083"/>
  </r>
  <r>
    <x v="0"/>
    <x v="0"/>
    <s v="A.JAHUEL"/>
    <n v="220"/>
    <n v="0.73867700000000003"/>
    <x v="2"/>
    <n v="39.116999999999997"/>
    <x v="0"/>
    <x v="0"/>
    <n v="1.0325599999999999"/>
    <s v="SISTEMA E"/>
    <n v="29.835643815485039"/>
  </r>
  <r>
    <x v="0"/>
    <x v="0"/>
    <s v="A.JAHUEL"/>
    <n v="220"/>
    <n v="0.73867700000000003"/>
    <x v="3"/>
    <n v="38.668999999999997"/>
    <x v="0"/>
    <x v="0"/>
    <n v="1.0325599999999999"/>
    <s v="SISTEMA E"/>
    <n v="29.49394152672728"/>
  </r>
  <r>
    <x v="0"/>
    <x v="0"/>
    <s v="A.JAHUEL"/>
    <n v="220"/>
    <n v="0.73867700000000003"/>
    <x v="4"/>
    <n v="51.475999999999999"/>
    <x v="0"/>
    <x v="0"/>
    <n v="1.0325599999999999"/>
    <s v="SISTEMA E"/>
    <n v="39.262203160925118"/>
  </r>
  <r>
    <x v="0"/>
    <x v="0"/>
    <s v="A.JAHUEL"/>
    <n v="220"/>
    <n v="0.73867700000000003"/>
    <x v="5"/>
    <n v="62.256999999999998"/>
    <x v="0"/>
    <x v="0"/>
    <n v="1.0325599999999999"/>
    <s v="SISTEMA E"/>
    <n v="47.485177212481837"/>
  </r>
  <r>
    <x v="0"/>
    <x v="0"/>
    <s v="A.JAHUEL"/>
    <n v="220"/>
    <n v="0.73867700000000003"/>
    <x v="0"/>
    <n v="69.262"/>
    <x v="1"/>
    <x v="0"/>
    <n v="1.0325599999999999"/>
    <s v="SISTEMA E"/>
    <n v="52.828089115937438"/>
  </r>
  <r>
    <x v="0"/>
    <x v="0"/>
    <s v="A.JAHUEL"/>
    <n v="220"/>
    <n v="0.73867700000000003"/>
    <x v="1"/>
    <n v="62.783000000000001"/>
    <x v="1"/>
    <x v="0"/>
    <n v="1.0325599999999999"/>
    <s v="SISTEMA E"/>
    <n v="47.886372310442958"/>
  </r>
  <r>
    <x v="0"/>
    <x v="0"/>
    <s v="A.JAHUEL"/>
    <n v="220"/>
    <n v="0.73867700000000003"/>
    <x v="2"/>
    <n v="32.915999999999997"/>
    <x v="1"/>
    <x v="0"/>
    <n v="1.0325599999999999"/>
    <s v="SISTEMA E"/>
    <n v="25.105965483817911"/>
  </r>
  <r>
    <x v="0"/>
    <x v="0"/>
    <s v="A.JAHUEL"/>
    <n v="220"/>
    <n v="0.73867700000000003"/>
    <x v="3"/>
    <n v="32.179000000000002"/>
    <x v="1"/>
    <x v="0"/>
    <n v="1.0325599999999999"/>
    <s v="SISTEMA E"/>
    <n v="24.543834709678482"/>
  </r>
  <r>
    <x v="0"/>
    <x v="0"/>
    <s v="A.JAHUEL"/>
    <n v="220"/>
    <n v="0.73867700000000003"/>
    <x v="4"/>
    <n v="54.389000000000003"/>
    <x v="1"/>
    <x v="0"/>
    <n v="1.0325599999999999"/>
    <s v="SISTEMA E"/>
    <n v="41.484030766173682"/>
  </r>
  <r>
    <x v="0"/>
    <x v="0"/>
    <s v="A.JAHUEL"/>
    <n v="220"/>
    <n v="0.73867700000000003"/>
    <x v="5"/>
    <n v="88.427000000000007"/>
    <x v="1"/>
    <x v="0"/>
    <n v="1.0325599999999999"/>
    <s v="SISTEMA E"/>
    <n v="67.445777428532253"/>
  </r>
  <r>
    <x v="0"/>
    <x v="0"/>
    <s v="A.MELIP"/>
    <n v="220"/>
    <n v="1.0111999999999999E-2"/>
    <x v="0"/>
    <n v="56.027999999999999"/>
    <x v="0"/>
    <x v="0"/>
    <n v="1.0325599999999999"/>
    <s v="SISTEMA E"/>
    <n v="0.5850021712281599"/>
  </r>
  <r>
    <x v="0"/>
    <x v="0"/>
    <s v="A.MELIP"/>
    <n v="220"/>
    <n v="1.0111999999999999E-2"/>
    <x v="1"/>
    <n v="56.122999999999998"/>
    <x v="0"/>
    <x v="0"/>
    <n v="1.0325599999999999"/>
    <s v="SISTEMA E"/>
    <n v="0.58599408966655986"/>
  </r>
  <r>
    <x v="0"/>
    <x v="0"/>
    <s v="A.MELIP"/>
    <n v="220"/>
    <n v="1.0111999999999999E-2"/>
    <x v="2"/>
    <n v="39.145000000000003"/>
    <x v="0"/>
    <x v="0"/>
    <n v="1.0325599999999999"/>
    <s v="SISTEMA E"/>
    <n v="0.40872260285439999"/>
  </r>
  <r>
    <x v="0"/>
    <x v="0"/>
    <s v="A.MELIP"/>
    <n v="220"/>
    <n v="1.0111999999999999E-2"/>
    <x v="3"/>
    <n v="38.646999999999998"/>
    <x v="0"/>
    <x v="0"/>
    <n v="1.0325599999999999"/>
    <s v="SISTEMA E"/>
    <n v="0.40352286198783988"/>
  </r>
  <r>
    <x v="0"/>
    <x v="0"/>
    <s v="A.MELIP"/>
    <n v="220"/>
    <n v="1.0111999999999999E-2"/>
    <x v="4"/>
    <n v="49.831000000000003"/>
    <x v="0"/>
    <x v="0"/>
    <n v="1.0325599999999999"/>
    <s v="SISTEMA E"/>
    <n v="0.52029776530432004"/>
  </r>
  <r>
    <x v="0"/>
    <x v="0"/>
    <s v="A.MELIP"/>
    <n v="220"/>
    <n v="1.0111999999999999E-2"/>
    <x v="5"/>
    <n v="61.533000000000001"/>
    <x v="0"/>
    <x v="0"/>
    <n v="1.0325599999999999"/>
    <s v="SISTEMA E"/>
    <n v="0.64248123442175997"/>
  </r>
  <r>
    <x v="0"/>
    <x v="0"/>
    <s v="A.MELIP"/>
    <n v="220"/>
    <n v="1.0111999999999999E-2"/>
    <x v="0"/>
    <n v="70.548000000000002"/>
    <x v="1"/>
    <x v="0"/>
    <n v="1.0325599999999999"/>
    <s v="SISTEMA E"/>
    <n v="0.73660907360255989"/>
  </r>
  <r>
    <x v="0"/>
    <x v="0"/>
    <s v="A.MELIP"/>
    <n v="220"/>
    <n v="1.0111999999999999E-2"/>
    <x v="1"/>
    <n v="63.55"/>
    <x v="1"/>
    <x v="0"/>
    <n v="1.0325599999999999"/>
    <s v="SISTEMA E"/>
    <n v="0.66354122905599988"/>
  </r>
  <r>
    <x v="0"/>
    <x v="0"/>
    <s v="A.MELIP"/>
    <n v="220"/>
    <n v="1.0111999999999999E-2"/>
    <x v="2"/>
    <n v="32.978000000000002"/>
    <x v="1"/>
    <x v="0"/>
    <n v="1.0325599999999999"/>
    <s v="SISTEMA E"/>
    <n v="0.34433143433216001"/>
  </r>
  <r>
    <x v="0"/>
    <x v="0"/>
    <s v="A.MELIP"/>
    <n v="220"/>
    <n v="1.0111999999999999E-2"/>
    <x v="3"/>
    <n v="31.867000000000001"/>
    <x v="1"/>
    <x v="0"/>
    <n v="1.0325599999999999"/>
    <s v="SISTEMA E"/>
    <n v="0.33273120922624"/>
  </r>
  <r>
    <x v="0"/>
    <x v="0"/>
    <s v="A.MELIP"/>
    <n v="220"/>
    <n v="1.0111999999999999E-2"/>
    <x v="4"/>
    <n v="51.658000000000001"/>
    <x v="1"/>
    <x v="0"/>
    <n v="1.0325599999999999"/>
    <s v="SISTEMA E"/>
    <n v="0.53937392306175991"/>
  </r>
  <r>
    <x v="0"/>
    <x v="0"/>
    <s v="A.MELIP"/>
    <n v="220"/>
    <n v="1.0111999999999999E-2"/>
    <x v="5"/>
    <n v="88.040999999999997"/>
    <x v="1"/>
    <x v="0"/>
    <n v="1.0325599999999999"/>
    <s v="SISTEMA E"/>
    <n v="0.9192578024755198"/>
  </r>
  <r>
    <x v="0"/>
    <x v="0"/>
    <s v="CHARRUA"/>
    <n v="220"/>
    <n v="6.2680000000000001E-3"/>
    <x v="0"/>
    <n v="54.328000000000003"/>
    <x v="0"/>
    <x v="0"/>
    <n v="1.0325599999999999"/>
    <s v="SISTEMA E"/>
    <n v="0.35161549255424002"/>
  </r>
  <r>
    <x v="0"/>
    <x v="0"/>
    <s v="CHARRUA"/>
    <n v="220"/>
    <n v="6.2680000000000001E-3"/>
    <x v="1"/>
    <n v="54.436999999999998"/>
    <x v="0"/>
    <x v="0"/>
    <n v="1.0325599999999999"/>
    <s v="SISTEMA E"/>
    <n v="0.35232094993695989"/>
  </r>
  <r>
    <x v="0"/>
    <x v="0"/>
    <s v="CHARRUA"/>
    <n v="220"/>
    <n v="6.2680000000000001E-3"/>
    <x v="2"/>
    <n v="39.161000000000001"/>
    <x v="0"/>
    <x v="0"/>
    <n v="1.0325599999999999"/>
    <s v="SISTEMA E"/>
    <n v="0.25345336297887999"/>
  </r>
  <r>
    <x v="0"/>
    <x v="0"/>
    <s v="CHARRUA"/>
    <n v="220"/>
    <n v="6.2680000000000001E-3"/>
    <x v="3"/>
    <n v="38.674999999999997"/>
    <x v="0"/>
    <x v="0"/>
    <n v="1.0325599999999999"/>
    <s v="SISTEMA E"/>
    <n v="0.25030792914400002"/>
  </r>
  <r>
    <x v="0"/>
    <x v="0"/>
    <s v="CHARRUA"/>
    <n v="220"/>
    <n v="6.2680000000000001E-3"/>
    <x v="4"/>
    <n v="49.055"/>
    <x v="0"/>
    <x v="0"/>
    <n v="1.0325599999999999"/>
    <s v="SISTEMA E"/>
    <n v="0.31748818265439999"/>
  </r>
  <r>
    <x v="0"/>
    <x v="0"/>
    <s v="CHARRUA"/>
    <n v="220"/>
    <n v="6.2680000000000001E-3"/>
    <x v="5"/>
    <n v="58.87"/>
    <x v="0"/>
    <x v="0"/>
    <n v="1.0325599999999999"/>
    <s v="SISTEMA E"/>
    <n v="0.38101170752960001"/>
  </r>
  <r>
    <x v="0"/>
    <x v="0"/>
    <s v="CHARRUA"/>
    <n v="220"/>
    <n v="6.2680000000000001E-3"/>
    <x v="0"/>
    <n v="65.05"/>
    <x v="1"/>
    <x v="0"/>
    <n v="1.0325599999999999"/>
    <s v="SISTEMA E"/>
    <n v="0.42100919950400001"/>
  </r>
  <r>
    <x v="0"/>
    <x v="0"/>
    <s v="CHARRUA"/>
    <n v="220"/>
    <n v="6.2680000000000001E-3"/>
    <x v="1"/>
    <n v="60.055999999999997"/>
    <x v="1"/>
    <x v="0"/>
    <n v="1.0325599999999999"/>
    <s v="SISTEMA E"/>
    <n v="0.38868760162047999"/>
  </r>
  <r>
    <x v="0"/>
    <x v="0"/>
    <s v="CHARRUA"/>
    <n v="220"/>
    <n v="6.2680000000000001E-3"/>
    <x v="2"/>
    <n v="33.075000000000003"/>
    <x v="1"/>
    <x v="0"/>
    <n v="1.0325599999999999"/>
    <s v="SISTEMA E"/>
    <n v="0.214064247096"/>
  </r>
  <r>
    <x v="0"/>
    <x v="0"/>
    <s v="CHARRUA"/>
    <n v="220"/>
    <n v="6.2680000000000001E-3"/>
    <x v="3"/>
    <n v="32.075000000000003"/>
    <x v="1"/>
    <x v="0"/>
    <n v="1.0325599999999999"/>
    <s v="SISTEMA E"/>
    <n v="0.207592161016"/>
  </r>
  <r>
    <x v="0"/>
    <x v="0"/>
    <s v="CHARRUA"/>
    <n v="220"/>
    <n v="6.2680000000000001E-3"/>
    <x v="4"/>
    <n v="50.77"/>
    <x v="1"/>
    <x v="0"/>
    <n v="1.0325599999999999"/>
    <s v="SISTEMA E"/>
    <n v="0.3285878102816"/>
  </r>
  <r>
    <x v="0"/>
    <x v="0"/>
    <s v="CHARRUA"/>
    <n v="220"/>
    <n v="6.2680000000000001E-3"/>
    <x v="5"/>
    <n v="78.662999999999997"/>
    <x v="1"/>
    <x v="0"/>
    <n v="1.0325599999999999"/>
    <s v="SISTEMA E"/>
    <n v="0.50911370731104"/>
  </r>
  <r>
    <x v="0"/>
    <x v="0"/>
    <s v="ITAHUE"/>
    <n v="220"/>
    <n v="0.241281"/>
    <x v="0"/>
    <n v="55.128"/>
    <x v="0"/>
    <x v="0"/>
    <n v="1.0325599999999999"/>
    <s v="SISTEMA E"/>
    <n v="13.73443056479808"/>
  </r>
  <r>
    <x v="0"/>
    <x v="0"/>
    <s v="ITAHUE"/>
    <n v="220"/>
    <n v="0.241281"/>
    <x v="1"/>
    <n v="55.256999999999998"/>
    <x v="0"/>
    <x v="0"/>
    <n v="1.0325599999999999"/>
    <s v="SISTEMA E"/>
    <n v="13.766569251905519"/>
  </r>
  <r>
    <x v="0"/>
    <x v="0"/>
    <s v="ITAHUE"/>
    <n v="220"/>
    <n v="0.241281"/>
    <x v="2"/>
    <n v="39.152000000000001"/>
    <x v="0"/>
    <x v="0"/>
    <n v="1.0325599999999999"/>
    <s v="SISTEMA E"/>
    <n v="9.754216105662719"/>
  </r>
  <r>
    <x v="0"/>
    <x v="0"/>
    <s v="ITAHUE"/>
    <n v="220"/>
    <n v="0.241281"/>
    <x v="3"/>
    <n v="38.615000000000002"/>
    <x v="0"/>
    <x v="0"/>
    <n v="1.0325599999999999"/>
    <s v="SISTEMA E"/>
    <n v="9.6204294779363995"/>
  </r>
  <r>
    <x v="0"/>
    <x v="0"/>
    <s v="ITAHUE"/>
    <n v="220"/>
    <n v="0.241281"/>
    <x v="4"/>
    <n v="46.902000000000001"/>
    <x v="0"/>
    <x v="0"/>
    <n v="1.0325599999999999"/>
    <s v="SISTEMA E"/>
    <n v="11.68502870320272"/>
  </r>
  <r>
    <x v="0"/>
    <x v="0"/>
    <s v="ITAHUE"/>
    <n v="220"/>
    <n v="0.241281"/>
    <x v="5"/>
    <n v="58.256"/>
    <x v="0"/>
    <x v="0"/>
    <n v="1.0325599999999999"/>
    <s v="SISTEMA E"/>
    <n v="14.513731442876161"/>
  </r>
  <r>
    <x v="0"/>
    <x v="0"/>
    <s v="ITAHUE"/>
    <n v="220"/>
    <n v="0.241281"/>
    <x v="0"/>
    <n v="66.899000000000001"/>
    <x v="1"/>
    <x v="0"/>
    <n v="1.0325599999999999"/>
    <s v="SISTEMA E"/>
    <n v="16.66702347907464"/>
  </r>
  <r>
    <x v="0"/>
    <x v="0"/>
    <s v="ITAHUE"/>
    <n v="220"/>
    <n v="0.241281"/>
    <x v="1"/>
    <n v="61.454000000000001"/>
    <x v="1"/>
    <x v="0"/>
    <n v="1.0325599999999999"/>
    <s v="SISTEMA E"/>
    <n v="15.310471918609441"/>
  </r>
  <r>
    <x v="0"/>
    <x v="0"/>
    <s v="ITAHUE"/>
    <n v="220"/>
    <n v="0.241281"/>
    <x v="2"/>
    <n v="32.872"/>
    <x v="1"/>
    <x v="0"/>
    <n v="1.0325599999999999"/>
    <s v="SISTEMA E"/>
    <n v="8.1896350588819189"/>
  </r>
  <r>
    <x v="0"/>
    <x v="0"/>
    <s v="ITAHUE"/>
    <n v="220"/>
    <n v="0.241281"/>
    <x v="3"/>
    <n v="31.65"/>
    <x v="1"/>
    <x v="0"/>
    <n v="1.0325599999999999"/>
    <s v="SISTEMA E"/>
    <n v="7.8851895112439987"/>
  </r>
  <r>
    <x v="0"/>
    <x v="0"/>
    <s v="ITAHUE"/>
    <n v="220"/>
    <n v="0.241281"/>
    <x v="4"/>
    <n v="46.981999999999999"/>
    <x v="1"/>
    <x v="0"/>
    <n v="1.0325599999999999"/>
    <s v="SISTEMA E"/>
    <n v="11.704959671951521"/>
  </r>
  <r>
    <x v="0"/>
    <x v="0"/>
    <s v="ITAHUE"/>
    <n v="220"/>
    <n v="0.241281"/>
    <x v="5"/>
    <n v="79.751999999999995"/>
    <x v="1"/>
    <x v="0"/>
    <n v="1.0325599999999999"/>
    <s v="SISTEMA E"/>
    <n v="19.869182745678721"/>
  </r>
  <r>
    <x v="0"/>
    <x v="0"/>
    <s v="RAPEL"/>
    <n v="220"/>
    <n v="3.6619999999999999E-3"/>
    <x v="0"/>
    <n v="55.825000000000003"/>
    <x v="0"/>
    <x v="0"/>
    <n v="1.0325599999999999"/>
    <s v="SISTEMA E"/>
    <n v="0.21108742824400001"/>
  </r>
  <r>
    <x v="0"/>
    <x v="0"/>
    <s v="RAPEL"/>
    <n v="220"/>
    <n v="3.6619999999999999E-3"/>
    <x v="1"/>
    <n v="56.061999999999998"/>
    <x v="0"/>
    <x v="0"/>
    <n v="1.0325599999999999"/>
    <s v="SISTEMA E"/>
    <n v="0.21198358087263999"/>
  </r>
  <r>
    <x v="0"/>
    <x v="0"/>
    <s v="RAPEL"/>
    <n v="220"/>
    <n v="3.6619999999999999E-3"/>
    <x v="2"/>
    <n v="39.136000000000003"/>
    <x v="0"/>
    <x v="0"/>
    <n v="1.0325599999999999"/>
    <s v="SISTEMA E"/>
    <n v="0.14798240200192"/>
  </r>
  <r>
    <x v="0"/>
    <x v="0"/>
    <s v="RAPEL"/>
    <n v="220"/>
    <n v="3.6619999999999999E-3"/>
    <x v="3"/>
    <n v="38.625"/>
    <x v="0"/>
    <x v="0"/>
    <n v="1.0325599999999999"/>
    <s v="SISTEMA E"/>
    <n v="0.14605019106"/>
  </r>
  <r>
    <x v="0"/>
    <x v="0"/>
    <s v="RAPEL"/>
    <n v="220"/>
    <n v="3.6619999999999999E-3"/>
    <x v="4"/>
    <n v="49.764000000000003"/>
    <x v="0"/>
    <x v="0"/>
    <n v="1.0325599999999999"/>
    <s v="SISTEMA E"/>
    <n v="0.18816936460608"/>
  </r>
  <r>
    <x v="0"/>
    <x v="0"/>
    <s v="RAPEL"/>
    <n v="220"/>
    <n v="3.6619999999999999E-3"/>
    <x v="5"/>
    <n v="61.481999999999999"/>
    <x v="0"/>
    <x v="0"/>
    <n v="1.0325599999999999"/>
    <s v="SISTEMA E"/>
    <n v="0.23247787305504"/>
  </r>
  <r>
    <x v="0"/>
    <x v="0"/>
    <s v="RAPEL"/>
    <n v="220"/>
    <n v="3.6619999999999999E-3"/>
    <x v="0"/>
    <n v="70.069000000000003"/>
    <x v="1"/>
    <x v="0"/>
    <n v="1.0325599999999999"/>
    <s v="SISTEMA E"/>
    <n v="0.26494733559568001"/>
  </r>
  <r>
    <x v="0"/>
    <x v="0"/>
    <s v="RAPEL"/>
    <n v="220"/>
    <n v="3.6619999999999999E-3"/>
    <x v="1"/>
    <n v="63.207000000000001"/>
    <x v="1"/>
    <x v="0"/>
    <n v="1.0325599999999999"/>
    <s v="SISTEMA E"/>
    <n v="0.23900050294704001"/>
  </r>
  <r>
    <x v="0"/>
    <x v="0"/>
    <s v="RAPEL"/>
    <n v="220"/>
    <n v="3.6619999999999999E-3"/>
    <x v="2"/>
    <n v="32.453000000000003"/>
    <x v="1"/>
    <x v="0"/>
    <n v="1.0325599999999999"/>
    <s v="SISTEMA E"/>
    <n v="0.12271241036816"/>
  </r>
  <r>
    <x v="0"/>
    <x v="0"/>
    <s v="RAPEL"/>
    <n v="220"/>
    <n v="3.6619999999999999E-3"/>
    <x v="3"/>
    <n v="30.672000000000001"/>
    <x v="1"/>
    <x v="0"/>
    <n v="1.0325599999999999"/>
    <s v="SISTEMA E"/>
    <n v="0.11597803133184"/>
  </r>
  <r>
    <x v="0"/>
    <x v="0"/>
    <s v="RAPEL"/>
    <n v="220"/>
    <n v="3.6619999999999999E-3"/>
    <x v="4"/>
    <n v="51.459000000000003"/>
    <x v="1"/>
    <x v="0"/>
    <n v="1.0325599999999999"/>
    <s v="SISTEMA E"/>
    <n v="0.19457855745648001"/>
  </r>
  <r>
    <x v="0"/>
    <x v="0"/>
    <s v="RAPEL"/>
    <n v="220"/>
    <n v="3.6619999999999999E-3"/>
    <x v="5"/>
    <n v="87.926000000000002"/>
    <x v="1"/>
    <x v="0"/>
    <n v="1.0325599999999999"/>
    <s v="SISTEMA E"/>
    <n v="0.33246884399072002"/>
  </r>
  <r>
    <x v="1"/>
    <x v="1"/>
    <s v="A.JAHUEL"/>
    <n v="220"/>
    <n v="2.4039999999999999E-3"/>
    <x v="0"/>
    <n v="55.936"/>
    <x v="0"/>
    <x v="0"/>
    <n v="1.0325599999999999"/>
    <s v="SISTEMA E"/>
    <n v="0.13884849188864001"/>
  </r>
  <r>
    <x v="1"/>
    <x v="1"/>
    <s v="A.JAHUEL"/>
    <n v="220"/>
    <n v="2.4039999999999999E-3"/>
    <x v="1"/>
    <n v="56.033999999999999"/>
    <x v="0"/>
    <x v="0"/>
    <n v="1.0325599999999999"/>
    <s v="SISTEMA E"/>
    <n v="0.13909175476416"/>
  </r>
  <r>
    <x v="1"/>
    <x v="1"/>
    <s v="A.JAHUEL"/>
    <n v="220"/>
    <n v="2.4039999999999999E-3"/>
    <x v="2"/>
    <n v="39.116999999999997"/>
    <x v="0"/>
    <x v="0"/>
    <n v="1.0325599999999999"/>
    <s v="SISTEMA E"/>
    <n v="9.7099121446079989E-2"/>
  </r>
  <r>
    <x v="1"/>
    <x v="1"/>
    <s v="A.JAHUEL"/>
    <n v="220"/>
    <n v="2.4039999999999999E-3"/>
    <x v="3"/>
    <n v="38.668999999999997"/>
    <x v="0"/>
    <x v="0"/>
    <n v="1.0325599999999999"/>
    <s v="SISTEMA E"/>
    <n v="9.5987062586559993E-2"/>
  </r>
  <r>
    <x v="1"/>
    <x v="1"/>
    <s v="A.JAHUEL"/>
    <n v="220"/>
    <n v="2.4039999999999999E-3"/>
    <x v="4"/>
    <n v="51.475999999999999"/>
    <x v="0"/>
    <x v="0"/>
    <n v="1.0325599999999999"/>
    <s v="SISTEMA E"/>
    <n v="0.12777754877823999"/>
  </r>
  <r>
    <x v="1"/>
    <x v="1"/>
    <s v="A.JAHUEL"/>
    <n v="220"/>
    <n v="2.4039999999999999E-3"/>
    <x v="5"/>
    <n v="62.256999999999998"/>
    <x v="0"/>
    <x v="0"/>
    <n v="1.0325599999999999"/>
    <s v="SISTEMA E"/>
    <n v="0.15453894735967999"/>
  </r>
  <r>
    <x v="1"/>
    <x v="1"/>
    <s v="A.JAHUEL"/>
    <n v="220"/>
    <n v="2.4039999999999999E-3"/>
    <x v="0"/>
    <n v="69.262"/>
    <x v="1"/>
    <x v="0"/>
    <n v="1.0325599999999999"/>
    <s v="SISTEMA E"/>
    <n v="0.17192727841088001"/>
  </r>
  <r>
    <x v="1"/>
    <x v="1"/>
    <s v="A.JAHUEL"/>
    <n v="220"/>
    <n v="2.4039999999999999E-3"/>
    <x v="1"/>
    <n v="62.783000000000001"/>
    <x v="1"/>
    <x v="0"/>
    <n v="1.0325599999999999"/>
    <s v="SISTEMA E"/>
    <n v="0.15584462360991999"/>
  </r>
  <r>
    <x v="1"/>
    <x v="1"/>
    <s v="A.JAHUEL"/>
    <n v="220"/>
    <n v="2.4039999999999999E-3"/>
    <x v="2"/>
    <n v="32.915999999999997"/>
    <x v="1"/>
    <x v="0"/>
    <n v="1.0325599999999999"/>
    <s v="SISTEMA E"/>
    <n v="8.1706538883839983E-2"/>
  </r>
  <r>
    <x v="1"/>
    <x v="1"/>
    <s v="A.JAHUEL"/>
    <n v="220"/>
    <n v="2.4039999999999999E-3"/>
    <x v="3"/>
    <n v="32.179000000000002"/>
    <x v="1"/>
    <x v="0"/>
    <n v="1.0325599999999999"/>
    <s v="SISTEMA E"/>
    <n v="7.9877102768959984E-2"/>
  </r>
  <r>
    <x v="1"/>
    <x v="1"/>
    <s v="A.JAHUEL"/>
    <n v="220"/>
    <n v="2.4039999999999999E-3"/>
    <x v="4"/>
    <n v="54.389000000000003"/>
    <x v="1"/>
    <x v="0"/>
    <n v="1.0325599999999999"/>
    <s v="SISTEMA E"/>
    <n v="0.13500841363936"/>
  </r>
  <r>
    <x v="1"/>
    <x v="1"/>
    <s v="A.JAHUEL"/>
    <n v="220"/>
    <n v="2.4039999999999999E-3"/>
    <x v="5"/>
    <n v="88.427000000000007"/>
    <x v="1"/>
    <x v="0"/>
    <n v="1.0325599999999999"/>
    <s v="SISTEMA E"/>
    <n v="0.21950006422047999"/>
  </r>
  <r>
    <x v="1"/>
    <x v="1"/>
    <s v="A.MELIP"/>
    <n v="220"/>
    <n v="0.17042199999999999"/>
    <x v="0"/>
    <n v="56.027999999999999"/>
    <x v="0"/>
    <x v="0"/>
    <n v="1.0325599999999999"/>
    <s v="SISTEMA E"/>
    <n v="9.859299844248957"/>
  </r>
  <r>
    <x v="1"/>
    <x v="1"/>
    <s v="A.MELIP"/>
    <n v="220"/>
    <n v="0.17042199999999999"/>
    <x v="1"/>
    <n v="56.122999999999998"/>
    <x v="0"/>
    <x v="0"/>
    <n v="1.0325599999999999"/>
    <s v="SISTEMA E"/>
    <n v="9.8760170835793577"/>
  </r>
  <r>
    <x v="1"/>
    <x v="1"/>
    <s v="A.MELIP"/>
    <n v="220"/>
    <n v="0.17042199999999999"/>
    <x v="2"/>
    <n v="39.145000000000003"/>
    <x v="0"/>
    <x v="0"/>
    <n v="1.0325599999999999"/>
    <s v="SISTEMA E"/>
    <n v="6.8883824588264"/>
  </r>
  <r>
    <x v="1"/>
    <x v="1"/>
    <s v="A.MELIP"/>
    <n v="220"/>
    <n v="0.17042199999999999"/>
    <x v="3"/>
    <n v="38.646999999999998"/>
    <x v="0"/>
    <x v="0"/>
    <n v="1.0325599999999999"/>
    <s v="SISTEMA E"/>
    <n v="6.800748930547039"/>
  </r>
  <r>
    <x v="1"/>
    <x v="1"/>
    <s v="A.MELIP"/>
    <n v="220"/>
    <n v="0.17042199999999999"/>
    <x v="4"/>
    <n v="49.831000000000003"/>
    <x v="0"/>
    <x v="0"/>
    <n v="1.0325599999999999"/>
    <s v="SISTEMA E"/>
    <n v="8.7688079270859181"/>
  </r>
  <r>
    <x v="1"/>
    <x v="1"/>
    <s v="A.MELIP"/>
    <n v="220"/>
    <n v="0.17042199999999999"/>
    <x v="5"/>
    <n v="61.533000000000001"/>
    <x v="0"/>
    <x v="0"/>
    <n v="1.0325599999999999"/>
    <s v="SISTEMA E"/>
    <n v="10.828019870710561"/>
  </r>
  <r>
    <x v="1"/>
    <x v="1"/>
    <s v="A.MELIP"/>
    <n v="220"/>
    <n v="0.17042199999999999"/>
    <x v="0"/>
    <n v="70.548000000000002"/>
    <x v="1"/>
    <x v="0"/>
    <n v="1.0325599999999999"/>
    <s v="SISTEMA E"/>
    <n v="12.414397897695361"/>
  </r>
  <r>
    <x v="1"/>
    <x v="1"/>
    <s v="A.MELIP"/>
    <n v="220"/>
    <n v="0.17042199999999999"/>
    <x v="1"/>
    <n v="63.55"/>
    <x v="1"/>
    <x v="0"/>
    <n v="1.0325599999999999"/>
    <s v="SISTEMA E"/>
    <n v="11.182953257336001"/>
  </r>
  <r>
    <x v="1"/>
    <x v="1"/>
    <s v="A.MELIP"/>
    <n v="220"/>
    <n v="0.17042199999999999"/>
    <x v="2"/>
    <n v="32.978000000000002"/>
    <x v="1"/>
    <x v="0"/>
    <n v="1.0325599999999999"/>
    <s v="SISTEMA E"/>
    <n v="5.8031696698729593"/>
  </r>
  <r>
    <x v="1"/>
    <x v="1"/>
    <s v="A.MELIP"/>
    <n v="220"/>
    <n v="0.17042199999999999"/>
    <x v="3"/>
    <n v="31.867000000000001"/>
    <x v="1"/>
    <x v="0"/>
    <n v="1.0325599999999999"/>
    <s v="SISTEMA E"/>
    <n v="5.6076659551774393"/>
  </r>
  <r>
    <x v="1"/>
    <x v="1"/>
    <s v="A.MELIP"/>
    <n v="220"/>
    <n v="0.17042199999999999"/>
    <x v="4"/>
    <n v="51.658000000000001"/>
    <x v="1"/>
    <x v="0"/>
    <n v="1.0325599999999999"/>
    <s v="SISTEMA E"/>
    <n v="9.0903068350505603"/>
  </r>
  <r>
    <x v="1"/>
    <x v="1"/>
    <s v="A.MELIP"/>
    <n v="220"/>
    <n v="0.17042199999999999"/>
    <x v="5"/>
    <n v="88.040999999999997"/>
    <x v="1"/>
    <x v="0"/>
    <n v="1.0325599999999999"/>
    <s v="SISTEMA E"/>
    <n v="15.49265755671312"/>
  </r>
  <r>
    <x v="1"/>
    <x v="1"/>
    <s v="CHARRUA"/>
    <n v="220"/>
    <n v="3.797E-3"/>
    <x v="0"/>
    <n v="54.328000000000003"/>
    <x v="0"/>
    <x v="0"/>
    <n v="1.0325599999999999"/>
    <s v="SISTEMA E"/>
    <n v="0.21300000402496"/>
  </r>
  <r>
    <x v="1"/>
    <x v="1"/>
    <s v="CHARRUA"/>
    <n v="220"/>
    <n v="3.797E-3"/>
    <x v="1"/>
    <n v="54.436999999999998"/>
    <x v="0"/>
    <x v="0"/>
    <n v="1.0325599999999999"/>
    <s v="SISTEMA E"/>
    <n v="0.21342735272984001"/>
  </r>
  <r>
    <x v="1"/>
    <x v="1"/>
    <s v="CHARRUA"/>
    <n v="220"/>
    <n v="3.797E-3"/>
    <x v="2"/>
    <n v="39.161000000000001"/>
    <x v="0"/>
    <x v="0"/>
    <n v="1.0325599999999999"/>
    <s v="SISTEMA E"/>
    <n v="0.15353580396152"/>
  </r>
  <r>
    <x v="1"/>
    <x v="1"/>
    <s v="CHARRUA"/>
    <n v="220"/>
    <n v="3.797E-3"/>
    <x v="3"/>
    <n v="38.674999999999997"/>
    <x v="0"/>
    <x v="0"/>
    <n v="1.0325599999999999"/>
    <s v="SISTEMA E"/>
    <n v="0.15163037762600001"/>
  </r>
  <r>
    <x v="1"/>
    <x v="1"/>
    <s v="CHARRUA"/>
    <n v="220"/>
    <n v="3.797E-3"/>
    <x v="4"/>
    <n v="49.055"/>
    <x v="0"/>
    <x v="0"/>
    <n v="1.0325599999999999"/>
    <s v="SISTEMA E"/>
    <n v="0.19232652034760001"/>
  </r>
  <r>
    <x v="1"/>
    <x v="1"/>
    <s v="CHARRUA"/>
    <n v="220"/>
    <n v="3.797E-3"/>
    <x v="5"/>
    <n v="58.87"/>
    <x v="0"/>
    <x v="0"/>
    <n v="1.0325599999999999"/>
    <s v="SISTEMA E"/>
    <n v="0.23080750693839999"/>
  </r>
  <r>
    <x v="1"/>
    <x v="1"/>
    <s v="CHARRUA"/>
    <n v="220"/>
    <n v="3.797E-3"/>
    <x v="0"/>
    <n v="65.05"/>
    <x v="1"/>
    <x v="0"/>
    <n v="1.0325599999999999"/>
    <s v="SISTEMA E"/>
    <n v="0.25503700231600002"/>
  </r>
  <r>
    <x v="1"/>
    <x v="1"/>
    <s v="CHARRUA"/>
    <n v="220"/>
    <n v="3.797E-3"/>
    <x v="1"/>
    <n v="60.055999999999997"/>
    <x v="1"/>
    <x v="0"/>
    <n v="1.0325599999999999"/>
    <s v="SISTEMA E"/>
    <n v="0.23545737449792001"/>
  </r>
  <r>
    <x v="1"/>
    <x v="1"/>
    <s v="CHARRUA"/>
    <n v="220"/>
    <n v="3.797E-3"/>
    <x v="2"/>
    <n v="33.075000000000003"/>
    <x v="1"/>
    <x v="0"/>
    <n v="1.0325599999999999"/>
    <s v="SISTEMA E"/>
    <n v="0.12967484783399999"/>
  </r>
  <r>
    <x v="1"/>
    <x v="1"/>
    <s v="CHARRUA"/>
    <n v="220"/>
    <n v="3.797E-3"/>
    <x v="3"/>
    <n v="32.075000000000003"/>
    <x v="1"/>
    <x v="0"/>
    <n v="1.0325599999999999"/>
    <s v="SISTEMA E"/>
    <n v="0.12575421751400001"/>
  </r>
  <r>
    <x v="1"/>
    <x v="1"/>
    <s v="CHARRUA"/>
    <n v="220"/>
    <n v="3.797E-3"/>
    <x v="4"/>
    <n v="50.77"/>
    <x v="1"/>
    <x v="0"/>
    <n v="1.0325599999999999"/>
    <s v="SISTEMA E"/>
    <n v="0.19905040134640001"/>
  </r>
  <r>
    <x v="1"/>
    <x v="1"/>
    <s v="CHARRUA"/>
    <n v="220"/>
    <n v="3.797E-3"/>
    <x v="5"/>
    <n v="78.662999999999997"/>
    <x v="1"/>
    <x v="0"/>
    <n v="1.0325599999999999"/>
    <s v="SISTEMA E"/>
    <n v="0.30840854286216002"/>
  </r>
  <r>
    <x v="1"/>
    <x v="1"/>
    <s v="ITAHUE"/>
    <n v="220"/>
    <n v="6.2680000000000001E-3"/>
    <x v="0"/>
    <n v="55.128"/>
    <x v="0"/>
    <x v="0"/>
    <n v="1.0325599999999999"/>
    <s v="SISTEMA E"/>
    <n v="0.35679316141824002"/>
  </r>
  <r>
    <x v="1"/>
    <x v="1"/>
    <s v="ITAHUE"/>
    <n v="220"/>
    <n v="6.2680000000000001E-3"/>
    <x v="1"/>
    <n v="55.256999999999998"/>
    <x v="0"/>
    <x v="0"/>
    <n v="1.0325599999999999"/>
    <s v="SISTEMA E"/>
    <n v="0.35762806052256002"/>
  </r>
  <r>
    <x v="1"/>
    <x v="1"/>
    <s v="ITAHUE"/>
    <n v="220"/>
    <n v="6.2680000000000001E-3"/>
    <x v="2"/>
    <n v="39.152000000000001"/>
    <x v="0"/>
    <x v="0"/>
    <n v="1.0325599999999999"/>
    <s v="SISTEMA E"/>
    <n v="0.25339511420416"/>
  </r>
  <r>
    <x v="1"/>
    <x v="1"/>
    <s v="ITAHUE"/>
    <n v="220"/>
    <n v="6.2680000000000001E-3"/>
    <x v="3"/>
    <n v="38.615000000000002"/>
    <x v="0"/>
    <x v="0"/>
    <n v="1.0325599999999999"/>
    <s v="SISTEMA E"/>
    <n v="0.24991960397919999"/>
  </r>
  <r>
    <x v="1"/>
    <x v="1"/>
    <s v="ITAHUE"/>
    <n v="220"/>
    <n v="6.2680000000000001E-3"/>
    <x v="4"/>
    <n v="46.902000000000001"/>
    <x v="0"/>
    <x v="0"/>
    <n v="1.0325599999999999"/>
    <s v="SISTEMA E"/>
    <n v="0.30355378132415989"/>
  </r>
  <r>
    <x v="1"/>
    <x v="1"/>
    <s v="ITAHUE"/>
    <n v="220"/>
    <n v="6.2680000000000001E-3"/>
    <x v="5"/>
    <n v="58.256"/>
    <x v="0"/>
    <x v="0"/>
    <n v="1.0325599999999999"/>
    <s v="SISTEMA E"/>
    <n v="0.37703784667647988"/>
  </r>
  <r>
    <x v="1"/>
    <x v="1"/>
    <s v="ITAHUE"/>
    <n v="220"/>
    <n v="6.2680000000000001E-3"/>
    <x v="0"/>
    <n v="66.899000000000001"/>
    <x v="1"/>
    <x v="0"/>
    <n v="1.0325599999999999"/>
    <s v="SISTEMA E"/>
    <n v="0.43297608666592002"/>
  </r>
  <r>
    <x v="1"/>
    <x v="1"/>
    <s v="ITAHUE"/>
    <n v="220"/>
    <n v="6.2680000000000001E-3"/>
    <x v="1"/>
    <n v="61.454000000000001"/>
    <x v="1"/>
    <x v="0"/>
    <n v="1.0325599999999999"/>
    <s v="SISTEMA E"/>
    <n v="0.39773557796031989"/>
  </r>
  <r>
    <x v="1"/>
    <x v="1"/>
    <s v="ITAHUE"/>
    <n v="220"/>
    <n v="6.2680000000000001E-3"/>
    <x v="2"/>
    <n v="32.872"/>
    <x v="1"/>
    <x v="0"/>
    <n v="1.0325599999999999"/>
    <s v="SISTEMA E"/>
    <n v="0.21275041362176"/>
  </r>
  <r>
    <x v="1"/>
    <x v="1"/>
    <s v="ITAHUE"/>
    <n v="220"/>
    <n v="6.2680000000000001E-3"/>
    <x v="3"/>
    <n v="31.65"/>
    <x v="1"/>
    <x v="0"/>
    <n v="1.0325599999999999"/>
    <s v="SISTEMA E"/>
    <n v="0.20484152443199999"/>
  </r>
  <r>
    <x v="1"/>
    <x v="1"/>
    <s v="ITAHUE"/>
    <n v="220"/>
    <n v="6.2680000000000001E-3"/>
    <x v="4"/>
    <n v="46.981999999999999"/>
    <x v="1"/>
    <x v="0"/>
    <n v="1.0325599999999999"/>
    <s v="SISTEMA E"/>
    <n v="0.30407154821055998"/>
  </r>
  <r>
    <x v="1"/>
    <x v="1"/>
    <s v="ITAHUE"/>
    <n v="220"/>
    <n v="6.2680000000000001E-3"/>
    <x v="5"/>
    <n v="79.751999999999995"/>
    <x v="1"/>
    <x v="0"/>
    <n v="1.0325599999999999"/>
    <s v="SISTEMA E"/>
    <n v="0.51616180905215991"/>
  </r>
  <r>
    <x v="1"/>
    <x v="1"/>
    <s v="RAPEL"/>
    <n v="220"/>
    <n v="0.81710899999999997"/>
    <x v="0"/>
    <n v="55.825000000000003"/>
    <x v="0"/>
    <x v="0"/>
    <n v="1.0325599999999999"/>
    <s v="SISTEMA E"/>
    <n v="47.100337904158003"/>
  </r>
  <r>
    <x v="1"/>
    <x v="1"/>
    <s v="RAPEL"/>
    <n v="220"/>
    <n v="0.81710899999999997"/>
    <x v="1"/>
    <n v="56.061999999999998"/>
    <x v="0"/>
    <x v="0"/>
    <n v="1.0325599999999999"/>
    <s v="SISTEMA E"/>
    <n v="47.300298138520468"/>
  </r>
  <r>
    <x v="1"/>
    <x v="1"/>
    <s v="RAPEL"/>
    <n v="220"/>
    <n v="0.81710899999999997"/>
    <x v="2"/>
    <n v="39.136000000000003"/>
    <x v="0"/>
    <x v="0"/>
    <n v="1.0325599999999999"/>
    <s v="SISTEMA E"/>
    <n v="33.019593805949441"/>
  </r>
  <r>
    <x v="1"/>
    <x v="1"/>
    <s v="RAPEL"/>
    <n v="220"/>
    <n v="0.81710899999999997"/>
    <x v="3"/>
    <n v="38.625"/>
    <x v="0"/>
    <x v="0"/>
    <n v="1.0325599999999999"/>
    <s v="SISTEMA E"/>
    <n v="32.58845591667"/>
  </r>
  <r>
    <x v="1"/>
    <x v="1"/>
    <s v="RAPEL"/>
    <n v="220"/>
    <n v="0.81710899999999997"/>
    <x v="4"/>
    <n v="49.764000000000003"/>
    <x v="0"/>
    <x v="0"/>
    <n v="1.0325599999999999"/>
    <s v="SISTEMA E"/>
    <n v="41.986586931706562"/>
  </r>
  <r>
    <x v="1"/>
    <x v="1"/>
    <s v="RAPEL"/>
    <n v="220"/>
    <n v="0.81710899999999997"/>
    <x v="5"/>
    <n v="61.481999999999999"/>
    <x v="0"/>
    <x v="0"/>
    <n v="1.0325599999999999"/>
    <s v="SISTEMA E"/>
    <n v="51.873228392717273"/>
  </r>
  <r>
    <x v="1"/>
    <x v="1"/>
    <s v="RAPEL"/>
    <n v="220"/>
    <n v="0.81710899999999997"/>
    <x v="0"/>
    <n v="70.069000000000003"/>
    <x v="1"/>
    <x v="0"/>
    <n v="1.0325599999999999"/>
    <s v="SISTEMA E"/>
    <n v="59.118201103563763"/>
  </r>
  <r>
    <x v="1"/>
    <x v="1"/>
    <s v="RAPEL"/>
    <n v="220"/>
    <n v="0.81710899999999997"/>
    <x v="1"/>
    <n v="63.207000000000001"/>
    <x v="1"/>
    <x v="0"/>
    <n v="1.0325599999999999"/>
    <s v="SISTEMA E"/>
    <n v="53.328635161811277"/>
  </r>
  <r>
    <x v="1"/>
    <x v="1"/>
    <s v="RAPEL"/>
    <n v="220"/>
    <n v="0.81710899999999997"/>
    <x v="2"/>
    <n v="32.453000000000003"/>
    <x v="1"/>
    <x v="0"/>
    <n v="1.0325599999999999"/>
    <s v="SISTEMA E"/>
    <n v="27.381052682555119"/>
  </r>
  <r>
    <x v="1"/>
    <x v="1"/>
    <s v="RAPEL"/>
    <n v="220"/>
    <n v="0.81710899999999997"/>
    <x v="3"/>
    <n v="30.672000000000001"/>
    <x v="1"/>
    <x v="0"/>
    <n v="1.0325599999999999"/>
    <s v="SISTEMA E"/>
    <n v="25.878397925594879"/>
  </r>
  <r>
    <x v="1"/>
    <x v="1"/>
    <s v="RAPEL"/>
    <n v="220"/>
    <n v="0.81710899999999997"/>
    <x v="4"/>
    <n v="51.459000000000003"/>
    <x v="1"/>
    <x v="0"/>
    <n v="1.0325599999999999"/>
    <s v="SISTEMA E"/>
    <n v="43.416682278729347"/>
  </r>
  <r>
    <x v="1"/>
    <x v="1"/>
    <s v="RAPEL"/>
    <n v="220"/>
    <n v="0.81710899999999997"/>
    <x v="5"/>
    <n v="87.926000000000002"/>
    <x v="1"/>
    <x v="0"/>
    <n v="1.0325599999999999"/>
    <s v="SISTEMA E"/>
    <n v="74.184403234411036"/>
  </r>
  <r>
    <x v="2"/>
    <x v="2"/>
    <s v="A.JAHUEL"/>
    <n v="220"/>
    <n v="0.79561899999999997"/>
    <x v="0"/>
    <n v="55.936"/>
    <x v="0"/>
    <x v="0"/>
    <n v="1.0325599999999999"/>
    <s v="SISTEMA E"/>
    <n v="45.952786301143043"/>
  </r>
  <r>
    <x v="2"/>
    <x v="2"/>
    <s v="A.JAHUEL"/>
    <n v="220"/>
    <n v="0.79561899999999997"/>
    <x v="1"/>
    <n v="56.033999999999999"/>
    <x v="0"/>
    <x v="0"/>
    <n v="1.0325599999999999"/>
    <s v="SISTEMA E"/>
    <n v="46.033295687897763"/>
  </r>
  <r>
    <x v="2"/>
    <x v="2"/>
    <s v="A.JAHUEL"/>
    <n v="220"/>
    <n v="0.79561899999999997"/>
    <x v="2"/>
    <n v="39.116999999999997"/>
    <x v="0"/>
    <x v="0"/>
    <n v="1.0325599999999999"/>
    <s v="SISTEMA E"/>
    <n v="32.135568180452871"/>
  </r>
  <r>
    <x v="2"/>
    <x v="2"/>
    <s v="A.JAHUEL"/>
    <n v="220"/>
    <n v="0.79561899999999997"/>
    <x v="3"/>
    <n v="38.668999999999997"/>
    <x v="0"/>
    <x v="0"/>
    <n v="1.0325599999999999"/>
    <s v="SISTEMA E"/>
    <n v="31.767525269574151"/>
  </r>
  <r>
    <x v="2"/>
    <x v="2"/>
    <s v="A.JAHUEL"/>
    <n v="220"/>
    <n v="0.79561899999999997"/>
    <x v="4"/>
    <n v="51.475999999999999"/>
    <x v="0"/>
    <x v="0"/>
    <n v="1.0325599999999999"/>
    <s v="SISTEMA E"/>
    <n v="42.288787679448632"/>
  </r>
  <r>
    <x v="2"/>
    <x v="2"/>
    <s v="A.JAHUEL"/>
    <n v="220"/>
    <n v="0.79561899999999997"/>
    <x v="5"/>
    <n v="62.256999999999998"/>
    <x v="0"/>
    <x v="0"/>
    <n v="1.0325599999999999"/>
    <s v="SISTEMA E"/>
    <n v="51.14564174682247"/>
  </r>
  <r>
    <x v="2"/>
    <x v="2"/>
    <s v="A.JAHUEL"/>
    <n v="220"/>
    <n v="0.79561899999999997"/>
    <x v="0"/>
    <n v="69.262"/>
    <x v="1"/>
    <x v="0"/>
    <n v="1.0325599999999999"/>
    <s v="SISTEMA E"/>
    <n v="56.900419851075668"/>
  </r>
  <r>
    <x v="2"/>
    <x v="2"/>
    <s v="A.JAHUEL"/>
    <n v="220"/>
    <n v="0.79561899999999997"/>
    <x v="1"/>
    <n v="62.783000000000001"/>
    <x v="1"/>
    <x v="0"/>
    <n v="1.0325599999999999"/>
    <s v="SISTEMA E"/>
    <n v="51.57776355736312"/>
  </r>
  <r>
    <x v="2"/>
    <x v="2"/>
    <s v="A.JAHUEL"/>
    <n v="220"/>
    <n v="0.79561899999999997"/>
    <x v="2"/>
    <n v="32.915999999999997"/>
    <x v="1"/>
    <x v="0"/>
    <n v="1.0325599999999999"/>
    <s v="SISTEMA E"/>
    <n v="27.041295657330231"/>
  </r>
  <r>
    <x v="2"/>
    <x v="2"/>
    <s v="A.JAHUEL"/>
    <n v="220"/>
    <n v="0.79561899999999997"/>
    <x v="3"/>
    <n v="32.179000000000002"/>
    <x v="1"/>
    <x v="0"/>
    <n v="1.0325599999999999"/>
    <s v="SISTEMA E"/>
    <n v="26.435832207960559"/>
  </r>
  <r>
    <x v="2"/>
    <x v="2"/>
    <s v="A.JAHUEL"/>
    <n v="220"/>
    <n v="0.79561899999999997"/>
    <x v="4"/>
    <n v="54.389000000000003"/>
    <x v="1"/>
    <x v="0"/>
    <n v="1.0325599999999999"/>
    <s v="SISTEMA E"/>
    <n v="44.681888124514963"/>
  </r>
  <r>
    <x v="2"/>
    <x v="2"/>
    <s v="A.JAHUEL"/>
    <n v="220"/>
    <n v="0.79561899999999997"/>
    <x v="5"/>
    <n v="88.427000000000007"/>
    <x v="1"/>
    <x v="0"/>
    <n v="1.0325599999999999"/>
    <s v="SISTEMA E"/>
    <n v="72.644934107751283"/>
  </r>
  <r>
    <x v="2"/>
    <x v="2"/>
    <s v="A.MELIP"/>
    <n v="220"/>
    <n v="2.4400999999999999E-2"/>
    <x v="0"/>
    <n v="56.027999999999999"/>
    <x v="0"/>
    <x v="0"/>
    <n v="1.0325599999999999"/>
    <s v="SISTEMA E"/>
    <n v="1.4116532812636799"/>
  </r>
  <r>
    <x v="2"/>
    <x v="2"/>
    <s v="A.MELIP"/>
    <n v="220"/>
    <n v="2.4400999999999999E-2"/>
    <x v="1"/>
    <n v="56.122999999999998"/>
    <x v="0"/>
    <x v="0"/>
    <n v="1.0325599999999999"/>
    <s v="SISTEMA E"/>
    <n v="1.41404685343688"/>
  </r>
  <r>
    <x v="2"/>
    <x v="2"/>
    <s v="A.MELIP"/>
    <n v="220"/>
    <n v="2.4400999999999999E-2"/>
    <x v="2"/>
    <n v="39.145000000000003"/>
    <x v="0"/>
    <x v="0"/>
    <n v="1.0325599999999999"/>
    <s v="SISTEMA E"/>
    <n v="0.98627771284120003"/>
  </r>
  <r>
    <x v="2"/>
    <x v="2"/>
    <s v="A.MELIP"/>
    <n v="220"/>
    <n v="2.4400999999999999E-2"/>
    <x v="3"/>
    <n v="38.646999999999998"/>
    <x v="0"/>
    <x v="0"/>
    <n v="1.0325599999999999"/>
    <s v="SISTEMA E"/>
    <n v="0.97373035555431986"/>
  </r>
  <r>
    <x v="2"/>
    <x v="2"/>
    <s v="A.MELIP"/>
    <n v="220"/>
    <n v="2.4400999999999999E-2"/>
    <x v="4"/>
    <n v="49.831000000000003"/>
    <x v="0"/>
    <x v="0"/>
    <n v="1.0325599999999999"/>
    <s v="SISTEMA E"/>
    <n v="1.2555167890813601"/>
  </r>
  <r>
    <x v="2"/>
    <x v="2"/>
    <s v="A.MELIP"/>
    <n v="220"/>
    <n v="2.4400999999999999E-2"/>
    <x v="5"/>
    <n v="61.533000000000001"/>
    <x v="0"/>
    <x v="0"/>
    <n v="1.0325599999999999"/>
    <s v="SISTEMA E"/>
    <n v="1.5503544898264801"/>
  </r>
  <r>
    <x v="2"/>
    <x v="2"/>
    <s v="A.MELIP"/>
    <n v="220"/>
    <n v="2.4400999999999999E-2"/>
    <x v="0"/>
    <n v="70.548000000000002"/>
    <x v="1"/>
    <x v="0"/>
    <n v="1.0325599999999999"/>
    <s v="SISTEMA E"/>
    <n v="1.7774918913148801"/>
  </r>
  <r>
    <x v="2"/>
    <x v="2"/>
    <s v="A.MELIP"/>
    <n v="220"/>
    <n v="2.4400999999999999E-2"/>
    <x v="1"/>
    <n v="63.55"/>
    <x v="1"/>
    <x v="0"/>
    <n v="1.0325599999999999"/>
    <s v="SISTEMA E"/>
    <n v="1.6011738063880001"/>
  </r>
  <r>
    <x v="2"/>
    <x v="2"/>
    <s v="A.MELIP"/>
    <n v="220"/>
    <n v="2.4400999999999999E-2"/>
    <x v="2"/>
    <n v="32.978000000000002"/>
    <x v="1"/>
    <x v="0"/>
    <n v="1.0325599999999999"/>
    <s v="SISTEMA E"/>
    <n v="0.83089708555567998"/>
  </r>
  <r>
    <x v="2"/>
    <x v="2"/>
    <s v="A.MELIP"/>
    <n v="220"/>
    <n v="2.4400999999999999E-2"/>
    <x v="3"/>
    <n v="31.867000000000001"/>
    <x v="1"/>
    <x v="0"/>
    <n v="1.0325599999999999"/>
    <s v="SISTEMA E"/>
    <n v="0.80290488887751998"/>
  </r>
  <r>
    <x v="2"/>
    <x v="2"/>
    <s v="A.MELIP"/>
    <n v="220"/>
    <n v="2.4400999999999999E-2"/>
    <x v="4"/>
    <n v="51.658000000000001"/>
    <x v="1"/>
    <x v="0"/>
    <n v="1.0325599999999999"/>
    <s v="SISTEMA E"/>
    <n v="1.3015489612964799"/>
  </r>
  <r>
    <x v="2"/>
    <x v="2"/>
    <s v="A.MELIP"/>
    <n v="220"/>
    <n v="2.4400999999999999E-2"/>
    <x v="5"/>
    <n v="88.040999999999997"/>
    <x v="1"/>
    <x v="0"/>
    <n v="1.0325599999999999"/>
    <s v="SISTEMA E"/>
    <n v="2.2182367126389599"/>
  </r>
  <r>
    <x v="2"/>
    <x v="2"/>
    <s v="CHARRUA"/>
    <n v="220"/>
    <n v="7.2139999999999999E-3"/>
    <x v="0"/>
    <n v="54.328000000000003"/>
    <x v="0"/>
    <x v="0"/>
    <n v="1.0325599999999999"/>
    <s v="SISTEMA E"/>
    <n v="0.40468317857151997"/>
  </r>
  <r>
    <x v="2"/>
    <x v="2"/>
    <s v="CHARRUA"/>
    <n v="220"/>
    <n v="7.2139999999999999E-3"/>
    <x v="1"/>
    <n v="54.436999999999998"/>
    <x v="0"/>
    <x v="0"/>
    <n v="1.0325599999999999"/>
    <s v="SISTEMA E"/>
    <n v="0.40549510734608002"/>
  </r>
  <r>
    <x v="2"/>
    <x v="2"/>
    <s v="CHARRUA"/>
    <n v="220"/>
    <n v="7.2139999999999999E-3"/>
    <x v="2"/>
    <n v="39.161000000000001"/>
    <x v="0"/>
    <x v="0"/>
    <n v="1.0325599999999999"/>
    <s v="SISTEMA E"/>
    <n v="0.29170589670224001"/>
  </r>
  <r>
    <x v="2"/>
    <x v="2"/>
    <s v="CHARRUA"/>
    <n v="220"/>
    <n v="7.2139999999999999E-3"/>
    <x v="3"/>
    <n v="38.674999999999997"/>
    <x v="0"/>
    <x v="0"/>
    <n v="1.0325599999999999"/>
    <s v="SISTEMA E"/>
    <n v="0.28808573721199998"/>
  </r>
  <r>
    <x v="2"/>
    <x v="2"/>
    <s v="CHARRUA"/>
    <n v="220"/>
    <n v="7.2139999999999999E-3"/>
    <x v="4"/>
    <n v="49.055"/>
    <x v="0"/>
    <x v="0"/>
    <n v="1.0325599999999999"/>
    <s v="SISTEMA E"/>
    <n v="0.3654051929912"/>
  </r>
  <r>
    <x v="2"/>
    <x v="2"/>
    <s v="CHARRUA"/>
    <n v="220"/>
    <n v="7.2139999999999999E-3"/>
    <x v="5"/>
    <n v="58.87"/>
    <x v="0"/>
    <x v="0"/>
    <n v="1.0325599999999999"/>
    <s v="SISTEMA E"/>
    <n v="0.43851602714080001"/>
  </r>
  <r>
    <x v="2"/>
    <x v="2"/>
    <s v="CHARRUA"/>
    <n v="220"/>
    <n v="7.2139999999999999E-3"/>
    <x v="0"/>
    <n v="65.05"/>
    <x v="1"/>
    <x v="0"/>
    <n v="1.0325599999999999"/>
    <s v="SISTEMA E"/>
    <n v="0.48455015399200002"/>
  </r>
  <r>
    <x v="2"/>
    <x v="2"/>
    <s v="CHARRUA"/>
    <n v="220"/>
    <n v="7.2139999999999999E-3"/>
    <x v="1"/>
    <n v="60.055999999999997"/>
    <x v="1"/>
    <x v="0"/>
    <n v="1.0325599999999999"/>
    <s v="SISTEMA E"/>
    <n v="0.44735040811903992"/>
  </r>
  <r>
    <x v="2"/>
    <x v="2"/>
    <s v="CHARRUA"/>
    <n v="220"/>
    <n v="7.2139999999999999E-3"/>
    <x v="2"/>
    <n v="33.075000000000003"/>
    <x v="1"/>
    <x v="0"/>
    <n v="1.0325599999999999"/>
    <s v="SISTEMA E"/>
    <n v="0.24637196530800001"/>
  </r>
  <r>
    <x v="2"/>
    <x v="2"/>
    <s v="CHARRUA"/>
    <n v="220"/>
    <n v="7.2139999999999999E-3"/>
    <x v="3"/>
    <n v="32.075000000000003"/>
    <x v="1"/>
    <x v="0"/>
    <n v="1.0325599999999999"/>
    <s v="SISTEMA E"/>
    <n v="0.23892307746800001"/>
  </r>
  <r>
    <x v="2"/>
    <x v="2"/>
    <s v="CHARRUA"/>
    <n v="220"/>
    <n v="7.2139999999999999E-3"/>
    <x v="4"/>
    <n v="50.77"/>
    <x v="1"/>
    <x v="0"/>
    <n v="1.0325599999999999"/>
    <s v="SISTEMA E"/>
    <n v="0.37818003563680003"/>
  </r>
  <r>
    <x v="2"/>
    <x v="2"/>
    <s v="CHARRUA"/>
    <n v="220"/>
    <n v="7.2139999999999999E-3"/>
    <x v="5"/>
    <n v="78.662999999999997"/>
    <x v="1"/>
    <x v="0"/>
    <n v="1.0325599999999999"/>
    <s v="SISTEMA E"/>
    <n v="0.58595186415791989"/>
  </r>
  <r>
    <x v="2"/>
    <x v="2"/>
    <s v="ITAHUE"/>
    <n v="220"/>
    <n v="0.16817499999999999"/>
    <x v="0"/>
    <n v="55.128"/>
    <x v="0"/>
    <x v="0"/>
    <n v="1.0325599999999999"/>
    <s v="SISTEMA E"/>
    <n v="9.5730200895839985"/>
  </r>
  <r>
    <x v="2"/>
    <x v="2"/>
    <s v="ITAHUE"/>
    <n v="220"/>
    <n v="0.16817499999999999"/>
    <x v="1"/>
    <n v="55.256999999999998"/>
    <x v="0"/>
    <x v="0"/>
    <n v="1.0325599999999999"/>
    <s v="SISTEMA E"/>
    <n v="9.5954210399459985"/>
  </r>
  <r>
    <x v="2"/>
    <x v="2"/>
    <s v="ITAHUE"/>
    <n v="220"/>
    <n v="0.16817499999999999"/>
    <x v="2"/>
    <n v="39.152000000000001"/>
    <x v="0"/>
    <x v="0"/>
    <n v="1.0325599999999999"/>
    <s v="SISTEMA E"/>
    <n v="6.798775260255999"/>
  </r>
  <r>
    <x v="2"/>
    <x v="2"/>
    <s v="ITAHUE"/>
    <n v="220"/>
    <n v="0.16817499999999999"/>
    <x v="3"/>
    <n v="38.615000000000002"/>
    <x v="0"/>
    <x v="0"/>
    <n v="1.0325599999999999"/>
    <s v="SISTEMA E"/>
    <n v="6.7055247924699994"/>
  </r>
  <r>
    <x v="2"/>
    <x v="2"/>
    <s v="ITAHUE"/>
    <n v="220"/>
    <n v="0.16817499999999999"/>
    <x v="4"/>
    <n v="46.902000000000001"/>
    <x v="0"/>
    <x v="0"/>
    <n v="1.0325599999999999"/>
    <s v="SISTEMA E"/>
    <n v="8.1445687897559988"/>
  </r>
  <r>
    <x v="2"/>
    <x v="2"/>
    <s v="ITAHUE"/>
    <n v="220"/>
    <n v="0.16817499999999999"/>
    <x v="5"/>
    <n v="58.256"/>
    <x v="0"/>
    <x v="0"/>
    <n v="1.0325599999999999"/>
    <s v="SISTEMA E"/>
    <n v="10.116199723168"/>
  </r>
  <r>
    <x v="2"/>
    <x v="2"/>
    <s v="ITAHUE"/>
    <n v="220"/>
    <n v="0.16817499999999999"/>
    <x v="0"/>
    <n v="66.899000000000001"/>
    <x v="1"/>
    <x v="0"/>
    <n v="1.0325599999999999"/>
    <s v="SISTEMA E"/>
    <n v="11.617063397421999"/>
  </r>
  <r>
    <x v="2"/>
    <x v="2"/>
    <s v="ITAHUE"/>
    <n v="220"/>
    <n v="0.16817499999999999"/>
    <x v="1"/>
    <n v="61.454000000000001"/>
    <x v="1"/>
    <x v="0"/>
    <n v="1.0325599999999999"/>
    <s v="SISTEMA E"/>
    <n v="10.671534911211999"/>
  </r>
  <r>
    <x v="2"/>
    <x v="2"/>
    <s v="ITAHUE"/>
    <n v="220"/>
    <n v="0.16817499999999999"/>
    <x v="2"/>
    <n v="32.872"/>
    <x v="1"/>
    <x v="0"/>
    <n v="1.0325599999999999"/>
    <s v="SISTEMA E"/>
    <n v="5.7082483744159989"/>
  </r>
  <r>
    <x v="2"/>
    <x v="2"/>
    <s v="ITAHUE"/>
    <n v="220"/>
    <n v="0.16817499999999999"/>
    <x v="3"/>
    <n v="31.65"/>
    <x v="1"/>
    <x v="0"/>
    <n v="1.0325599999999999"/>
    <s v="SISTEMA E"/>
    <n v="5.4960471236999986"/>
  </r>
  <r>
    <x v="2"/>
    <x v="2"/>
    <s v="ITAHUE"/>
    <n v="220"/>
    <n v="0.16817499999999999"/>
    <x v="4"/>
    <n v="46.981999999999999"/>
    <x v="1"/>
    <x v="0"/>
    <n v="1.0325599999999999"/>
    <s v="SISTEMA E"/>
    <n v="8.1584608519959989"/>
  </r>
  <r>
    <x v="2"/>
    <x v="2"/>
    <s v="ITAHUE"/>
    <n v="220"/>
    <n v="0.16817499999999999"/>
    <x v="5"/>
    <n v="79.751999999999995"/>
    <x v="1"/>
    <x v="0"/>
    <n v="1.0325599999999999"/>
    <s v="SISTEMA E"/>
    <n v="13.848996847056"/>
  </r>
  <r>
    <x v="2"/>
    <x v="2"/>
    <s v="RAPEL"/>
    <n v="220"/>
    <n v="4.5900000000000003E-3"/>
    <x v="0"/>
    <n v="55.825000000000003"/>
    <x v="0"/>
    <x v="0"/>
    <n v="1.0325599999999999"/>
    <s v="SISTEMA E"/>
    <n v="0.26457981858000001"/>
  </r>
  <r>
    <x v="2"/>
    <x v="2"/>
    <s v="RAPEL"/>
    <n v="220"/>
    <n v="4.5900000000000003E-3"/>
    <x v="1"/>
    <n v="56.061999999999998"/>
    <x v="0"/>
    <x v="0"/>
    <n v="1.0325599999999999"/>
    <s v="SISTEMA E"/>
    <n v="0.26570306832480001"/>
  </r>
  <r>
    <x v="2"/>
    <x v="2"/>
    <s v="RAPEL"/>
    <n v="220"/>
    <n v="4.5900000000000003E-3"/>
    <x v="2"/>
    <n v="39.136000000000003"/>
    <x v="0"/>
    <x v="0"/>
    <n v="1.0325599999999999"/>
    <s v="SISTEMA E"/>
    <n v="0.18548313085439999"/>
  </r>
  <r>
    <x v="2"/>
    <x v="2"/>
    <s v="RAPEL"/>
    <n v="220"/>
    <n v="4.5900000000000003E-3"/>
    <x v="3"/>
    <n v="38.625"/>
    <x v="0"/>
    <x v="0"/>
    <n v="1.0325599999999999"/>
    <s v="SISTEMA E"/>
    <n v="0.1830612717"/>
  </r>
  <r>
    <x v="2"/>
    <x v="2"/>
    <s v="RAPEL"/>
    <n v="220"/>
    <n v="4.5900000000000003E-3"/>
    <x v="4"/>
    <n v="49.764000000000003"/>
    <x v="0"/>
    <x v="0"/>
    <n v="1.0325599999999999"/>
    <s v="SISTEMA E"/>
    <n v="0.2358540097056"/>
  </r>
  <r>
    <x v="2"/>
    <x v="2"/>
    <s v="RAPEL"/>
    <n v="220"/>
    <n v="4.5900000000000003E-3"/>
    <x v="5"/>
    <n v="61.481999999999999"/>
    <x v="0"/>
    <x v="0"/>
    <n v="1.0325599999999999"/>
    <s v="SISTEMA E"/>
    <n v="0.29139088949280001"/>
  </r>
  <r>
    <x v="2"/>
    <x v="2"/>
    <s v="RAPEL"/>
    <n v="220"/>
    <n v="4.5900000000000003E-3"/>
    <x v="0"/>
    <n v="70.069000000000003"/>
    <x v="1"/>
    <x v="0"/>
    <n v="1.0325599999999999"/>
    <s v="SISTEMA E"/>
    <n v="0.33208855007760002"/>
  </r>
  <r>
    <x v="2"/>
    <x v="2"/>
    <s v="RAPEL"/>
    <n v="220"/>
    <n v="4.5900000000000003E-3"/>
    <x v="1"/>
    <n v="63.207000000000001"/>
    <x v="1"/>
    <x v="0"/>
    <n v="1.0325599999999999"/>
    <s v="SISTEMA E"/>
    <n v="0.29956644143279998"/>
  </r>
  <r>
    <x v="2"/>
    <x v="2"/>
    <s v="RAPEL"/>
    <n v="220"/>
    <n v="4.5900000000000003E-3"/>
    <x v="2"/>
    <n v="32.453000000000003"/>
    <x v="1"/>
    <x v="0"/>
    <n v="1.0325599999999999"/>
    <s v="SISTEMA E"/>
    <n v="0.15380938383119999"/>
  </r>
  <r>
    <x v="2"/>
    <x v="2"/>
    <s v="RAPEL"/>
    <n v="220"/>
    <n v="4.5900000000000003E-3"/>
    <x v="3"/>
    <n v="30.672000000000001"/>
    <x v="1"/>
    <x v="0"/>
    <n v="1.0325599999999999"/>
    <s v="SISTEMA E"/>
    <n v="0.14536842266880001"/>
  </r>
  <r>
    <x v="2"/>
    <x v="2"/>
    <s v="RAPEL"/>
    <n v="220"/>
    <n v="4.5900000000000003E-3"/>
    <x v="4"/>
    <n v="51.459000000000003"/>
    <x v="1"/>
    <x v="0"/>
    <n v="1.0325599999999999"/>
    <s v="SISTEMA E"/>
    <n v="0.24388737813360001"/>
  </r>
  <r>
    <x v="2"/>
    <x v="2"/>
    <s v="RAPEL"/>
    <n v="220"/>
    <n v="4.5900000000000003E-3"/>
    <x v="5"/>
    <n v="87.926000000000002"/>
    <x v="1"/>
    <x v="0"/>
    <n v="1.0325599999999999"/>
    <s v="SISTEMA E"/>
    <n v="0.4167209158704"/>
  </r>
  <r>
    <x v="3"/>
    <x v="2"/>
    <s v="A.JAHUEL"/>
    <n v="220"/>
    <n v="3.1466000000000001E-2"/>
    <x v="0"/>
    <n v="55.936"/>
    <x v="0"/>
    <x v="0"/>
    <n v="1.0325599999999999"/>
    <s v="SISTEMA E"/>
    <n v="1.8173904516505599"/>
  </r>
  <r>
    <x v="3"/>
    <x v="2"/>
    <s v="A.JAHUEL"/>
    <n v="220"/>
    <n v="3.1466000000000001E-2"/>
    <x v="1"/>
    <n v="56.033999999999999"/>
    <x v="0"/>
    <x v="0"/>
    <n v="1.0325599999999999"/>
    <s v="SISTEMA E"/>
    <n v="1.8205745238806399"/>
  </r>
  <r>
    <x v="3"/>
    <x v="2"/>
    <s v="A.JAHUEL"/>
    <n v="220"/>
    <n v="3.1466000000000001E-2"/>
    <x v="2"/>
    <n v="39.116999999999997"/>
    <x v="0"/>
    <x v="0"/>
    <n v="1.0325599999999999"/>
    <s v="SISTEMA E"/>
    <n v="1.2709321777963201"/>
  </r>
  <r>
    <x v="3"/>
    <x v="2"/>
    <s v="A.JAHUEL"/>
    <n v="220"/>
    <n v="3.1466000000000001E-2"/>
    <x v="3"/>
    <n v="38.668999999999997"/>
    <x v="0"/>
    <x v="0"/>
    <n v="1.0325599999999999"/>
    <s v="SISTEMA E"/>
    <n v="1.25637641903024"/>
  </r>
  <r>
    <x v="3"/>
    <x v="2"/>
    <s v="A.JAHUEL"/>
    <n v="220"/>
    <n v="3.1466000000000001E-2"/>
    <x v="4"/>
    <n v="51.475999999999999"/>
    <x v="0"/>
    <x v="0"/>
    <n v="1.0325599999999999"/>
    <s v="SISTEMA E"/>
    <n v="1.6724826746489601"/>
  </r>
  <r>
    <x v="3"/>
    <x v="2"/>
    <s v="A.JAHUEL"/>
    <n v="220"/>
    <n v="3.1466000000000001E-2"/>
    <x v="5"/>
    <n v="62.256999999999998"/>
    <x v="0"/>
    <x v="0"/>
    <n v="1.0325599999999999"/>
    <s v="SISTEMA E"/>
    <n v="2.02276311049072"/>
  </r>
  <r>
    <x v="3"/>
    <x v="2"/>
    <s v="A.JAHUEL"/>
    <n v="220"/>
    <n v="3.1466000000000001E-2"/>
    <x v="0"/>
    <n v="69.262"/>
    <x v="1"/>
    <x v="0"/>
    <n v="1.0325599999999999"/>
    <s v="SISTEMA E"/>
    <n v="2.2503592938755199"/>
  </r>
  <r>
    <x v="3"/>
    <x v="2"/>
    <s v="A.JAHUEL"/>
    <n v="220"/>
    <n v="3.1466000000000001E-2"/>
    <x v="1"/>
    <n v="62.783000000000001"/>
    <x v="1"/>
    <x v="0"/>
    <n v="1.0325599999999999"/>
    <s v="SISTEMA E"/>
    <n v="2.0398531308276802"/>
  </r>
  <r>
    <x v="3"/>
    <x v="2"/>
    <s v="A.JAHUEL"/>
    <n v="220"/>
    <n v="3.1466000000000001E-2"/>
    <x v="2"/>
    <n v="32.915999999999997"/>
    <x v="1"/>
    <x v="0"/>
    <n v="1.0325599999999999"/>
    <s v="SISTEMA E"/>
    <n v="1.06945838291136"/>
  </r>
  <r>
    <x v="3"/>
    <x v="2"/>
    <s v="A.JAHUEL"/>
    <n v="220"/>
    <n v="3.1466000000000001E-2"/>
    <x v="3"/>
    <n v="32.179000000000002"/>
    <x v="1"/>
    <x v="0"/>
    <n v="1.0325599999999999"/>
    <s v="SISTEMA E"/>
    <n v="1.04551286011984"/>
  </r>
  <r>
    <x v="3"/>
    <x v="2"/>
    <s v="A.JAHUEL"/>
    <n v="220"/>
    <n v="3.1466000000000001E-2"/>
    <x v="4"/>
    <n v="54.389000000000003"/>
    <x v="1"/>
    <x v="0"/>
    <n v="1.0325599999999999"/>
    <s v="SISTEMA E"/>
    <n v="1.76712759716144"/>
  </r>
  <r>
    <x v="3"/>
    <x v="2"/>
    <s v="A.JAHUEL"/>
    <n v="220"/>
    <n v="3.1466000000000001E-2"/>
    <x v="5"/>
    <n v="88.427000000000007"/>
    <x v="1"/>
    <x v="0"/>
    <n v="1.0325599999999999"/>
    <s v="SISTEMA E"/>
    <n v="2.8730403580539199"/>
  </r>
  <r>
    <x v="3"/>
    <x v="2"/>
    <s v="A.MELIP"/>
    <n v="220"/>
    <n v="7.548E-3"/>
    <x v="0"/>
    <n v="56.027999999999999"/>
    <x v="0"/>
    <x v="0"/>
    <n v="1.0325599999999999"/>
    <s v="SISTEMA E"/>
    <n v="0.43666894664063999"/>
  </r>
  <r>
    <x v="3"/>
    <x v="2"/>
    <s v="A.MELIP"/>
    <n v="220"/>
    <n v="7.548E-3"/>
    <x v="1"/>
    <n v="56.122999999999998"/>
    <x v="0"/>
    <x v="0"/>
    <n v="1.0325599999999999"/>
    <s v="SISTEMA E"/>
    <n v="0.43740935411423998"/>
  </r>
  <r>
    <x v="3"/>
    <x v="2"/>
    <s v="A.MELIP"/>
    <n v="220"/>
    <n v="7.548E-3"/>
    <x v="2"/>
    <n v="39.145000000000003"/>
    <x v="0"/>
    <x v="0"/>
    <n v="1.0325599999999999"/>
    <s v="SISTEMA E"/>
    <n v="0.30508684793759999"/>
  </r>
  <r>
    <x v="3"/>
    <x v="2"/>
    <s v="A.MELIP"/>
    <n v="220"/>
    <n v="7.548E-3"/>
    <x v="3"/>
    <n v="38.646999999999998"/>
    <x v="0"/>
    <x v="0"/>
    <n v="1.0325599999999999"/>
    <s v="SISTEMA E"/>
    <n v="0.30120555402336002"/>
  </r>
  <r>
    <x v="3"/>
    <x v="2"/>
    <s v="A.MELIP"/>
    <n v="220"/>
    <n v="7.548E-3"/>
    <x v="4"/>
    <n v="49.831000000000003"/>
    <x v="0"/>
    <x v="0"/>
    <n v="1.0325599999999999"/>
    <s v="SISTEMA E"/>
    <n v="0.38837099807328002"/>
  </r>
  <r>
    <x v="3"/>
    <x v="2"/>
    <s v="A.MELIP"/>
    <n v="220"/>
    <n v="7.548E-3"/>
    <x v="5"/>
    <n v="61.533000000000001"/>
    <x v="0"/>
    <x v="0"/>
    <n v="1.0325599999999999"/>
    <s v="SISTEMA E"/>
    <n v="0.47957361129504"/>
  </r>
  <r>
    <x v="3"/>
    <x v="2"/>
    <s v="A.MELIP"/>
    <n v="220"/>
    <n v="7.548E-3"/>
    <x v="0"/>
    <n v="70.548000000000002"/>
    <x v="1"/>
    <x v="0"/>
    <n v="1.0325599999999999"/>
    <s v="SISTEMA E"/>
    <n v="0.54983438365824"/>
  </r>
  <r>
    <x v="3"/>
    <x v="2"/>
    <s v="A.MELIP"/>
    <n v="220"/>
    <n v="7.548E-3"/>
    <x v="1"/>
    <n v="63.55"/>
    <x v="1"/>
    <x v="0"/>
    <n v="1.0325599999999999"/>
    <s v="SISTEMA E"/>
    <n v="0.49529363102399993"/>
  </r>
  <r>
    <x v="3"/>
    <x v="2"/>
    <s v="A.MELIP"/>
    <n v="220"/>
    <n v="7.548E-3"/>
    <x v="2"/>
    <n v="32.978000000000002"/>
    <x v="1"/>
    <x v="0"/>
    <n v="1.0325599999999999"/>
    <s v="SISTEMA E"/>
    <n v="0.25702271225663997"/>
  </r>
  <r>
    <x v="3"/>
    <x v="2"/>
    <s v="A.MELIP"/>
    <n v="220"/>
    <n v="7.548E-3"/>
    <x v="3"/>
    <n v="31.867000000000001"/>
    <x v="1"/>
    <x v="0"/>
    <n v="1.0325599999999999"/>
    <s v="SISTEMA E"/>
    <n v="0.24836384169695999"/>
  </r>
  <r>
    <x v="3"/>
    <x v="2"/>
    <s v="A.MELIP"/>
    <n v="220"/>
    <n v="7.548E-3"/>
    <x v="4"/>
    <n v="51.658000000000001"/>
    <x v="1"/>
    <x v="0"/>
    <n v="1.0325599999999999"/>
    <s v="SISTEMA E"/>
    <n v="0.40261020285504001"/>
  </r>
  <r>
    <x v="3"/>
    <x v="2"/>
    <s v="A.MELIP"/>
    <n v="220"/>
    <n v="7.548E-3"/>
    <x v="5"/>
    <n v="88.040999999999997"/>
    <x v="1"/>
    <x v="0"/>
    <n v="1.0325599999999999"/>
    <s v="SISTEMA E"/>
    <n v="0.68617067771807994"/>
  </r>
  <r>
    <x v="3"/>
    <x v="2"/>
    <s v="CHARRUA"/>
    <n v="220"/>
    <n v="0.94450500000000004"/>
    <x v="0"/>
    <n v="54.328000000000003"/>
    <x v="0"/>
    <x v="0"/>
    <n v="1.0325599999999999"/>
    <s v="SISTEMA E"/>
    <n v="52.9838211223584"/>
  </r>
  <r>
    <x v="3"/>
    <x v="2"/>
    <s v="CHARRUA"/>
    <n v="220"/>
    <n v="0.94450500000000004"/>
    <x v="1"/>
    <n v="54.436999999999998"/>
    <x v="0"/>
    <x v="0"/>
    <n v="1.0325599999999999"/>
    <s v="SISTEMA E"/>
    <n v="53.090124253383593"/>
  </r>
  <r>
    <x v="3"/>
    <x v="2"/>
    <s v="CHARRUA"/>
    <n v="220"/>
    <n v="0.94450500000000004"/>
    <x v="2"/>
    <n v="39.161000000000001"/>
    <x v="0"/>
    <x v="0"/>
    <n v="1.0325599999999999"/>
    <s v="SISTEMA E"/>
    <n v="38.192081780530799"/>
  </r>
  <r>
    <x v="3"/>
    <x v="2"/>
    <s v="CHARRUA"/>
    <n v="220"/>
    <n v="0.94450500000000004"/>
    <x v="3"/>
    <n v="38.674999999999997"/>
    <x v="0"/>
    <x v="0"/>
    <n v="1.0325599999999999"/>
    <s v="SISTEMA E"/>
    <n v="37.71810635229"/>
  </r>
  <r>
    <x v="3"/>
    <x v="2"/>
    <s v="CHARRUA"/>
    <n v="220"/>
    <n v="0.94450500000000004"/>
    <x v="4"/>
    <n v="49.055"/>
    <x v="0"/>
    <x v="0"/>
    <n v="1.0325599999999999"/>
    <s v="SISTEMA E"/>
    <n v="47.841285251753987"/>
  </r>
  <r>
    <x v="3"/>
    <x v="2"/>
    <s v="CHARRUA"/>
    <n v="220"/>
    <n v="0.94450500000000004"/>
    <x v="5"/>
    <n v="58.87"/>
    <x v="0"/>
    <x v="0"/>
    <n v="1.0325599999999999"/>
    <s v="SISTEMA E"/>
    <n v="57.413443334436003"/>
  </r>
  <r>
    <x v="3"/>
    <x v="2"/>
    <s v="CHARRUA"/>
    <n v="220"/>
    <n v="0.94450500000000004"/>
    <x v="0"/>
    <n v="65.05"/>
    <x v="1"/>
    <x v="0"/>
    <n v="1.0325599999999999"/>
    <s v="SISTEMA E"/>
    <n v="63.440538286139997"/>
  </r>
  <r>
    <x v="3"/>
    <x v="2"/>
    <s v="CHARRUA"/>
    <n v="220"/>
    <n v="0.94450500000000004"/>
    <x v="1"/>
    <n v="60.055999999999997"/>
    <x v="1"/>
    <x v="0"/>
    <n v="1.0325599999999999"/>
    <s v="SISTEMA E"/>
    <n v="58.570099420636787"/>
  </r>
  <r>
    <x v="3"/>
    <x v="2"/>
    <s v="CHARRUA"/>
    <n v="220"/>
    <n v="0.94450500000000004"/>
    <x v="2"/>
    <n v="33.075000000000003"/>
    <x v="1"/>
    <x v="0"/>
    <n v="1.0325599999999999"/>
    <s v="SISTEMA E"/>
    <n v="32.256661088610002"/>
  </r>
  <r>
    <x v="3"/>
    <x v="2"/>
    <s v="CHARRUA"/>
    <n v="220"/>
    <n v="0.94450500000000004"/>
    <x v="3"/>
    <n v="32.075000000000003"/>
    <x v="1"/>
    <x v="0"/>
    <n v="1.0325599999999999"/>
    <s v="SISTEMA E"/>
    <n v="31.281403005809999"/>
  </r>
  <r>
    <x v="3"/>
    <x v="2"/>
    <s v="CHARRUA"/>
    <n v="220"/>
    <n v="0.94450500000000004"/>
    <x v="4"/>
    <n v="50.77"/>
    <x v="1"/>
    <x v="0"/>
    <n v="1.0325599999999999"/>
    <s v="SISTEMA E"/>
    <n v="49.513852863756"/>
  </r>
  <r>
    <x v="3"/>
    <x v="2"/>
    <s v="CHARRUA"/>
    <n v="220"/>
    <n v="0.94450500000000004"/>
    <x v="5"/>
    <n v="78.662999999999997"/>
    <x v="1"/>
    <x v="0"/>
    <n v="1.0325599999999999"/>
    <s v="SISTEMA E"/>
    <n v="76.716726567296405"/>
  </r>
  <r>
    <x v="3"/>
    <x v="2"/>
    <s v="ITAHUE"/>
    <n v="220"/>
    <n v="1.2458E-2"/>
    <x v="0"/>
    <n v="55.128"/>
    <x v="0"/>
    <x v="0"/>
    <n v="1.0325599999999999"/>
    <s v="SISTEMA E"/>
    <n v="0.70914633135743999"/>
  </r>
  <r>
    <x v="3"/>
    <x v="2"/>
    <s v="ITAHUE"/>
    <n v="220"/>
    <n v="1.2458E-2"/>
    <x v="1"/>
    <n v="55.256999999999998"/>
    <x v="0"/>
    <x v="0"/>
    <n v="1.0325599999999999"/>
    <s v="SISTEMA E"/>
    <n v="0.71080573994735996"/>
  </r>
  <r>
    <x v="3"/>
    <x v="2"/>
    <s v="ITAHUE"/>
    <n v="220"/>
    <n v="1.2458E-2"/>
    <x v="2"/>
    <n v="39.152000000000001"/>
    <x v="0"/>
    <x v="0"/>
    <n v="1.0325599999999999"/>
    <s v="SISTEMA E"/>
    <n v="0.50363693885695993"/>
  </r>
  <r>
    <x v="3"/>
    <x v="2"/>
    <s v="ITAHUE"/>
    <n v="220"/>
    <n v="1.2458E-2"/>
    <x v="3"/>
    <n v="38.615000000000002"/>
    <x v="0"/>
    <x v="0"/>
    <n v="1.0325599999999999"/>
    <s v="SISTEMA E"/>
    <n v="0.49672916821520002"/>
  </r>
  <r>
    <x v="3"/>
    <x v="2"/>
    <s v="ITAHUE"/>
    <n v="220"/>
    <n v="1.2458E-2"/>
    <x v="4"/>
    <n v="46.902000000000001"/>
    <x v="0"/>
    <x v="0"/>
    <n v="1.0325599999999999"/>
    <s v="SISTEMA E"/>
    <n v="0.60333009057695997"/>
  </r>
  <r>
    <x v="3"/>
    <x v="2"/>
    <s v="ITAHUE"/>
    <n v="220"/>
    <n v="1.2458E-2"/>
    <x v="5"/>
    <n v="58.256"/>
    <x v="0"/>
    <x v="0"/>
    <n v="1.0325599999999999"/>
    <s v="SISTEMA E"/>
    <n v="0.74938377375487997"/>
  </r>
  <r>
    <x v="3"/>
    <x v="2"/>
    <s v="ITAHUE"/>
    <n v="220"/>
    <n v="1.2458E-2"/>
    <x v="0"/>
    <n v="66.899000000000001"/>
    <x v="1"/>
    <x v="0"/>
    <n v="1.0325599999999999"/>
    <s v="SISTEMA E"/>
    <n v="0.86056414927951996"/>
  </r>
  <r>
    <x v="3"/>
    <x v="2"/>
    <s v="ITAHUE"/>
    <n v="220"/>
    <n v="1.2458E-2"/>
    <x v="1"/>
    <n v="61.454000000000001"/>
    <x v="1"/>
    <x v="0"/>
    <n v="1.0325599999999999"/>
    <s v="SISTEMA E"/>
    <n v="0.79052167042591992"/>
  </r>
  <r>
    <x v="3"/>
    <x v="2"/>
    <s v="ITAHUE"/>
    <n v="220"/>
    <n v="1.2458E-2"/>
    <x v="2"/>
    <n v="32.872"/>
    <x v="1"/>
    <x v="0"/>
    <n v="1.0325599999999999"/>
    <s v="SISTEMA E"/>
    <n v="0.42285332688255989"/>
  </r>
  <r>
    <x v="3"/>
    <x v="2"/>
    <s v="ITAHUE"/>
    <n v="220"/>
    <n v="1.2458E-2"/>
    <x v="3"/>
    <n v="31.65"/>
    <x v="1"/>
    <x v="0"/>
    <n v="1.0325599999999999"/>
    <s v="SISTEMA E"/>
    <n v="0.40713396799199991"/>
  </r>
  <r>
    <x v="3"/>
    <x v="2"/>
    <s v="ITAHUE"/>
    <n v="220"/>
    <n v="1.2458E-2"/>
    <x v="4"/>
    <n v="46.981999999999999"/>
    <x v="1"/>
    <x v="0"/>
    <n v="1.0325599999999999"/>
    <s v="SISTEMA E"/>
    <n v="0.60435918117535992"/>
  </r>
  <r>
    <x v="3"/>
    <x v="2"/>
    <s v="ITAHUE"/>
    <n v="220"/>
    <n v="1.2458E-2"/>
    <x v="5"/>
    <n v="79.751999999999995"/>
    <x v="1"/>
    <x v="0"/>
    <n v="1.0325599999999999"/>
    <s v="SISTEMA E"/>
    <n v="1.02590041754496"/>
  </r>
  <r>
    <x v="3"/>
    <x v="2"/>
    <s v="RAPEL"/>
    <n v="220"/>
    <n v="4.0220000000000004E-3"/>
    <x v="0"/>
    <n v="55.825000000000003"/>
    <x v="0"/>
    <x v="0"/>
    <n v="1.0325599999999999"/>
    <s v="SISTEMA E"/>
    <n v="0.231838786564"/>
  </r>
  <r>
    <x v="3"/>
    <x v="2"/>
    <s v="RAPEL"/>
    <n v="220"/>
    <n v="4.0220000000000004E-3"/>
    <x v="1"/>
    <n v="56.061999999999998"/>
    <x v="0"/>
    <x v="0"/>
    <n v="1.0325599999999999"/>
    <s v="SISTEMA E"/>
    <n v="0.23282303721184"/>
  </r>
  <r>
    <x v="3"/>
    <x v="2"/>
    <s v="RAPEL"/>
    <n v="220"/>
    <n v="4.0220000000000004E-3"/>
    <x v="2"/>
    <n v="39.136000000000003"/>
    <x v="0"/>
    <x v="0"/>
    <n v="1.0325599999999999"/>
    <s v="SISTEMA E"/>
    <n v="0.16253009853952"/>
  </r>
  <r>
    <x v="3"/>
    <x v="2"/>
    <s v="RAPEL"/>
    <n v="220"/>
    <n v="4.0220000000000004E-3"/>
    <x v="3"/>
    <n v="38.625"/>
    <x v="0"/>
    <x v="0"/>
    <n v="1.0325599999999999"/>
    <s v="SISTEMA E"/>
    <n v="0.16040793785999999"/>
  </r>
  <r>
    <x v="3"/>
    <x v="2"/>
    <s v="RAPEL"/>
    <n v="220"/>
    <n v="4.0220000000000004E-3"/>
    <x v="4"/>
    <n v="49.764000000000003"/>
    <x v="0"/>
    <x v="0"/>
    <n v="1.0325599999999999"/>
    <s v="SISTEMA E"/>
    <n v="0.20666771830847999"/>
  </r>
  <r>
    <x v="3"/>
    <x v="2"/>
    <s v="RAPEL"/>
    <n v="220"/>
    <n v="4.0220000000000004E-3"/>
    <x v="5"/>
    <n v="61.481999999999999"/>
    <x v="0"/>
    <x v="0"/>
    <n v="1.0325599999999999"/>
    <s v="SISTEMA E"/>
    <n v="0.25533206046624002"/>
  </r>
  <r>
    <x v="3"/>
    <x v="2"/>
    <s v="RAPEL"/>
    <n v="220"/>
    <n v="4.0220000000000004E-3"/>
    <x v="0"/>
    <n v="70.069000000000003"/>
    <x v="1"/>
    <x v="0"/>
    <n v="1.0325599999999999"/>
    <s v="SISTEMA E"/>
    <n v="0.29099349638608002"/>
  </r>
  <r>
    <x v="3"/>
    <x v="2"/>
    <s v="RAPEL"/>
    <n v="220"/>
    <n v="4.0220000000000004E-3"/>
    <x v="1"/>
    <n v="63.207000000000001"/>
    <x v="1"/>
    <x v="0"/>
    <n v="1.0325599999999999"/>
    <s v="SISTEMA E"/>
    <n v="0.26249591011823997"/>
  </r>
  <r>
    <x v="3"/>
    <x v="2"/>
    <s v="RAPEL"/>
    <n v="220"/>
    <n v="4.0220000000000004E-3"/>
    <x v="2"/>
    <n v="32.453000000000003"/>
    <x v="1"/>
    <x v="0"/>
    <n v="1.0325599999999999"/>
    <s v="SISTEMA E"/>
    <n v="0.13477589145296001"/>
  </r>
  <r>
    <x v="3"/>
    <x v="2"/>
    <s v="RAPEL"/>
    <n v="220"/>
    <n v="4.0220000000000004E-3"/>
    <x v="3"/>
    <n v="30.672000000000001"/>
    <x v="1"/>
    <x v="0"/>
    <n v="1.0325599999999999"/>
    <s v="SISTEMA E"/>
    <n v="0.12737947624703999"/>
  </r>
  <r>
    <x v="3"/>
    <x v="2"/>
    <s v="RAPEL"/>
    <n v="220"/>
    <n v="4.0220000000000004E-3"/>
    <x v="4"/>
    <n v="51.459000000000003"/>
    <x v="1"/>
    <x v="0"/>
    <n v="1.0325599999999999"/>
    <s v="SISTEMA E"/>
    <n v="0.21370697927088"/>
  </r>
  <r>
    <x v="3"/>
    <x v="2"/>
    <s v="RAPEL"/>
    <n v="220"/>
    <n v="4.0220000000000004E-3"/>
    <x v="5"/>
    <n v="87.926000000000002"/>
    <x v="1"/>
    <x v="0"/>
    <n v="1.0325599999999999"/>
    <s v="SISTEMA E"/>
    <n v="0.36515283739232002"/>
  </r>
  <r>
    <x v="4"/>
    <x v="1"/>
    <s v="CHARRUA"/>
    <n v="220"/>
    <n v="0.49375200000000002"/>
    <x v="0"/>
    <n v="54.328000000000003"/>
    <x v="0"/>
    <x v="0"/>
    <n v="1.0325599999999999"/>
    <s v="SISTEMA E"/>
    <n v="27.69796628583936"/>
  </r>
  <r>
    <x v="4"/>
    <x v="1"/>
    <s v="CHARRUA"/>
    <n v="220"/>
    <n v="0.49375200000000002"/>
    <x v="1"/>
    <n v="54.436999999999998"/>
    <x v="0"/>
    <x v="0"/>
    <n v="1.0325599999999999"/>
    <s v="SISTEMA E"/>
    <n v="27.75353759943744"/>
  </r>
  <r>
    <x v="4"/>
    <x v="1"/>
    <s v="CHARRUA"/>
    <n v="220"/>
    <n v="0.49375200000000002"/>
    <x v="2"/>
    <n v="39.161000000000001"/>
    <x v="0"/>
    <x v="0"/>
    <n v="1.0325599999999999"/>
    <s v="SISTEMA E"/>
    <n v="19.965396438664321"/>
  </r>
  <r>
    <x v="4"/>
    <x v="1"/>
    <s v="CHARRUA"/>
    <n v="220"/>
    <n v="0.49375200000000002"/>
    <x v="3"/>
    <n v="38.674999999999997"/>
    <x v="0"/>
    <x v="0"/>
    <n v="1.0325599999999999"/>
    <s v="SISTEMA E"/>
    <n v="19.717619756015999"/>
  </r>
  <r>
    <x v="4"/>
    <x v="1"/>
    <s v="CHARRUA"/>
    <n v="220"/>
    <n v="0.49375200000000002"/>
    <x v="4"/>
    <n v="49.055"/>
    <x v="0"/>
    <x v="0"/>
    <n v="1.0325599999999999"/>
    <s v="SISTEMA E"/>
    <n v="25.0096402619616"/>
  </r>
  <r>
    <x v="4"/>
    <x v="1"/>
    <s v="CHARRUA"/>
    <n v="220"/>
    <n v="0.49375200000000002"/>
    <x v="5"/>
    <n v="58.87"/>
    <x v="0"/>
    <x v="0"/>
    <n v="1.0325599999999999"/>
    <s v="SISTEMA E"/>
    <n v="30.013607628614398"/>
  </r>
  <r>
    <x v="4"/>
    <x v="1"/>
    <s v="CHARRUA"/>
    <n v="220"/>
    <n v="0.49375200000000002"/>
    <x v="0"/>
    <n v="65.05"/>
    <x v="1"/>
    <x v="0"/>
    <n v="1.0325599999999999"/>
    <s v="SISTEMA E"/>
    <n v="33.164348161055997"/>
  </r>
  <r>
    <x v="4"/>
    <x v="1"/>
    <s v="CHARRUA"/>
    <n v="220"/>
    <n v="0.49375200000000002"/>
    <x v="1"/>
    <n v="60.055999999999997"/>
    <x v="1"/>
    <x v="0"/>
    <n v="1.0325599999999999"/>
    <s v="SISTEMA E"/>
    <n v="30.618264306846719"/>
  </r>
  <r>
    <x v="4"/>
    <x v="1"/>
    <s v="CHARRUA"/>
    <n v="220"/>
    <n v="0.49375200000000002"/>
    <x v="2"/>
    <n v="33.075000000000003"/>
    <x v="1"/>
    <x v="0"/>
    <n v="1.0325599999999999"/>
    <s v="SISTEMA E"/>
    <n v="16.862579791344"/>
  </r>
  <r>
    <x v="4"/>
    <x v="1"/>
    <s v="CHARRUA"/>
    <n v="220"/>
    <n v="0.49375200000000002"/>
    <x v="3"/>
    <n v="32.075000000000003"/>
    <x v="1"/>
    <x v="0"/>
    <n v="1.0325599999999999"/>
    <s v="SISTEMA E"/>
    <n v="16.352751226224001"/>
  </r>
  <r>
    <x v="4"/>
    <x v="1"/>
    <s v="CHARRUA"/>
    <n v="220"/>
    <n v="0.49375200000000002"/>
    <x v="4"/>
    <n v="50.77"/>
    <x v="1"/>
    <x v="0"/>
    <n v="1.0325599999999999"/>
    <s v="SISTEMA E"/>
    <n v="25.883996251142399"/>
  </r>
  <r>
    <x v="4"/>
    <x v="1"/>
    <s v="CHARRUA"/>
    <n v="220"/>
    <n v="0.49375200000000002"/>
    <x v="5"/>
    <n v="78.662999999999997"/>
    <x v="1"/>
    <x v="0"/>
    <n v="1.0325599999999999"/>
    <s v="SISTEMA E"/>
    <n v="40.104644418034553"/>
  </r>
  <r>
    <x v="4"/>
    <x v="1"/>
    <s v="HUALPEN"/>
    <n v="220"/>
    <n v="0.16069600000000001"/>
    <x v="0"/>
    <n v="54.655999999999999"/>
    <x v="0"/>
    <x v="0"/>
    <n v="1.0325599999999999"/>
    <s v="SISTEMA E"/>
    <n v="9.0689750747545599"/>
  </r>
  <r>
    <x v="4"/>
    <x v="1"/>
    <s v="HUALPEN"/>
    <n v="220"/>
    <n v="0.16069600000000001"/>
    <x v="1"/>
    <n v="54.720999999999997"/>
    <x v="0"/>
    <x v="0"/>
    <n v="1.0325599999999999"/>
    <s v="SISTEMA E"/>
    <n v="9.0797604117689588"/>
  </r>
  <r>
    <x v="4"/>
    <x v="1"/>
    <s v="HUALPEN"/>
    <n v="220"/>
    <n v="0.16069600000000001"/>
    <x v="2"/>
    <n v="39.21"/>
    <x v="0"/>
    <x v="0"/>
    <n v="1.0325599999999999"/>
    <s v="SISTEMA E"/>
    <n v="6.5060471436096003"/>
  </r>
  <r>
    <x v="4"/>
    <x v="1"/>
    <s v="HUALPEN"/>
    <n v="220"/>
    <n v="0.16069600000000001"/>
    <x v="3"/>
    <n v="38.832999999999998"/>
    <x v="0"/>
    <x v="0"/>
    <n v="1.0325599999999999"/>
    <s v="SISTEMA E"/>
    <n v="6.4434921889260792"/>
  </r>
  <r>
    <x v="4"/>
    <x v="1"/>
    <s v="HUALPEN"/>
    <n v="220"/>
    <n v="0.16069600000000001"/>
    <x v="4"/>
    <n v="49.430999999999997"/>
    <x v="0"/>
    <x v="0"/>
    <n v="1.0325599999999999"/>
    <s v="SISTEMA E"/>
    <n v="8.2019999070585587"/>
  </r>
  <r>
    <x v="4"/>
    <x v="1"/>
    <s v="HUALPEN"/>
    <n v="220"/>
    <n v="0.16069600000000001"/>
    <x v="5"/>
    <n v="59.482999999999997"/>
    <x v="0"/>
    <x v="0"/>
    <n v="1.0325599999999999"/>
    <s v="SISTEMA E"/>
    <n v="9.8699107942700799"/>
  </r>
  <r>
    <x v="4"/>
    <x v="1"/>
    <s v="HUALPEN"/>
    <n v="220"/>
    <n v="0.16069600000000001"/>
    <x v="0"/>
    <n v="65.977999999999994"/>
    <x v="1"/>
    <x v="0"/>
    <n v="1.0325599999999999"/>
    <s v="SISTEMA E"/>
    <n v="10.94761485440128"/>
  </r>
  <r>
    <x v="4"/>
    <x v="1"/>
    <s v="HUALPEN"/>
    <n v="220"/>
    <n v="0.16069600000000001"/>
    <x v="1"/>
    <n v="60.713999999999999"/>
    <x v="1"/>
    <x v="0"/>
    <n v="1.0325599999999999"/>
    <s v="SISTEMA E"/>
    <n v="10.07416848449664"/>
  </r>
  <r>
    <x v="4"/>
    <x v="1"/>
    <s v="HUALPEN"/>
    <n v="220"/>
    <n v="0.16069600000000001"/>
    <x v="2"/>
    <n v="33.551000000000002"/>
    <x v="1"/>
    <x v="0"/>
    <n v="1.0325599999999999"/>
    <s v="SISTEMA E"/>
    <n v="5.56705911030976"/>
  </r>
  <r>
    <x v="4"/>
    <x v="1"/>
    <s v="HUALPEN"/>
    <n v="220"/>
    <n v="0.16069600000000001"/>
    <x v="3"/>
    <n v="32.537999999999997"/>
    <x v="1"/>
    <x v="0"/>
    <n v="1.0325599999999999"/>
    <s v="SISTEMA E"/>
    <n v="5.3989737811468794"/>
  </r>
  <r>
    <x v="4"/>
    <x v="1"/>
    <s v="HUALPEN"/>
    <n v="220"/>
    <n v="0.16069600000000001"/>
    <x v="4"/>
    <n v="52.204000000000001"/>
    <x v="1"/>
    <x v="0"/>
    <n v="1.0325599999999999"/>
    <s v="SISTEMA E"/>
    <n v="8.6621189769190394"/>
  </r>
  <r>
    <x v="4"/>
    <x v="1"/>
    <s v="HUALPEN"/>
    <n v="220"/>
    <n v="0.16069600000000001"/>
    <x v="5"/>
    <n v="80.929000000000002"/>
    <x v="1"/>
    <x v="0"/>
    <n v="1.0325599999999999"/>
    <s v="SISTEMA E"/>
    <n v="13.428408295975039"/>
  </r>
  <r>
    <x v="4"/>
    <x v="1"/>
    <s v="LAGUNILLAS"/>
    <n v="220"/>
    <n v="0.345553"/>
    <x v="0"/>
    <n v="54.554000000000002"/>
    <x v="0"/>
    <x v="0"/>
    <n v="1.0325599999999999"/>
    <s v="SISTEMA E"/>
    <n v="19.465096636666718"/>
  </r>
  <r>
    <x v="4"/>
    <x v="1"/>
    <s v="LAGUNILLAS"/>
    <n v="220"/>
    <n v="0.345553"/>
    <x v="1"/>
    <n v="54.600999999999999"/>
    <x v="0"/>
    <x v="0"/>
    <n v="1.0325599999999999"/>
    <s v="SISTEMA E"/>
    <n v="19.481866434333671"/>
  </r>
  <r>
    <x v="4"/>
    <x v="1"/>
    <s v="LAGUNILLAS"/>
    <n v="220"/>
    <n v="0.345553"/>
    <x v="2"/>
    <n v="39.219000000000001"/>
    <x v="0"/>
    <x v="0"/>
    <n v="1.0325599999999999"/>
    <s v="SISTEMA E"/>
    <n v="13.99350414256392"/>
  </r>
  <r>
    <x v="4"/>
    <x v="1"/>
    <s v="LAGUNILLAS"/>
    <n v="220"/>
    <n v="0.345553"/>
    <x v="3"/>
    <n v="38.890999999999998"/>
    <x v="0"/>
    <x v="0"/>
    <n v="1.0325599999999999"/>
    <s v="SISTEMA E"/>
    <n v="13.876472363100881"/>
  </r>
  <r>
    <x v="4"/>
    <x v="1"/>
    <s v="LAGUNILLAS"/>
    <n v="220"/>
    <n v="0.345553"/>
    <x v="4"/>
    <n v="49.421999999999997"/>
    <x v="0"/>
    <x v="0"/>
    <n v="1.0325599999999999"/>
    <s v="SISTEMA E"/>
    <n v="17.633977453116959"/>
  </r>
  <r>
    <x v="4"/>
    <x v="1"/>
    <s v="LAGUNILLAS"/>
    <n v="220"/>
    <n v="0.345553"/>
    <x v="5"/>
    <n v="59.421999999999997"/>
    <x v="0"/>
    <x v="0"/>
    <n v="1.0325599999999999"/>
    <s v="SISTEMA E"/>
    <n v="21.202019509916958"/>
  </r>
  <r>
    <x v="4"/>
    <x v="1"/>
    <s v="LAGUNILLAS"/>
    <n v="220"/>
    <n v="0.345553"/>
    <x v="0"/>
    <n v="65.850999999999999"/>
    <x v="1"/>
    <x v="0"/>
    <n v="1.0325599999999999"/>
    <s v="SISTEMA E"/>
    <n v="23.495913748233679"/>
  </r>
  <r>
    <x v="4"/>
    <x v="1"/>
    <s v="LAGUNILLAS"/>
    <n v="220"/>
    <n v="0.345553"/>
    <x v="1"/>
    <n v="60.558"/>
    <x v="1"/>
    <x v="0"/>
    <n v="1.0325599999999999"/>
    <s v="SISTEMA E"/>
    <n v="21.607349087569439"/>
  </r>
  <r>
    <x v="4"/>
    <x v="1"/>
    <s v="LAGUNILLAS"/>
    <n v="220"/>
    <n v="0.345553"/>
    <x v="2"/>
    <n v="33.689"/>
    <x v="1"/>
    <x v="0"/>
    <n v="1.0325599999999999"/>
    <s v="SISTEMA E"/>
    <n v="12.020376885153521"/>
  </r>
  <r>
    <x v="4"/>
    <x v="1"/>
    <s v="LAGUNILLAS"/>
    <n v="220"/>
    <n v="0.345553"/>
    <x v="3"/>
    <n v="32.683999999999997"/>
    <x v="1"/>
    <x v="0"/>
    <n v="1.0325599999999999"/>
    <s v="SISTEMA E"/>
    <n v="11.66178865844512"/>
  </r>
  <r>
    <x v="4"/>
    <x v="1"/>
    <s v="LAGUNILLAS"/>
    <n v="220"/>
    <n v="0.345553"/>
    <x v="4"/>
    <n v="52.463999999999999"/>
    <x v="1"/>
    <x v="0"/>
    <n v="1.0325599999999999"/>
    <s v="SISTEMA E"/>
    <n v="18.719375846795518"/>
  </r>
  <r>
    <x v="4"/>
    <x v="1"/>
    <s v="LAGUNILLAS"/>
    <n v="220"/>
    <n v="0.345553"/>
    <x v="5"/>
    <n v="81.106999999999999"/>
    <x v="1"/>
    <x v="0"/>
    <n v="1.0325599999999999"/>
    <s v="SISTEMA E"/>
    <n v="28.939318710087761"/>
  </r>
  <r>
    <x v="5"/>
    <x v="1"/>
    <s v="QUILLOTA"/>
    <n v="220"/>
    <n v="1"/>
    <x v="0"/>
    <n v="55.87"/>
    <x v="0"/>
    <x v="0"/>
    <n v="1.0792999999999999"/>
    <s v="SISTEMA B"/>
    <n v="60.300490999999987"/>
  </r>
  <r>
    <x v="5"/>
    <x v="1"/>
    <s v="QUILLOTA"/>
    <n v="220"/>
    <n v="1"/>
    <x v="1"/>
    <n v="55.997999999999998"/>
    <x v="0"/>
    <x v="0"/>
    <n v="1.0792999999999999"/>
    <s v="SISTEMA B"/>
    <n v="60.438641399999987"/>
  </r>
  <r>
    <x v="5"/>
    <x v="1"/>
    <s v="QUILLOTA"/>
    <n v="220"/>
    <n v="1"/>
    <x v="2"/>
    <n v="39.122999999999998"/>
    <x v="0"/>
    <x v="0"/>
    <n v="1.0792999999999999"/>
    <s v="SISTEMA B"/>
    <n v="42.225453899999998"/>
  </r>
  <r>
    <x v="5"/>
    <x v="1"/>
    <s v="QUILLOTA"/>
    <n v="220"/>
    <n v="1"/>
    <x v="3"/>
    <n v="38.651000000000003"/>
    <x v="0"/>
    <x v="0"/>
    <n v="1.0792999999999999"/>
    <s v="SISTEMA B"/>
    <n v="41.716024300000001"/>
  </r>
  <r>
    <x v="5"/>
    <x v="1"/>
    <s v="QUILLOTA"/>
    <n v="220"/>
    <n v="1"/>
    <x v="4"/>
    <n v="50.674999999999997"/>
    <x v="0"/>
    <x v="0"/>
    <n v="1.0792999999999999"/>
    <s v="SISTEMA B"/>
    <n v="54.693527499999988"/>
  </r>
  <r>
    <x v="5"/>
    <x v="1"/>
    <s v="QUILLOTA"/>
    <n v="220"/>
    <n v="1"/>
    <x v="5"/>
    <n v="61.944000000000003"/>
    <x v="0"/>
    <x v="0"/>
    <n v="1.0792999999999999"/>
    <s v="SISTEMA B"/>
    <n v="66.856159199999993"/>
  </r>
  <r>
    <x v="5"/>
    <x v="1"/>
    <s v="QUILLOTA"/>
    <n v="220"/>
    <n v="1"/>
    <x v="0"/>
    <n v="70.893000000000001"/>
    <x v="1"/>
    <x v="0"/>
    <n v="1.0792999999999999"/>
    <s v="SISTEMA B"/>
    <n v="76.51481489999999"/>
  </r>
  <r>
    <x v="5"/>
    <x v="1"/>
    <s v="QUILLOTA"/>
    <n v="220"/>
    <n v="1"/>
    <x v="1"/>
    <n v="63.523000000000003"/>
    <x v="1"/>
    <x v="0"/>
    <n v="1.0792999999999999"/>
    <s v="SISTEMA B"/>
    <n v="68.560373900000002"/>
  </r>
  <r>
    <x v="5"/>
    <x v="1"/>
    <s v="QUILLOTA"/>
    <n v="220"/>
    <n v="1"/>
    <x v="2"/>
    <n v="32.936"/>
    <x v="1"/>
    <x v="0"/>
    <n v="1.0792999999999999"/>
    <s v="SISTEMA B"/>
    <n v="35.547824800000001"/>
  </r>
  <r>
    <x v="5"/>
    <x v="1"/>
    <s v="QUILLOTA"/>
    <n v="220"/>
    <n v="1"/>
    <x v="3"/>
    <n v="31.954999999999998"/>
    <x v="1"/>
    <x v="0"/>
    <n v="1.0792999999999999"/>
    <s v="SISTEMA B"/>
    <n v="34.489031500000003"/>
  </r>
  <r>
    <x v="5"/>
    <x v="1"/>
    <s v="QUILLOTA"/>
    <n v="220"/>
    <n v="1"/>
    <x v="4"/>
    <n v="53.051000000000002"/>
    <x v="1"/>
    <x v="0"/>
    <n v="1.0792999999999999"/>
    <s v="SISTEMA B"/>
    <n v="57.257944299999998"/>
  </r>
  <r>
    <x v="5"/>
    <x v="1"/>
    <s v="QUILLOTA"/>
    <n v="220"/>
    <n v="1"/>
    <x v="5"/>
    <n v="88.747"/>
    <x v="1"/>
    <x v="0"/>
    <n v="1.0792999999999999"/>
    <s v="SISTEMA B"/>
    <n v="95.784637099999998"/>
  </r>
  <r>
    <x v="6"/>
    <x v="2"/>
    <s v="A.JAHUEL"/>
    <n v="220"/>
    <n v="0.200325"/>
    <x v="0"/>
    <n v="55.936"/>
    <x v="0"/>
    <x v="0"/>
    <n v="1.0325599999999999"/>
    <s v="SISTEMA E"/>
    <n v="11.570226346751999"/>
  </r>
  <r>
    <x v="6"/>
    <x v="2"/>
    <s v="A.JAHUEL"/>
    <n v="220"/>
    <n v="0.200325"/>
    <x v="1"/>
    <n v="56.033999999999999"/>
    <x v="0"/>
    <x v="0"/>
    <n v="1.0325599999999999"/>
    <s v="SISTEMA E"/>
    <n v="11.590497409788"/>
  </r>
  <r>
    <x v="6"/>
    <x v="2"/>
    <s v="A.JAHUEL"/>
    <n v="220"/>
    <n v="0.200325"/>
    <x v="2"/>
    <n v="39.116999999999997"/>
    <x v="0"/>
    <x v="0"/>
    <n v="1.0325599999999999"/>
    <s v="SISTEMA E"/>
    <n v="8.0912568650939996"/>
  </r>
  <r>
    <x v="6"/>
    <x v="2"/>
    <s v="A.JAHUEL"/>
    <n v="220"/>
    <n v="0.200325"/>
    <x v="3"/>
    <n v="38.668999999999997"/>
    <x v="0"/>
    <x v="0"/>
    <n v="1.0325599999999999"/>
    <s v="SISTEMA E"/>
    <n v="7.9985891483579996"/>
  </r>
  <r>
    <x v="6"/>
    <x v="2"/>
    <s v="A.JAHUEL"/>
    <n v="220"/>
    <n v="0.200325"/>
    <x v="4"/>
    <n v="51.475999999999999"/>
    <x v="0"/>
    <x v="0"/>
    <n v="1.0325599999999999"/>
    <s v="SISTEMA E"/>
    <n v="10.647686131032"/>
  </r>
  <r>
    <x v="6"/>
    <x v="2"/>
    <s v="A.JAHUEL"/>
    <n v="220"/>
    <n v="0.200325"/>
    <x v="5"/>
    <n v="62.256999999999998"/>
    <x v="0"/>
    <x v="0"/>
    <n v="1.0325599999999999"/>
    <s v="SISTEMA E"/>
    <n v="12.877709912574"/>
  </r>
  <r>
    <x v="6"/>
    <x v="2"/>
    <s v="A.JAHUEL"/>
    <n v="220"/>
    <n v="0.200325"/>
    <x v="0"/>
    <n v="69.262"/>
    <x v="1"/>
    <x v="0"/>
    <n v="1.0325599999999999"/>
    <s v="SISTEMA E"/>
    <n v="14.326677224483999"/>
  </r>
  <r>
    <x v="6"/>
    <x v="2"/>
    <s v="A.JAHUEL"/>
    <n v="220"/>
    <n v="0.200325"/>
    <x v="1"/>
    <n v="62.783000000000001"/>
    <x v="1"/>
    <x v="0"/>
    <n v="1.0325599999999999"/>
    <s v="SISTEMA E"/>
    <n v="12.986511740706"/>
  </r>
  <r>
    <x v="6"/>
    <x v="2"/>
    <s v="A.JAHUEL"/>
    <n v="220"/>
    <n v="0.200325"/>
    <x v="2"/>
    <n v="32.915999999999997"/>
    <x v="1"/>
    <x v="0"/>
    <n v="1.0325599999999999"/>
    <s v="SISTEMA E"/>
    <n v="6.8085950091119987"/>
  </r>
  <r>
    <x v="6"/>
    <x v="2"/>
    <s v="A.JAHUEL"/>
    <n v="220"/>
    <n v="0.200325"/>
    <x v="3"/>
    <n v="32.179000000000002"/>
    <x v="1"/>
    <x v="0"/>
    <n v="1.0325599999999999"/>
    <s v="SISTEMA E"/>
    <n v="6.6561483411779996"/>
  </r>
  <r>
    <x v="6"/>
    <x v="2"/>
    <s v="A.JAHUEL"/>
    <n v="220"/>
    <n v="0.200325"/>
    <x v="4"/>
    <n v="54.389000000000003"/>
    <x v="1"/>
    <x v="0"/>
    <n v="1.0325599999999999"/>
    <s v="SISTEMA E"/>
    <n v="11.250233137398"/>
  </r>
  <r>
    <x v="6"/>
    <x v="2"/>
    <s v="A.JAHUEL"/>
    <n v="220"/>
    <n v="0.200325"/>
    <x v="5"/>
    <n v="88.427000000000007"/>
    <x v="1"/>
    <x v="0"/>
    <n v="1.0325599999999999"/>
    <s v="SISTEMA E"/>
    <n v="18.290911133514001"/>
  </r>
  <r>
    <x v="6"/>
    <x v="2"/>
    <s v="A.MELIP"/>
    <n v="220"/>
    <n v="2.0286999999999999E-2"/>
    <x v="0"/>
    <n v="56.027999999999999"/>
    <x v="0"/>
    <x v="0"/>
    <n v="1.0325599999999999"/>
    <s v="SISTEMA E"/>
    <n v="1.17364903557216"/>
  </r>
  <r>
    <x v="6"/>
    <x v="2"/>
    <s v="A.MELIP"/>
    <n v="220"/>
    <n v="2.0286999999999999E-2"/>
    <x v="1"/>
    <n v="56.122999999999998"/>
    <x v="0"/>
    <x v="0"/>
    <n v="1.0325599999999999"/>
    <s v="SISTEMA E"/>
    <n v="1.17563905232056"/>
  </r>
  <r>
    <x v="6"/>
    <x v="2"/>
    <s v="A.MELIP"/>
    <n v="220"/>
    <n v="2.0286999999999999E-2"/>
    <x v="2"/>
    <n v="39.145000000000003"/>
    <x v="0"/>
    <x v="0"/>
    <n v="1.0325599999999999"/>
    <s v="SISTEMA E"/>
    <n v="0.81999163806440001"/>
  </r>
  <r>
    <x v="6"/>
    <x v="2"/>
    <s v="A.MELIP"/>
    <n v="220"/>
    <n v="2.0286999999999999E-2"/>
    <x v="3"/>
    <n v="38.646999999999998"/>
    <x v="0"/>
    <x v="0"/>
    <n v="1.0325599999999999"/>
    <s v="SISTEMA E"/>
    <n v="0.80955976079383996"/>
  </r>
  <r>
    <x v="6"/>
    <x v="2"/>
    <s v="A.MELIP"/>
    <n v="220"/>
    <n v="2.0286999999999999E-2"/>
    <x v="4"/>
    <n v="49.831000000000003"/>
    <x v="0"/>
    <x v="0"/>
    <n v="1.0325599999999999"/>
    <s v="SISTEMA E"/>
    <n v="1.04383710094232"/>
  </r>
  <r>
    <x v="6"/>
    <x v="2"/>
    <s v="A.MELIP"/>
    <n v="220"/>
    <n v="2.0286999999999999E-2"/>
    <x v="5"/>
    <n v="61.533000000000001"/>
    <x v="0"/>
    <x v="0"/>
    <n v="1.0325599999999999"/>
    <s v="SISTEMA E"/>
    <n v="1.28896526925576"/>
  </r>
  <r>
    <x v="6"/>
    <x v="2"/>
    <s v="A.MELIP"/>
    <n v="220"/>
    <n v="2.0286999999999999E-2"/>
    <x v="0"/>
    <n v="70.548000000000002"/>
    <x v="1"/>
    <x v="0"/>
    <n v="1.0325599999999999"/>
    <s v="SISTEMA E"/>
    <n v="1.4778073849065601"/>
  </r>
  <r>
    <x v="6"/>
    <x v="2"/>
    <s v="A.MELIP"/>
    <n v="220"/>
    <n v="2.0286999999999999E-2"/>
    <x v="1"/>
    <n v="63.55"/>
    <x v="1"/>
    <x v="0"/>
    <n v="1.0325599999999999"/>
    <s v="SISTEMA E"/>
    <n v="1.331216466956"/>
  </r>
  <r>
    <x v="6"/>
    <x v="2"/>
    <s v="A.MELIP"/>
    <n v="220"/>
    <n v="2.0286999999999999E-2"/>
    <x v="2"/>
    <n v="32.978000000000002"/>
    <x v="1"/>
    <x v="0"/>
    <n v="1.0325599999999999"/>
    <s v="SISTEMA E"/>
    <n v="0.69080812977615991"/>
  </r>
  <r>
    <x v="6"/>
    <x v="2"/>
    <s v="A.MELIP"/>
    <n v="220"/>
    <n v="2.0286999999999999E-2"/>
    <x v="3"/>
    <n v="31.867000000000001"/>
    <x v="1"/>
    <x v="0"/>
    <n v="1.0325599999999999"/>
    <s v="SISTEMA E"/>
    <n v="0.66753540759223995"/>
  </r>
  <r>
    <x v="6"/>
    <x v="2"/>
    <s v="A.MELIP"/>
    <n v="220"/>
    <n v="2.0286999999999999E-2"/>
    <x v="4"/>
    <n v="51.658000000000001"/>
    <x v="1"/>
    <x v="0"/>
    <n v="1.0325599999999999"/>
    <s v="SISTEMA E"/>
    <n v="1.0821082651457601"/>
  </r>
  <r>
    <x v="6"/>
    <x v="2"/>
    <s v="A.MELIP"/>
    <n v="220"/>
    <n v="2.0286999999999999E-2"/>
    <x v="5"/>
    <n v="88.040999999999997"/>
    <x v="1"/>
    <x v="0"/>
    <n v="1.0325599999999999"/>
    <s v="SISTEMA E"/>
    <n v="1.8442427846935201"/>
  </r>
  <r>
    <x v="6"/>
    <x v="2"/>
    <s v="CHARRUA"/>
    <n v="220"/>
    <n v="0.69186999999999999"/>
    <x v="0"/>
    <n v="54.328000000000003"/>
    <x v="0"/>
    <x v="0"/>
    <n v="1.0325599999999999"/>
    <s v="SISTEMA E"/>
    <n v="38.811775819001603"/>
  </r>
  <r>
    <x v="6"/>
    <x v="2"/>
    <s v="CHARRUA"/>
    <n v="220"/>
    <n v="0.69186999999999999"/>
    <x v="1"/>
    <n v="54.436999999999998"/>
    <x v="0"/>
    <x v="0"/>
    <n v="1.0325599999999999"/>
    <s v="SISTEMA E"/>
    <n v="38.889645123306387"/>
  </r>
  <r>
    <x v="6"/>
    <x v="2"/>
    <s v="CHARRUA"/>
    <n v="220"/>
    <n v="0.69186999999999999"/>
    <x v="2"/>
    <n v="39.161000000000001"/>
    <x v="0"/>
    <x v="0"/>
    <n v="1.0325599999999999"/>
    <s v="SISTEMA E"/>
    <n v="27.9765121640392"/>
  </r>
  <r>
    <x v="6"/>
    <x v="2"/>
    <s v="CHARRUA"/>
    <n v="220"/>
    <n v="0.69186999999999999"/>
    <x v="3"/>
    <n v="38.674999999999997"/>
    <x v="0"/>
    <x v="0"/>
    <n v="1.0325599999999999"/>
    <s v="SISTEMA E"/>
    <n v="27.62931508246"/>
  </r>
  <r>
    <x v="6"/>
    <x v="2"/>
    <s v="CHARRUA"/>
    <n v="220"/>
    <n v="0.69186999999999999"/>
    <x v="4"/>
    <n v="49.055"/>
    <x v="0"/>
    <x v="0"/>
    <n v="1.0325599999999999"/>
    <s v="SISTEMA E"/>
    <n v="35.044758923595992"/>
  </r>
  <r>
    <x v="6"/>
    <x v="2"/>
    <s v="CHARRUA"/>
    <n v="220"/>
    <n v="0.69186999999999999"/>
    <x v="5"/>
    <n v="58.87"/>
    <x v="0"/>
    <x v="0"/>
    <n v="1.0325599999999999"/>
    <s v="SISTEMA E"/>
    <n v="42.056568297463997"/>
  </r>
  <r>
    <x v="6"/>
    <x v="2"/>
    <s v="CHARRUA"/>
    <n v="220"/>
    <n v="0.69186999999999999"/>
    <x v="0"/>
    <n v="65.05"/>
    <x v="1"/>
    <x v="0"/>
    <n v="1.0325599999999999"/>
    <s v="SISTEMA E"/>
    <n v="46.471543532359988"/>
  </r>
  <r>
    <x v="6"/>
    <x v="2"/>
    <s v="CHARRUA"/>
    <n v="220"/>
    <n v="0.69186999999999999"/>
    <x v="1"/>
    <n v="60.055999999999997"/>
    <x v="1"/>
    <x v="0"/>
    <n v="1.0325599999999999"/>
    <s v="SISTEMA E"/>
    <n v="42.903843480083196"/>
  </r>
  <r>
    <x v="6"/>
    <x v="2"/>
    <s v="CHARRUA"/>
    <n v="220"/>
    <n v="0.69186999999999999"/>
    <x v="2"/>
    <n v="33.075000000000003"/>
    <x v="1"/>
    <x v="0"/>
    <n v="1.0325599999999999"/>
    <s v="SISTEMA E"/>
    <n v="23.628690274139998"/>
  </r>
  <r>
    <x v="6"/>
    <x v="2"/>
    <s v="CHARRUA"/>
    <n v="220"/>
    <n v="0.69186999999999999"/>
    <x v="3"/>
    <n v="32.075000000000003"/>
    <x v="1"/>
    <x v="0"/>
    <n v="1.0325599999999999"/>
    <s v="SISTEMA E"/>
    <n v="22.914292986940001"/>
  </r>
  <r>
    <x v="6"/>
    <x v="2"/>
    <s v="CHARRUA"/>
    <n v="220"/>
    <n v="0.69186999999999999"/>
    <x v="4"/>
    <n v="50.77"/>
    <x v="1"/>
    <x v="0"/>
    <n v="1.0325599999999999"/>
    <s v="SISTEMA E"/>
    <n v="36.269950271143998"/>
  </r>
  <r>
    <x v="6"/>
    <x v="2"/>
    <s v="CHARRUA"/>
    <n v="220"/>
    <n v="0.69186999999999999"/>
    <x v="5"/>
    <n v="78.662999999999997"/>
    <x v="1"/>
    <x v="0"/>
    <n v="1.0325599999999999"/>
    <s v="SISTEMA E"/>
    <n v="56.19663380301359"/>
  </r>
  <r>
    <x v="6"/>
    <x v="2"/>
    <s v="ITAHUE"/>
    <n v="220"/>
    <n v="7.6593999999999995E-2"/>
    <x v="0"/>
    <n v="55.128"/>
    <x v="0"/>
    <x v="0"/>
    <n v="1.0325599999999999"/>
    <s v="SISTEMA E"/>
    <n v="4.3599577864819201"/>
  </r>
  <r>
    <x v="6"/>
    <x v="2"/>
    <s v="ITAHUE"/>
    <n v="220"/>
    <n v="7.6593999999999995E-2"/>
    <x v="1"/>
    <n v="55.256999999999998"/>
    <x v="0"/>
    <x v="0"/>
    <n v="1.0325599999999999"/>
    <s v="SISTEMA E"/>
    <n v="4.3701601256644791"/>
  </r>
  <r>
    <x v="6"/>
    <x v="2"/>
    <s v="ITAHUE"/>
    <n v="220"/>
    <n v="7.6593999999999995E-2"/>
    <x v="2"/>
    <n v="39.152000000000001"/>
    <x v="0"/>
    <x v="0"/>
    <n v="1.0325599999999999"/>
    <s v="SISTEMA E"/>
    <n v="3.09644948585728"/>
  </r>
  <r>
    <x v="6"/>
    <x v="2"/>
    <s v="ITAHUE"/>
    <n v="220"/>
    <n v="7.6593999999999995E-2"/>
    <x v="3"/>
    <n v="38.615000000000002"/>
    <x v="0"/>
    <x v="0"/>
    <n v="1.0325599999999999"/>
    <s v="SISTEMA E"/>
    <n v="3.0539792832136001"/>
  </r>
  <r>
    <x v="6"/>
    <x v="2"/>
    <s v="ITAHUE"/>
    <n v="220"/>
    <n v="7.6593999999999995E-2"/>
    <x v="4"/>
    <n v="46.902000000000001"/>
    <x v="0"/>
    <x v="0"/>
    <n v="1.0325599999999999"/>
    <s v="SISTEMA E"/>
    <n v="3.70938071581728"/>
  </r>
  <r>
    <x v="6"/>
    <x v="2"/>
    <s v="ITAHUE"/>
    <n v="220"/>
    <n v="7.6593999999999995E-2"/>
    <x v="5"/>
    <n v="58.256"/>
    <x v="0"/>
    <x v="0"/>
    <n v="1.0325599999999999"/>
    <s v="SISTEMA E"/>
    <n v="4.6073447396838398"/>
  </r>
  <r>
    <x v="6"/>
    <x v="2"/>
    <s v="ITAHUE"/>
    <n v="220"/>
    <n v="7.6593999999999995E-2"/>
    <x v="0"/>
    <n v="66.899000000000001"/>
    <x v="1"/>
    <x v="0"/>
    <n v="1.0325599999999999"/>
    <s v="SISTEMA E"/>
    <n v="5.2909014649153594"/>
  </r>
  <r>
    <x v="6"/>
    <x v="2"/>
    <s v="ITAHUE"/>
    <n v="220"/>
    <n v="7.6593999999999995E-2"/>
    <x v="1"/>
    <n v="61.454000000000001"/>
    <x v="1"/>
    <x v="0"/>
    <n v="1.0325599999999999"/>
    <s v="SISTEMA E"/>
    <n v="4.8602678459305597"/>
  </r>
  <r>
    <x v="6"/>
    <x v="2"/>
    <s v="ITAHUE"/>
    <n v="220"/>
    <n v="7.6593999999999995E-2"/>
    <x v="2"/>
    <n v="32.872"/>
    <x v="1"/>
    <x v="0"/>
    <n v="1.0325599999999999"/>
    <s v="SISTEMA E"/>
    <n v="2.59977746983808"/>
  </r>
  <r>
    <x v="6"/>
    <x v="2"/>
    <s v="ITAHUE"/>
    <n v="220"/>
    <n v="7.6593999999999995E-2"/>
    <x v="3"/>
    <n v="31.65"/>
    <x v="1"/>
    <x v="0"/>
    <n v="1.0325599999999999"/>
    <s v="SISTEMA E"/>
    <n v="2.5031320552560001"/>
  </r>
  <r>
    <x v="6"/>
    <x v="2"/>
    <s v="ITAHUE"/>
    <n v="220"/>
    <n v="7.6593999999999995E-2"/>
    <x v="4"/>
    <n v="46.981999999999999"/>
    <x v="1"/>
    <x v="0"/>
    <n v="1.0325599999999999"/>
    <s v="SISTEMA E"/>
    <n v="3.7157077478684801"/>
  </r>
  <r>
    <x v="6"/>
    <x v="2"/>
    <s v="ITAHUE"/>
    <n v="220"/>
    <n v="7.6593999999999995E-2"/>
    <x v="5"/>
    <n v="79.751999999999995"/>
    <x v="1"/>
    <x v="0"/>
    <n v="1.0325599999999999"/>
    <s v="SISTEMA E"/>
    <n v="6.3074182518412787"/>
  </r>
  <r>
    <x v="6"/>
    <x v="2"/>
    <s v="RAPEL"/>
    <n v="220"/>
    <n v="1.0923E-2"/>
    <x v="0"/>
    <n v="55.825000000000003"/>
    <x v="0"/>
    <x v="0"/>
    <n v="1.0325599999999999"/>
    <s v="SISTEMA E"/>
    <n v="0.629630797026"/>
  </r>
  <r>
    <x v="6"/>
    <x v="2"/>
    <s v="RAPEL"/>
    <n v="220"/>
    <n v="1.0923E-2"/>
    <x v="1"/>
    <n v="56.061999999999998"/>
    <x v="0"/>
    <x v="0"/>
    <n v="1.0325599999999999"/>
    <s v="SISTEMA E"/>
    <n v="0.63230383775855992"/>
  </r>
  <r>
    <x v="6"/>
    <x v="2"/>
    <s v="RAPEL"/>
    <n v="220"/>
    <n v="1.0923E-2"/>
    <x v="2"/>
    <n v="39.136000000000003"/>
    <x v="0"/>
    <x v="0"/>
    <n v="1.0325599999999999"/>
    <s v="SISTEMA E"/>
    <n v="0.44140135911167999"/>
  </r>
  <r>
    <x v="6"/>
    <x v="2"/>
    <s v="RAPEL"/>
    <n v="220"/>
    <n v="1.0923E-2"/>
    <x v="3"/>
    <n v="38.625"/>
    <x v="0"/>
    <x v="0"/>
    <n v="1.0325599999999999"/>
    <s v="SISTEMA E"/>
    <n v="0.43563796749"/>
  </r>
  <r>
    <x v="6"/>
    <x v="2"/>
    <s v="RAPEL"/>
    <n v="220"/>
    <n v="1.0923E-2"/>
    <x v="4"/>
    <n v="49.764000000000003"/>
    <x v="0"/>
    <x v="0"/>
    <n v="1.0325599999999999"/>
    <s v="SISTEMA E"/>
    <n v="0.56127088192032004"/>
  </r>
  <r>
    <x v="6"/>
    <x v="2"/>
    <s v="RAPEL"/>
    <n v="220"/>
    <n v="1.0923E-2"/>
    <x v="5"/>
    <n v="61.481999999999999"/>
    <x v="0"/>
    <x v="0"/>
    <n v="1.0325599999999999"/>
    <s v="SISTEMA E"/>
    <n v="0.69343413636815998"/>
  </r>
  <r>
    <x v="6"/>
    <x v="2"/>
    <s v="RAPEL"/>
    <n v="220"/>
    <n v="1.0923E-2"/>
    <x v="0"/>
    <n v="70.069000000000003"/>
    <x v="1"/>
    <x v="0"/>
    <n v="1.0325599999999999"/>
    <s v="SISTEMA E"/>
    <n v="0.79028392864871999"/>
  </r>
  <r>
    <x v="6"/>
    <x v="2"/>
    <s v="RAPEL"/>
    <n v="220"/>
    <n v="1.0923E-2"/>
    <x v="1"/>
    <n v="63.207000000000001"/>
    <x v="1"/>
    <x v="0"/>
    <n v="1.0325599999999999"/>
    <s v="SISTEMA E"/>
    <n v="0.71288981258616002"/>
  </r>
  <r>
    <x v="6"/>
    <x v="2"/>
    <s v="RAPEL"/>
    <n v="220"/>
    <n v="1.0923E-2"/>
    <x v="2"/>
    <n v="32.453000000000003"/>
    <x v="1"/>
    <x v="0"/>
    <n v="1.0325599999999999"/>
    <s v="SISTEMA E"/>
    <n v="0.36602612191464001"/>
  </r>
  <r>
    <x v="6"/>
    <x v="2"/>
    <s v="RAPEL"/>
    <n v="220"/>
    <n v="1.0923E-2"/>
    <x v="3"/>
    <n v="30.672000000000001"/>
    <x v="1"/>
    <x v="0"/>
    <n v="1.0325599999999999"/>
    <s v="SISTEMA E"/>
    <n v="0.34593884113536"/>
  </r>
  <r>
    <x v="6"/>
    <x v="2"/>
    <s v="RAPEL"/>
    <n v="220"/>
    <n v="1.0923E-2"/>
    <x v="4"/>
    <n v="51.459000000000003"/>
    <x v="1"/>
    <x v="0"/>
    <n v="1.0325599999999999"/>
    <s v="SISTEMA E"/>
    <n v="0.58038819855192003"/>
  </r>
  <r>
    <x v="6"/>
    <x v="2"/>
    <s v="RAPEL"/>
    <n v="220"/>
    <n v="1.0923E-2"/>
    <x v="5"/>
    <n v="87.926000000000002"/>
    <x v="1"/>
    <x v="0"/>
    <n v="1.0325599999999999"/>
    <s v="SISTEMA E"/>
    <n v="0.99168683312688"/>
  </r>
  <r>
    <x v="7"/>
    <x v="0"/>
    <s v="A.JAHUEL"/>
    <n v="220"/>
    <n v="0.53241499999999997"/>
    <x v="0"/>
    <n v="55.936"/>
    <x v="0"/>
    <x v="0"/>
    <n v="1.0325599999999999"/>
    <s v="SISTEMA E"/>
    <n v="30.7508401867264"/>
  </r>
  <r>
    <x v="7"/>
    <x v="0"/>
    <s v="A.JAHUEL"/>
    <n v="220"/>
    <n v="0.53241499999999997"/>
    <x v="1"/>
    <n v="56.033999999999999"/>
    <x v="0"/>
    <x v="0"/>
    <n v="1.0325599999999999"/>
    <s v="SISTEMA E"/>
    <n v="30.804715729101591"/>
  </r>
  <r>
    <x v="7"/>
    <x v="0"/>
    <s v="A.JAHUEL"/>
    <n v="220"/>
    <n v="0.53241499999999997"/>
    <x v="2"/>
    <n v="39.116999999999997"/>
    <x v="0"/>
    <x v="0"/>
    <n v="1.0325599999999999"/>
    <s v="SISTEMA E"/>
    <n v="21.50458766419079"/>
  </r>
  <r>
    <x v="7"/>
    <x v="0"/>
    <s v="A.JAHUEL"/>
    <n v="220"/>
    <n v="0.53241499999999997"/>
    <x v="3"/>
    <n v="38.668999999999997"/>
    <x v="0"/>
    <x v="0"/>
    <n v="1.0325599999999999"/>
    <s v="SISTEMA E"/>
    <n v="21.258299470475599"/>
  </r>
  <r>
    <x v="7"/>
    <x v="0"/>
    <s v="A.JAHUEL"/>
    <n v="220"/>
    <n v="0.53241499999999997"/>
    <x v="4"/>
    <n v="51.475999999999999"/>
    <x v="0"/>
    <x v="0"/>
    <n v="1.0325599999999999"/>
    <s v="SISTEMA E"/>
    <n v="28.29895325822239"/>
  </r>
  <r>
    <x v="7"/>
    <x v="0"/>
    <s v="A.JAHUEL"/>
    <n v="220"/>
    <n v="0.53241499999999997"/>
    <x v="5"/>
    <n v="62.256999999999998"/>
    <x v="0"/>
    <x v="0"/>
    <n v="1.0325599999999999"/>
    <s v="SISTEMA E"/>
    <n v="34.225812669926789"/>
  </r>
  <r>
    <x v="7"/>
    <x v="0"/>
    <s v="A.JAHUEL"/>
    <n v="220"/>
    <n v="0.53241499999999997"/>
    <x v="0"/>
    <n v="69.262"/>
    <x v="1"/>
    <x v="0"/>
    <n v="1.0325599999999999"/>
    <s v="SISTEMA E"/>
    <n v="38.076814448888797"/>
  </r>
  <r>
    <x v="7"/>
    <x v="0"/>
    <s v="A.JAHUEL"/>
    <n v="220"/>
    <n v="0.53241499999999997"/>
    <x v="1"/>
    <n v="62.783000000000001"/>
    <x v="1"/>
    <x v="0"/>
    <n v="1.0325599999999999"/>
    <s v="SISTEMA E"/>
    <n v="34.514981397369198"/>
  </r>
  <r>
    <x v="7"/>
    <x v="0"/>
    <s v="A.JAHUEL"/>
    <n v="220"/>
    <n v="0.53241499999999997"/>
    <x v="2"/>
    <n v="32.915999999999997"/>
    <x v="1"/>
    <x v="0"/>
    <n v="1.0325599999999999"/>
    <s v="SISTEMA E"/>
    <n v="18.095585232878399"/>
  </r>
  <r>
    <x v="7"/>
    <x v="0"/>
    <s v="A.JAHUEL"/>
    <n v="220"/>
    <n v="0.53241499999999997"/>
    <x v="3"/>
    <n v="32.179000000000002"/>
    <x v="1"/>
    <x v="0"/>
    <n v="1.0325599999999999"/>
    <s v="SISTEMA E"/>
    <n v="17.6904191641996"/>
  </r>
  <r>
    <x v="7"/>
    <x v="0"/>
    <s v="A.JAHUEL"/>
    <n v="220"/>
    <n v="0.53241499999999997"/>
    <x v="4"/>
    <n v="54.389000000000003"/>
    <x v="1"/>
    <x v="0"/>
    <n v="1.0325599999999999"/>
    <s v="SISTEMA E"/>
    <n v="29.900376267803601"/>
  </r>
  <r>
    <x v="7"/>
    <x v="0"/>
    <s v="A.JAHUEL"/>
    <n v="220"/>
    <n v="0.53241499999999997"/>
    <x v="5"/>
    <n v="88.427000000000007"/>
    <x v="1"/>
    <x v="0"/>
    <n v="1.0325599999999999"/>
    <s v="SISTEMA E"/>
    <n v="48.612781485834788"/>
  </r>
  <r>
    <x v="7"/>
    <x v="0"/>
    <s v="A.MELIP"/>
    <n v="220"/>
    <n v="7.2610000000000001E-3"/>
    <x v="0"/>
    <n v="56.027999999999999"/>
    <x v="0"/>
    <x v="0"/>
    <n v="1.0325599999999999"/>
    <s v="SISTEMA E"/>
    <n v="0.42006534466847989"/>
  </r>
  <r>
    <x v="7"/>
    <x v="0"/>
    <s v="A.MELIP"/>
    <n v="220"/>
    <n v="7.2610000000000001E-3"/>
    <x v="1"/>
    <n v="56.122999999999998"/>
    <x v="0"/>
    <x v="0"/>
    <n v="1.0325599999999999"/>
    <s v="SISTEMA E"/>
    <n v="0.42077759939367992"/>
  </r>
  <r>
    <x v="7"/>
    <x v="0"/>
    <s v="A.MELIP"/>
    <n v="220"/>
    <n v="7.2610000000000001E-3"/>
    <x v="2"/>
    <n v="39.145000000000003"/>
    <x v="0"/>
    <x v="0"/>
    <n v="1.0325599999999999"/>
    <s v="SISTEMA E"/>
    <n v="0.2934864338732"/>
  </r>
  <r>
    <x v="7"/>
    <x v="0"/>
    <s v="A.MELIP"/>
    <n v="220"/>
    <n v="7.2610000000000001E-3"/>
    <x v="3"/>
    <n v="38.646999999999998"/>
    <x v="0"/>
    <x v="0"/>
    <n v="1.0325599999999999"/>
    <s v="SISTEMA E"/>
    <n v="0.28975271962951998"/>
  </r>
  <r>
    <x v="7"/>
    <x v="0"/>
    <s v="A.MELIP"/>
    <n v="220"/>
    <n v="7.2610000000000001E-3"/>
    <x v="4"/>
    <n v="49.831000000000003"/>
    <x v="0"/>
    <x v="0"/>
    <n v="1.0325599999999999"/>
    <s v="SISTEMA E"/>
    <n v="0.37360384433096"/>
  </r>
  <r>
    <x v="7"/>
    <x v="0"/>
    <s v="A.MELIP"/>
    <n v="220"/>
    <n v="7.2610000000000001E-3"/>
    <x v="5"/>
    <n v="61.533000000000001"/>
    <x v="0"/>
    <x v="0"/>
    <n v="1.0325599999999999"/>
    <s v="SISTEMA E"/>
    <n v="0.46133863163928002"/>
  </r>
  <r>
    <x v="7"/>
    <x v="0"/>
    <s v="A.MELIP"/>
    <n v="220"/>
    <n v="7.2610000000000001E-3"/>
    <x v="0"/>
    <n v="70.548000000000002"/>
    <x v="1"/>
    <x v="0"/>
    <n v="1.0325599999999999"/>
    <s v="SISTEMA E"/>
    <n v="0.52892785635168005"/>
  </r>
  <r>
    <x v="7"/>
    <x v="0"/>
    <s v="A.MELIP"/>
    <n v="220"/>
    <n v="7.2610000000000001E-3"/>
    <x v="1"/>
    <n v="63.55"/>
    <x v="1"/>
    <x v="0"/>
    <n v="1.0325599999999999"/>
    <s v="SISTEMA E"/>
    <n v="0.47646092406799989"/>
  </r>
  <r>
    <x v="7"/>
    <x v="0"/>
    <s v="A.MELIP"/>
    <n v="220"/>
    <n v="7.2610000000000001E-3"/>
    <x v="2"/>
    <n v="32.978000000000002"/>
    <x v="1"/>
    <x v="0"/>
    <n v="1.0325599999999999"/>
    <s v="SISTEMA E"/>
    <n v="0.24724985608048"/>
  </r>
  <r>
    <x v="7"/>
    <x v="0"/>
    <s v="A.MELIP"/>
    <n v="220"/>
    <n v="7.2610000000000001E-3"/>
    <x v="3"/>
    <n v="31.867000000000001"/>
    <x v="1"/>
    <x v="0"/>
    <n v="1.0325599999999999"/>
    <s v="SISTEMA E"/>
    <n v="0.23892022450472"/>
  </r>
  <r>
    <x v="7"/>
    <x v="0"/>
    <s v="A.MELIP"/>
    <n v="220"/>
    <n v="7.2610000000000001E-3"/>
    <x v="4"/>
    <n v="51.658000000000001"/>
    <x v="1"/>
    <x v="0"/>
    <n v="1.0325599999999999"/>
    <s v="SISTEMA E"/>
    <n v="0.38730162730928003"/>
  </r>
  <r>
    <x v="7"/>
    <x v="0"/>
    <s v="A.MELIP"/>
    <n v="220"/>
    <n v="7.2610000000000001E-3"/>
    <x v="5"/>
    <n v="88.040999999999997"/>
    <x v="1"/>
    <x v="0"/>
    <n v="1.0325599999999999"/>
    <s v="SISTEMA E"/>
    <n v="0.66008019222455994"/>
  </r>
  <r>
    <x v="7"/>
    <x v="0"/>
    <s v="CHARRUA"/>
    <n v="220"/>
    <n v="1.2921E-2"/>
    <x v="0"/>
    <n v="54.328000000000003"/>
    <x v="0"/>
    <x v="0"/>
    <n v="1.0325599999999999"/>
    <s v="SISTEMA E"/>
    <n v="0.72482829918527991"/>
  </r>
  <r>
    <x v="7"/>
    <x v="0"/>
    <s v="CHARRUA"/>
    <n v="220"/>
    <n v="1.2921E-2"/>
    <x v="1"/>
    <n v="54.436999999999998"/>
    <x v="0"/>
    <x v="0"/>
    <n v="1.0325599999999999"/>
    <s v="SISTEMA E"/>
    <n v="0.72628254533111991"/>
  </r>
  <r>
    <x v="7"/>
    <x v="0"/>
    <s v="CHARRUA"/>
    <n v="220"/>
    <n v="1.2921E-2"/>
    <x v="2"/>
    <n v="39.161000000000001"/>
    <x v="0"/>
    <x v="0"/>
    <n v="1.0325599999999999"/>
    <s v="SISTEMA E"/>
    <n v="0.52247461758935998"/>
  </r>
  <r>
    <x v="7"/>
    <x v="0"/>
    <s v="CHARRUA"/>
    <n v="220"/>
    <n v="1.2921E-2"/>
    <x v="3"/>
    <n v="38.674999999999997"/>
    <x v="0"/>
    <x v="0"/>
    <n v="1.0325599999999999"/>
    <s v="SISTEMA E"/>
    <n v="0.5159905476179999"/>
  </r>
  <r>
    <x v="7"/>
    <x v="0"/>
    <s v="CHARRUA"/>
    <n v="220"/>
    <n v="1.2921E-2"/>
    <x v="4"/>
    <n v="49.055"/>
    <x v="0"/>
    <x v="0"/>
    <n v="1.0325599999999999"/>
    <s v="SISTEMA E"/>
    <n v="0.65447747416680002"/>
  </r>
  <r>
    <x v="7"/>
    <x v="0"/>
    <s v="CHARRUA"/>
    <n v="220"/>
    <n v="1.2921E-2"/>
    <x v="5"/>
    <n v="58.87"/>
    <x v="0"/>
    <x v="0"/>
    <n v="1.0325599999999999"/>
    <s v="SISTEMA E"/>
    <n v="0.78542633583119992"/>
  </r>
  <r>
    <x v="7"/>
    <x v="0"/>
    <s v="CHARRUA"/>
    <n v="220"/>
    <n v="1.2921E-2"/>
    <x v="0"/>
    <n v="65.05"/>
    <x v="1"/>
    <x v="0"/>
    <n v="1.0325599999999999"/>
    <s v="SISTEMA E"/>
    <n v="0.86787808978799985"/>
  </r>
  <r>
    <x v="7"/>
    <x v="0"/>
    <s v="CHARRUA"/>
    <n v="220"/>
    <n v="1.2921E-2"/>
    <x v="1"/>
    <n v="60.055999999999997"/>
    <x v="1"/>
    <x v="0"/>
    <n v="1.0325599999999999"/>
    <s v="SISTEMA E"/>
    <n v="0.80124960123455991"/>
  </r>
  <r>
    <x v="7"/>
    <x v="0"/>
    <s v="CHARRUA"/>
    <n v="220"/>
    <n v="1.2921E-2"/>
    <x v="2"/>
    <n v="33.075000000000003"/>
    <x v="1"/>
    <x v="0"/>
    <n v="1.0325599999999999"/>
    <s v="SISTEMA E"/>
    <n v="0.44127698416200001"/>
  </r>
  <r>
    <x v="7"/>
    <x v="0"/>
    <s v="CHARRUA"/>
    <n v="220"/>
    <n v="1.2921E-2"/>
    <x v="3"/>
    <n v="32.075000000000003"/>
    <x v="1"/>
    <x v="0"/>
    <n v="1.0325599999999999"/>
    <s v="SISTEMA E"/>
    <n v="0.42793527640200002"/>
  </r>
  <r>
    <x v="7"/>
    <x v="0"/>
    <s v="CHARRUA"/>
    <n v="220"/>
    <n v="1.2921E-2"/>
    <x v="4"/>
    <n v="50.77"/>
    <x v="1"/>
    <x v="0"/>
    <n v="1.0325599999999999"/>
    <s v="SISTEMA E"/>
    <n v="0.67735850297520006"/>
  </r>
  <r>
    <x v="7"/>
    <x v="0"/>
    <s v="CHARRUA"/>
    <n v="220"/>
    <n v="1.2921E-2"/>
    <x v="5"/>
    <n v="78.662999999999997"/>
    <x v="1"/>
    <x v="0"/>
    <n v="1.0325599999999999"/>
    <s v="SISTEMA E"/>
    <n v="1.04949875752488"/>
  </r>
  <r>
    <x v="7"/>
    <x v="0"/>
    <s v="ITAHUE"/>
    <n v="220"/>
    <n v="0.44367099999999998"/>
    <x v="0"/>
    <n v="55.128"/>
    <x v="0"/>
    <x v="0"/>
    <n v="1.0325599999999999"/>
    <s v="SISTEMA E"/>
    <n v="25.255069993553281"/>
  </r>
  <r>
    <x v="7"/>
    <x v="0"/>
    <s v="ITAHUE"/>
    <n v="220"/>
    <n v="0.44367099999999998"/>
    <x v="1"/>
    <n v="55.256999999999998"/>
    <x v="0"/>
    <x v="0"/>
    <n v="1.0325599999999999"/>
    <s v="SISTEMA E"/>
    <n v="25.31416707723432"/>
  </r>
  <r>
    <x v="7"/>
    <x v="0"/>
    <s v="ITAHUE"/>
    <n v="220"/>
    <n v="0.44367099999999998"/>
    <x v="2"/>
    <n v="39.152000000000001"/>
    <x v="0"/>
    <x v="0"/>
    <n v="1.0325599999999999"/>
    <s v="SISTEMA E"/>
    <n v="17.936193955659519"/>
  </r>
  <r>
    <x v="7"/>
    <x v="0"/>
    <s v="ITAHUE"/>
    <n v="220"/>
    <n v="0.44367099999999998"/>
    <x v="3"/>
    <n v="38.615000000000002"/>
    <x v="0"/>
    <x v="0"/>
    <n v="1.0325599999999999"/>
    <s v="SISTEMA E"/>
    <n v="17.690185165452402"/>
  </r>
  <r>
    <x v="7"/>
    <x v="0"/>
    <s v="ITAHUE"/>
    <n v="220"/>
    <n v="0.44367099999999998"/>
    <x v="4"/>
    <n v="46.902000000000001"/>
    <x v="0"/>
    <x v="0"/>
    <n v="1.0325599999999999"/>
    <s v="SISTEMA E"/>
    <n v="21.486600145799521"/>
  </r>
  <r>
    <x v="7"/>
    <x v="0"/>
    <s v="ITAHUE"/>
    <n v="220"/>
    <n v="0.44367099999999998"/>
    <x v="5"/>
    <n v="58.256"/>
    <x v="0"/>
    <x v="0"/>
    <n v="1.0325599999999999"/>
    <s v="SISTEMA E"/>
    <n v="26.68805974358656"/>
  </r>
  <r>
    <x v="7"/>
    <x v="0"/>
    <s v="ITAHUE"/>
    <n v="220"/>
    <n v="0.44367099999999998"/>
    <x v="0"/>
    <n v="66.899000000000001"/>
    <x v="1"/>
    <x v="0"/>
    <n v="1.0325599999999999"/>
    <s v="SISTEMA E"/>
    <n v="30.647564350216239"/>
  </r>
  <r>
    <x v="7"/>
    <x v="0"/>
    <s v="ITAHUE"/>
    <n v="220"/>
    <n v="0.44367099999999998"/>
    <x v="1"/>
    <n v="61.454000000000001"/>
    <x v="1"/>
    <x v="0"/>
    <n v="1.0325599999999999"/>
    <s v="SISTEMA E"/>
    <n v="28.153117678563039"/>
  </r>
  <r>
    <x v="7"/>
    <x v="0"/>
    <s v="ITAHUE"/>
    <n v="220"/>
    <n v="0.44367099999999998"/>
    <x v="2"/>
    <n v="32.872"/>
    <x v="1"/>
    <x v="0"/>
    <n v="1.0325599999999999"/>
    <s v="SISTEMA E"/>
    <n v="15.059219649326719"/>
  </r>
  <r>
    <x v="7"/>
    <x v="0"/>
    <s v="ITAHUE"/>
    <n v="220"/>
    <n v="0.44367099999999998"/>
    <x v="3"/>
    <n v="31.65"/>
    <x v="1"/>
    <x v="0"/>
    <n v="1.0325599999999999"/>
    <s v="SISTEMA E"/>
    <n v="14.499400763603999"/>
  </r>
  <r>
    <x v="7"/>
    <x v="0"/>
    <s v="ITAHUE"/>
    <n v="220"/>
    <n v="0.44367099999999998"/>
    <x v="4"/>
    <n v="46.981999999999999"/>
    <x v="1"/>
    <x v="0"/>
    <n v="1.0325599999999999"/>
    <s v="SISTEMA E"/>
    <n v="21.52324950002032"/>
  </r>
  <r>
    <x v="7"/>
    <x v="0"/>
    <s v="ITAHUE"/>
    <n v="220"/>
    <n v="0.44367099999999998"/>
    <x v="5"/>
    <n v="79.751999999999995"/>
    <x v="1"/>
    <x v="0"/>
    <n v="1.0325599999999999"/>
    <s v="SISTEMA E"/>
    <n v="36.535741222715522"/>
  </r>
  <r>
    <x v="7"/>
    <x v="0"/>
    <s v="RAPEL"/>
    <n v="220"/>
    <n v="3.7309999999999999E-3"/>
    <x v="0"/>
    <n v="55.825000000000003"/>
    <x v="0"/>
    <x v="0"/>
    <n v="1.0325599999999999"/>
    <s v="SISTEMA E"/>
    <n v="0.21506477192199999"/>
  </r>
  <r>
    <x v="7"/>
    <x v="0"/>
    <s v="RAPEL"/>
    <n v="220"/>
    <n v="3.7309999999999999E-3"/>
    <x v="1"/>
    <n v="56.061999999999998"/>
    <x v="0"/>
    <x v="0"/>
    <n v="1.0325599999999999"/>
    <s v="SISTEMA E"/>
    <n v="0.21597781000432001"/>
  </r>
  <r>
    <x v="7"/>
    <x v="0"/>
    <s v="RAPEL"/>
    <n v="220"/>
    <n v="3.7309999999999999E-3"/>
    <x v="2"/>
    <n v="39.136000000000003"/>
    <x v="0"/>
    <x v="0"/>
    <n v="1.0325599999999999"/>
    <s v="SISTEMA E"/>
    <n v="0.15077071050495999"/>
  </r>
  <r>
    <x v="7"/>
    <x v="0"/>
    <s v="RAPEL"/>
    <n v="220"/>
    <n v="3.7309999999999999E-3"/>
    <x v="3"/>
    <n v="38.625"/>
    <x v="0"/>
    <x v="0"/>
    <n v="1.0325599999999999"/>
    <s v="SISTEMA E"/>
    <n v="0.14880209253000001"/>
  </r>
  <r>
    <x v="7"/>
    <x v="0"/>
    <s v="RAPEL"/>
    <n v="220"/>
    <n v="3.7309999999999999E-3"/>
    <x v="4"/>
    <n v="49.764000000000003"/>
    <x v="0"/>
    <x v="0"/>
    <n v="1.0325599999999999"/>
    <s v="SISTEMA E"/>
    <n v="0.19171488239904"/>
  </r>
  <r>
    <x v="7"/>
    <x v="0"/>
    <s v="RAPEL"/>
    <n v="220"/>
    <n v="3.7309999999999999E-3"/>
    <x v="5"/>
    <n v="61.481999999999999"/>
    <x v="0"/>
    <x v="0"/>
    <n v="1.0325599999999999"/>
    <s v="SISTEMA E"/>
    <n v="0.23685825897551999"/>
  </r>
  <r>
    <x v="7"/>
    <x v="0"/>
    <s v="RAPEL"/>
    <n v="220"/>
    <n v="3.7309999999999999E-3"/>
    <x v="0"/>
    <n v="70.069000000000003"/>
    <x v="1"/>
    <x v="0"/>
    <n v="1.0325599999999999"/>
    <s v="SISTEMA E"/>
    <n v="0.26993951641384001"/>
  </r>
  <r>
    <x v="7"/>
    <x v="0"/>
    <s v="RAPEL"/>
    <n v="220"/>
    <n v="3.7309999999999999E-3"/>
    <x v="1"/>
    <n v="63.207000000000001"/>
    <x v="1"/>
    <x v="0"/>
    <n v="1.0325599999999999"/>
    <s v="SISTEMA E"/>
    <n v="0.24350378932152"/>
  </r>
  <r>
    <x v="7"/>
    <x v="0"/>
    <s v="RAPEL"/>
    <n v="220"/>
    <n v="3.7309999999999999E-3"/>
    <x v="2"/>
    <n v="32.453000000000003"/>
    <x v="1"/>
    <x v="0"/>
    <n v="1.0325599999999999"/>
    <s v="SISTEMA E"/>
    <n v="0.12502457757607999"/>
  </r>
  <r>
    <x v="7"/>
    <x v="0"/>
    <s v="RAPEL"/>
    <n v="220"/>
    <n v="3.7309999999999999E-3"/>
    <x v="3"/>
    <n v="30.672000000000001"/>
    <x v="1"/>
    <x v="0"/>
    <n v="1.0325599999999999"/>
    <s v="SISTEMA E"/>
    <n v="0.11816330827392001"/>
  </r>
  <r>
    <x v="7"/>
    <x v="0"/>
    <s v="RAPEL"/>
    <n v="220"/>
    <n v="3.7309999999999999E-3"/>
    <x v="4"/>
    <n v="51.459000000000003"/>
    <x v="1"/>
    <x v="0"/>
    <n v="1.0325599999999999"/>
    <s v="SISTEMA E"/>
    <n v="0.19824483830424"/>
  </r>
  <r>
    <x v="7"/>
    <x v="0"/>
    <s v="RAPEL"/>
    <n v="220"/>
    <n v="3.7309999999999999E-3"/>
    <x v="5"/>
    <n v="87.926000000000002"/>
    <x v="1"/>
    <x v="0"/>
    <n v="1.0325599999999999"/>
    <s v="SISTEMA E"/>
    <n v="0.33873327605935999"/>
  </r>
  <r>
    <x v="8"/>
    <x v="1"/>
    <s v="CANDELARIA"/>
    <n v="220"/>
    <n v="1"/>
    <x v="0"/>
    <n v="55.036999999999999"/>
    <x v="0"/>
    <x v="0"/>
    <n v="1.01102"/>
    <s v="SISTEMA D"/>
    <n v="55.643507739999997"/>
  </r>
  <r>
    <x v="8"/>
    <x v="1"/>
    <s v="CANDELARIA"/>
    <n v="220"/>
    <n v="1"/>
    <x v="1"/>
    <n v="54.956000000000003"/>
    <x v="0"/>
    <x v="0"/>
    <n v="1.01102"/>
    <s v="SISTEMA D"/>
    <n v="55.561615120000013"/>
  </r>
  <r>
    <x v="8"/>
    <x v="1"/>
    <s v="CANDELARIA"/>
    <n v="220"/>
    <n v="1"/>
    <x v="2"/>
    <n v="39.203000000000003"/>
    <x v="0"/>
    <x v="0"/>
    <n v="1.01102"/>
    <s v="SISTEMA D"/>
    <n v="39.635017060000003"/>
  </r>
  <r>
    <x v="8"/>
    <x v="1"/>
    <s v="CANDELARIA"/>
    <n v="220"/>
    <n v="1"/>
    <x v="3"/>
    <n v="38.652999999999999"/>
    <x v="0"/>
    <x v="0"/>
    <n v="1.01102"/>
    <s v="SISTEMA D"/>
    <n v="39.078956060000003"/>
  </r>
  <r>
    <x v="8"/>
    <x v="1"/>
    <s v="CANDELARIA"/>
    <n v="220"/>
    <n v="1"/>
    <x v="4"/>
    <n v="49.816000000000003"/>
    <x v="0"/>
    <x v="0"/>
    <n v="1.01102"/>
    <s v="SISTEMA D"/>
    <n v="50.364972320000007"/>
  </r>
  <r>
    <x v="8"/>
    <x v="1"/>
    <s v="CANDELARIA"/>
    <n v="220"/>
    <n v="1"/>
    <x v="5"/>
    <n v="60.801000000000002"/>
    <x v="0"/>
    <x v="0"/>
    <n v="1.01102"/>
    <s v="SISTEMA D"/>
    <n v="61.471027020000001"/>
  </r>
  <r>
    <x v="8"/>
    <x v="1"/>
    <s v="CANDELARIA"/>
    <n v="220"/>
    <n v="1"/>
    <x v="0"/>
    <n v="67.849999999999994"/>
    <x v="1"/>
    <x v="0"/>
    <n v="1.01102"/>
    <s v="SISTEMA D"/>
    <n v="68.597707"/>
  </r>
  <r>
    <x v="8"/>
    <x v="1"/>
    <s v="CANDELARIA"/>
    <n v="220"/>
    <n v="1"/>
    <x v="1"/>
    <n v="61.502000000000002"/>
    <x v="1"/>
    <x v="0"/>
    <n v="1.01102"/>
    <s v="SISTEMA D"/>
    <n v="62.179752039999997"/>
  </r>
  <r>
    <x v="8"/>
    <x v="1"/>
    <s v="CANDELARIA"/>
    <n v="220"/>
    <n v="1"/>
    <x v="2"/>
    <n v="33.115000000000002"/>
    <x v="1"/>
    <x v="0"/>
    <n v="1.01102"/>
    <s v="SISTEMA D"/>
    <n v="33.4799273"/>
  </r>
  <r>
    <x v="8"/>
    <x v="1"/>
    <s v="CANDELARIA"/>
    <n v="220"/>
    <n v="1"/>
    <x v="3"/>
    <n v="32.148000000000003"/>
    <x v="1"/>
    <x v="0"/>
    <n v="1.01102"/>
    <s v="SISTEMA D"/>
    <n v="32.502270959999997"/>
  </r>
  <r>
    <x v="8"/>
    <x v="1"/>
    <s v="CANDELARIA"/>
    <n v="220"/>
    <n v="1"/>
    <x v="4"/>
    <n v="52.631999999999998"/>
    <x v="1"/>
    <x v="0"/>
    <n v="1.01102"/>
    <s v="SISTEMA D"/>
    <n v="53.212004640000004"/>
  </r>
  <r>
    <x v="8"/>
    <x v="1"/>
    <s v="CANDELARIA"/>
    <n v="220"/>
    <n v="1"/>
    <x v="5"/>
    <n v="86.935000000000002"/>
    <x v="1"/>
    <x v="0"/>
    <n v="1.01102"/>
    <s v="SISTEMA D"/>
    <n v="87.893023700000001"/>
  </r>
  <r>
    <x v="9"/>
    <x v="1"/>
    <s v="CARDONES"/>
    <n v="220"/>
    <n v="6.0489999999999997E-3"/>
    <x v="0"/>
    <n v="55.843000000000004"/>
    <x v="0"/>
    <x v="0"/>
    <n v="1.0792999999999999"/>
    <s v="SISTEMA B"/>
    <n v="0.3645813955451"/>
  </r>
  <r>
    <x v="9"/>
    <x v="1"/>
    <s v="CARDONES"/>
    <n v="220"/>
    <n v="6.0489999999999997E-3"/>
    <x v="1"/>
    <n v="55.694000000000003"/>
    <x v="0"/>
    <x v="0"/>
    <n v="1.0792999999999999"/>
    <s v="SISTEMA B"/>
    <n v="0.36360862137580002"/>
  </r>
  <r>
    <x v="9"/>
    <x v="1"/>
    <s v="CARDONES"/>
    <n v="220"/>
    <n v="6.0489999999999997E-3"/>
    <x v="2"/>
    <n v="38.871000000000002"/>
    <x v="0"/>
    <x v="0"/>
    <n v="1.0792999999999999"/>
    <s v="SISTEMA B"/>
    <n v="0.2537765418447"/>
  </r>
  <r>
    <x v="9"/>
    <x v="1"/>
    <s v="CARDONES"/>
    <n v="220"/>
    <n v="6.0489999999999997E-3"/>
    <x v="3"/>
    <n v="38.637999999999998"/>
    <x v="0"/>
    <x v="0"/>
    <n v="1.0792999999999999"/>
    <s v="SISTEMA B"/>
    <n v="0.25225535807659999"/>
  </r>
  <r>
    <x v="9"/>
    <x v="1"/>
    <s v="CARDONES"/>
    <n v="220"/>
    <n v="6.0489999999999997E-3"/>
    <x v="4"/>
    <n v="49.030999999999999"/>
    <x v="0"/>
    <x v="0"/>
    <n v="1.0792999999999999"/>
    <s v="SISTEMA B"/>
    <n v="0.32010798855669997"/>
  </r>
  <r>
    <x v="9"/>
    <x v="1"/>
    <s v="CARDONES"/>
    <n v="220"/>
    <n v="6.0489999999999997E-3"/>
    <x v="5"/>
    <n v="61.168999999999997"/>
    <x v="0"/>
    <x v="0"/>
    <n v="1.0792999999999999"/>
    <s v="SISTEMA B"/>
    <n v="0.39935317558329991"/>
  </r>
  <r>
    <x v="9"/>
    <x v="1"/>
    <s v="CARDONES"/>
    <n v="220"/>
    <n v="6.0489999999999997E-3"/>
    <x v="0"/>
    <n v="73.141000000000005"/>
    <x v="1"/>
    <x v="0"/>
    <n v="1.0792999999999999"/>
    <s v="SISTEMA B"/>
    <n v="0.47751460078370001"/>
  </r>
  <r>
    <x v="9"/>
    <x v="1"/>
    <s v="CARDONES"/>
    <n v="220"/>
    <n v="6.0489999999999997E-3"/>
    <x v="1"/>
    <n v="64.472999999999999"/>
    <x v="1"/>
    <x v="0"/>
    <n v="1.0792999999999999"/>
    <s v="SISTEMA B"/>
    <n v="0.42092395313609993"/>
  </r>
  <r>
    <x v="9"/>
    <x v="1"/>
    <s v="CARDONES"/>
    <n v="220"/>
    <n v="6.0489999999999997E-3"/>
    <x v="2"/>
    <n v="31.466000000000001"/>
    <x v="1"/>
    <x v="0"/>
    <n v="1.0792999999999999"/>
    <s v="SISTEMA B"/>
    <n v="0.20543162423620001"/>
  </r>
  <r>
    <x v="9"/>
    <x v="1"/>
    <s v="CARDONES"/>
    <n v="220"/>
    <n v="6.0489999999999997E-3"/>
    <x v="3"/>
    <n v="31.916"/>
    <x v="1"/>
    <x v="0"/>
    <n v="1.0792999999999999"/>
    <s v="SISTEMA B"/>
    <n v="0.20836953280119999"/>
  </r>
  <r>
    <x v="9"/>
    <x v="1"/>
    <s v="CARDONES"/>
    <n v="220"/>
    <n v="6.0489999999999997E-3"/>
    <x v="4"/>
    <n v="49.673999999999999"/>
    <x v="1"/>
    <x v="0"/>
    <n v="1.0792999999999999"/>
    <s v="SISTEMA B"/>
    <n v="0.32430593346179998"/>
  </r>
  <r>
    <x v="9"/>
    <x v="1"/>
    <s v="CARDONES"/>
    <n v="220"/>
    <n v="6.0489999999999997E-3"/>
    <x v="5"/>
    <n v="90.322000000000003"/>
    <x v="1"/>
    <x v="0"/>
    <n v="1.0792999999999999"/>
    <s v="SISTEMA B"/>
    <n v="0.58968394979539995"/>
  </r>
  <r>
    <x v="9"/>
    <x v="1"/>
    <s v="L.VILOS"/>
    <n v="220"/>
    <n v="1.9009000000000002E-2"/>
    <x v="0"/>
    <n v="56.076999999999998"/>
    <x v="0"/>
    <x v="0"/>
    <n v="1.0792999999999999"/>
    <s v="SISTEMA B"/>
    <n v="1.1504989310549001"/>
  </r>
  <r>
    <x v="9"/>
    <x v="1"/>
    <s v="L.VILOS"/>
    <n v="220"/>
    <n v="1.9009000000000002E-2"/>
    <x v="1"/>
    <n v="56.247"/>
    <x v="0"/>
    <x v="0"/>
    <n v="1.0792999999999999"/>
    <s v="SISTEMA B"/>
    <n v="1.1539867213838999"/>
  </r>
  <r>
    <x v="9"/>
    <x v="1"/>
    <s v="L.VILOS"/>
    <n v="220"/>
    <n v="1.9009000000000002E-2"/>
    <x v="2"/>
    <n v="39.034999999999997"/>
    <x v="0"/>
    <x v="0"/>
    <n v="1.0792999999999999"/>
    <s v="SISTEMA B"/>
    <n v="0.80085820877949998"/>
  </r>
  <r>
    <x v="9"/>
    <x v="1"/>
    <s v="L.VILOS"/>
    <n v="220"/>
    <n v="1.9009000000000002E-2"/>
    <x v="3"/>
    <n v="38.645000000000003"/>
    <x v="0"/>
    <x v="0"/>
    <n v="1.0792999999999999"/>
    <s v="SISTEMA B"/>
    <n v="0.7928568074365"/>
  </r>
  <r>
    <x v="9"/>
    <x v="1"/>
    <s v="L.VILOS"/>
    <n v="220"/>
    <n v="1.9009000000000002E-2"/>
    <x v="4"/>
    <n v="51.24"/>
    <x v="0"/>
    <x v="0"/>
    <n v="1.0792999999999999"/>
    <s v="SISTEMA B"/>
    <n v="1.0512610379880001"/>
  </r>
  <r>
    <x v="9"/>
    <x v="1"/>
    <s v="L.VILOS"/>
    <n v="220"/>
    <n v="1.9009000000000002E-2"/>
    <x v="5"/>
    <n v="62.18"/>
    <x v="0"/>
    <x v="0"/>
    <n v="1.0792999999999999"/>
    <s v="SISTEMA B"/>
    <n v="1.275710603866"/>
  </r>
  <r>
    <x v="9"/>
    <x v="1"/>
    <s v="L.VILOS"/>
    <n v="220"/>
    <n v="1.9009000000000002E-2"/>
    <x v="0"/>
    <n v="72.055999999999997"/>
    <x v="1"/>
    <x v="0"/>
    <n v="1.0792999999999999"/>
    <s v="SISTEMA B"/>
    <n v="1.4783307055671999"/>
  </r>
  <r>
    <x v="9"/>
    <x v="1"/>
    <s v="L.VILOS"/>
    <n v="220"/>
    <n v="1.9009000000000002E-2"/>
    <x v="1"/>
    <n v="64.465000000000003"/>
    <x v="1"/>
    <x v="0"/>
    <n v="1.0792999999999999"/>
    <s v="SISTEMA B"/>
    <n v="1.3225906091705"/>
  </r>
  <r>
    <x v="9"/>
    <x v="1"/>
    <s v="L.VILOS"/>
    <n v="220"/>
    <n v="1.9009000000000002E-2"/>
    <x v="2"/>
    <n v="32.69"/>
    <x v="1"/>
    <x v="0"/>
    <n v="1.0792999999999999"/>
    <s v="SISTEMA B"/>
    <n v="0.67068156385299993"/>
  </r>
  <r>
    <x v="9"/>
    <x v="1"/>
    <s v="L.VILOS"/>
    <n v="220"/>
    <n v="1.9009000000000002E-2"/>
    <x v="3"/>
    <n v="31.960999999999999"/>
    <x v="1"/>
    <x v="0"/>
    <n v="1.0792999999999999"/>
    <s v="SISTEMA B"/>
    <n v="0.65572509826569991"/>
  </r>
  <r>
    <x v="9"/>
    <x v="1"/>
    <s v="L.VILOS"/>
    <n v="220"/>
    <n v="1.9009000000000002E-2"/>
    <x v="4"/>
    <n v="54.142000000000003"/>
    <x v="1"/>
    <x v="0"/>
    <n v="1.0792999999999999"/>
    <s v="SISTEMA B"/>
    <n v="1.1107996705454"/>
  </r>
  <r>
    <x v="9"/>
    <x v="1"/>
    <s v="L.VILOS"/>
    <n v="220"/>
    <n v="1.9009000000000002E-2"/>
    <x v="5"/>
    <n v="89.444000000000003"/>
    <x v="1"/>
    <x v="0"/>
    <n v="1.0792999999999999"/>
    <s v="SISTEMA B"/>
    <n v="1.8350701069827999"/>
  </r>
  <r>
    <x v="9"/>
    <x v="1"/>
    <s v="MAITENCILLO"/>
    <n v="220"/>
    <n v="7.7262999999999998E-2"/>
    <x v="0"/>
    <n v="55.704999999999998"/>
    <x v="0"/>
    <x v="0"/>
    <n v="1.0792999999999999"/>
    <s v="SISTEMA B"/>
    <n v="4.6452374934094998"/>
  </r>
  <r>
    <x v="9"/>
    <x v="1"/>
    <s v="MAITENCILLO"/>
    <n v="220"/>
    <n v="7.7262999999999998E-2"/>
    <x v="1"/>
    <n v="55.51"/>
    <x v="0"/>
    <x v="0"/>
    <n v="1.0792999999999999"/>
    <s v="SISTEMA B"/>
    <n v="4.6289764520089998"/>
  </r>
  <r>
    <x v="9"/>
    <x v="1"/>
    <s v="MAITENCILLO"/>
    <n v="220"/>
    <n v="7.7262999999999998E-2"/>
    <x v="2"/>
    <n v="38.847000000000001"/>
    <x v="0"/>
    <x v="0"/>
    <n v="1.0792999999999999"/>
    <s v="SISTEMA B"/>
    <n v="3.2394496168472999"/>
  </r>
  <r>
    <x v="9"/>
    <x v="1"/>
    <s v="MAITENCILLO"/>
    <n v="220"/>
    <n v="7.7262999999999998E-2"/>
    <x v="3"/>
    <n v="38.637999999999998"/>
    <x v="0"/>
    <x v="0"/>
    <n v="1.0792999999999999"/>
    <s v="SISTEMA B"/>
    <n v="3.2220211160641998"/>
  </r>
  <r>
    <x v="9"/>
    <x v="1"/>
    <s v="MAITENCILLO"/>
    <n v="220"/>
    <n v="7.7262999999999998E-2"/>
    <x v="4"/>
    <n v="48.972000000000001"/>
    <x v="0"/>
    <x v="0"/>
    <n v="1.0792999999999999"/>
    <s v="SISTEMA B"/>
    <n v="4.0837729203348001"/>
  </r>
  <r>
    <x v="9"/>
    <x v="1"/>
    <s v="MAITENCILLO"/>
    <n v="220"/>
    <n v="7.7262999999999998E-2"/>
    <x v="5"/>
    <n v="60.866999999999997"/>
    <x v="0"/>
    <x v="0"/>
    <n v="1.0792999999999999"/>
    <s v="SISTEMA B"/>
    <n v="5.0756964457652991"/>
  </r>
  <r>
    <x v="9"/>
    <x v="1"/>
    <s v="MAITENCILLO"/>
    <n v="220"/>
    <n v="7.7262999999999998E-2"/>
    <x v="0"/>
    <n v="71.807000000000002"/>
    <x v="1"/>
    <x v="0"/>
    <n v="1.0792999999999999"/>
    <s v="SISTEMA B"/>
    <n v="5.9879825633113004"/>
  </r>
  <r>
    <x v="9"/>
    <x v="1"/>
    <s v="MAITENCILLO"/>
    <n v="220"/>
    <n v="7.7262999999999998E-2"/>
    <x v="1"/>
    <n v="63.478999999999999"/>
    <x v="1"/>
    <x v="0"/>
    <n v="1.0792999999999999"/>
    <s v="SISTEMA B"/>
    <n v="5.2935110105760996"/>
  </r>
  <r>
    <x v="9"/>
    <x v="1"/>
    <s v="MAITENCILLO"/>
    <n v="220"/>
    <n v="7.7262999999999998E-2"/>
    <x v="2"/>
    <n v="31.518999999999998"/>
    <x v="1"/>
    <x v="0"/>
    <n v="1.0792999999999999"/>
    <s v="SISTEMA B"/>
    <n v="2.6283680200121"/>
  </r>
  <r>
    <x v="9"/>
    <x v="1"/>
    <s v="MAITENCILLO"/>
    <n v="220"/>
    <n v="7.7262999999999998E-2"/>
    <x v="3"/>
    <n v="31.815000000000001"/>
    <x v="1"/>
    <x v="0"/>
    <n v="1.0792999999999999"/>
    <s v="SISTEMA B"/>
    <n v="2.6530514469585"/>
  </r>
  <r>
    <x v="9"/>
    <x v="1"/>
    <s v="MAITENCILLO"/>
    <n v="220"/>
    <n v="7.7262999999999998E-2"/>
    <x v="4"/>
    <n v="49.033000000000001"/>
    <x v="1"/>
    <x v="0"/>
    <n v="1.0792999999999999"/>
    <s v="SISTEMA B"/>
    <n v="4.0888597076447004"/>
  </r>
  <r>
    <x v="9"/>
    <x v="1"/>
    <s v="MAITENCILLO"/>
    <n v="220"/>
    <n v="7.7262999999999998E-2"/>
    <x v="5"/>
    <n v="88.241"/>
    <x v="1"/>
    <x v="0"/>
    <n v="1.0792999999999999"/>
    <s v="SISTEMA B"/>
    <n v="7.3584130985718996"/>
  </r>
  <r>
    <x v="9"/>
    <x v="1"/>
    <s v="P.AZUCAR"/>
    <n v="220"/>
    <n v="0.89767799999999998"/>
    <x v="0"/>
    <n v="55.716000000000001"/>
    <x v="0"/>
    <x v="0"/>
    <n v="1.0792999999999999"/>
    <s v="SISTEMA B"/>
    <n v="53.981219124626392"/>
  </r>
  <r>
    <x v="9"/>
    <x v="1"/>
    <s v="P.AZUCAR"/>
    <n v="220"/>
    <n v="0.89767799999999998"/>
    <x v="1"/>
    <n v="55.588999999999999"/>
    <x v="0"/>
    <x v="0"/>
    <n v="1.0792999999999999"/>
    <s v="SISTEMA B"/>
    <n v="53.858173413720593"/>
  </r>
  <r>
    <x v="9"/>
    <x v="1"/>
    <s v="P.AZUCAR"/>
    <n v="220"/>
    <n v="0.89767799999999998"/>
    <x v="2"/>
    <n v="39"/>
    <x v="0"/>
    <x v="0"/>
    <n v="1.0792999999999999"/>
    <s v="SISTEMA B"/>
    <n v="37.785690750599997"/>
  </r>
  <r>
    <x v="9"/>
    <x v="1"/>
    <s v="P.AZUCAR"/>
    <n v="220"/>
    <n v="0.89767799999999998"/>
    <x v="3"/>
    <n v="38.643000000000001"/>
    <x v="0"/>
    <x v="0"/>
    <n v="1.0792999999999999"/>
    <s v="SISTEMA B"/>
    <n v="37.439806350652198"/>
  </r>
  <r>
    <x v="9"/>
    <x v="1"/>
    <s v="P.AZUCAR"/>
    <n v="220"/>
    <n v="0.89767799999999998"/>
    <x v="4"/>
    <n v="49.264000000000003"/>
    <x v="0"/>
    <x v="0"/>
    <n v="1.0792999999999999"/>
    <s v="SISTEMA B"/>
    <n v="47.730109465065603"/>
  </r>
  <r>
    <x v="9"/>
    <x v="1"/>
    <s v="P.AZUCAR"/>
    <n v="220"/>
    <n v="0.89767799999999998"/>
    <x v="5"/>
    <n v="61.28"/>
    <x v="0"/>
    <x v="0"/>
    <n v="1.0792999999999999"/>
    <s v="SISTEMA B"/>
    <n v="59.371977671712003"/>
  </r>
  <r>
    <x v="9"/>
    <x v="1"/>
    <s v="P.AZUCAR"/>
    <n v="220"/>
    <n v="0.89767799999999998"/>
    <x v="0"/>
    <n v="71.945999999999998"/>
    <x v="1"/>
    <x v="0"/>
    <n v="1.0792999999999999"/>
    <s v="SISTEMA B"/>
    <n v="69.705879660068391"/>
  </r>
  <r>
    <x v="9"/>
    <x v="1"/>
    <s v="P.AZUCAR"/>
    <n v="220"/>
    <n v="0.89767799999999998"/>
    <x v="1"/>
    <n v="63.923000000000002"/>
    <x v="1"/>
    <x v="0"/>
    <n v="1.0792999999999999"/>
    <s v="SISTEMA B"/>
    <n v="61.932684867964198"/>
  </r>
  <r>
    <x v="9"/>
    <x v="1"/>
    <s v="P.AZUCAR"/>
    <n v="220"/>
    <n v="0.89767799999999998"/>
    <x v="2"/>
    <n v="32.704000000000001"/>
    <x v="1"/>
    <x v="0"/>
    <n v="1.0792999999999999"/>
    <s v="SISTEMA B"/>
    <n v="31.685723854041601"/>
  </r>
  <r>
    <x v="9"/>
    <x v="1"/>
    <s v="P.AZUCAR"/>
    <n v="220"/>
    <n v="0.89767799999999998"/>
    <x v="3"/>
    <n v="32.005000000000003"/>
    <x v="1"/>
    <x v="0"/>
    <n v="1.0792999999999999"/>
    <s v="SISTEMA B"/>
    <n v="31.008488012127"/>
  </r>
  <r>
    <x v="9"/>
    <x v="1"/>
    <s v="P.AZUCAR"/>
    <n v="220"/>
    <n v="0.89767799999999998"/>
    <x v="4"/>
    <n v="50.984000000000002"/>
    <x v="1"/>
    <x v="0"/>
    <n v="1.0792999999999999"/>
    <s v="SISTEMA B"/>
    <n v="49.396555313553598"/>
  </r>
  <r>
    <x v="9"/>
    <x v="1"/>
    <s v="P.AZUCAR"/>
    <n v="220"/>
    <n v="0.89767799999999998"/>
    <x v="5"/>
    <n v="89.602000000000004"/>
    <x v="1"/>
    <x v="0"/>
    <n v="1.0792999999999999"/>
    <s v="SISTEMA B"/>
    <n v="86.812140067570795"/>
  </r>
  <r>
    <x v="10"/>
    <x v="2"/>
    <s v="A.JAHUEL"/>
    <n v="220"/>
    <n v="0.275314"/>
    <x v="0"/>
    <n v="55.936"/>
    <x v="0"/>
    <x v="0"/>
    <n v="1.0325599999999999"/>
    <s v="SISTEMA E"/>
    <n v="15.90138672871424"/>
  </r>
  <r>
    <x v="10"/>
    <x v="2"/>
    <s v="A.JAHUEL"/>
    <n v="220"/>
    <n v="0.275314"/>
    <x v="1"/>
    <n v="56.033999999999999"/>
    <x v="0"/>
    <x v="0"/>
    <n v="1.0325599999999999"/>
    <s v="SISTEMA E"/>
    <n v="15.929245994650559"/>
  </r>
  <r>
    <x v="10"/>
    <x v="2"/>
    <s v="A.JAHUEL"/>
    <n v="220"/>
    <n v="0.275314"/>
    <x v="2"/>
    <n v="39.116999999999997"/>
    <x v="0"/>
    <x v="0"/>
    <n v="1.0325599999999999"/>
    <s v="SISTEMA E"/>
    <n v="11.12011128194928"/>
  </r>
  <r>
    <x v="10"/>
    <x v="2"/>
    <s v="A.JAHUEL"/>
    <n v="220"/>
    <n v="0.275314"/>
    <x v="3"/>
    <n v="38.668999999999997"/>
    <x v="0"/>
    <x v="0"/>
    <n v="1.0325599999999999"/>
    <s v="SISTEMA E"/>
    <n v="10.992754637668961"/>
  </r>
  <r>
    <x v="10"/>
    <x v="2"/>
    <s v="A.JAHUEL"/>
    <n v="220"/>
    <n v="0.275314"/>
    <x v="4"/>
    <n v="51.475999999999999"/>
    <x v="0"/>
    <x v="0"/>
    <n v="1.0325599999999999"/>
    <s v="SISTEMA E"/>
    <n v="14.63350585038784"/>
  </r>
  <r>
    <x v="10"/>
    <x v="2"/>
    <s v="A.JAHUEL"/>
    <n v="220"/>
    <n v="0.275314"/>
    <x v="5"/>
    <n v="62.256999999999998"/>
    <x v="0"/>
    <x v="0"/>
    <n v="1.0325599999999999"/>
    <s v="SISTEMA E"/>
    <n v="17.698309381606879"/>
  </r>
  <r>
    <x v="10"/>
    <x v="2"/>
    <s v="A.JAHUEL"/>
    <n v="220"/>
    <n v="0.275314"/>
    <x v="0"/>
    <n v="69.262"/>
    <x v="1"/>
    <x v="0"/>
    <n v="1.0325599999999999"/>
    <s v="SISTEMA E"/>
    <n v="19.689678339606079"/>
  </r>
  <r>
    <x v="10"/>
    <x v="2"/>
    <s v="A.JAHUEL"/>
    <n v="220"/>
    <n v="0.275314"/>
    <x v="1"/>
    <n v="62.783000000000001"/>
    <x v="1"/>
    <x v="0"/>
    <n v="1.0325599999999999"/>
    <s v="SISTEMA E"/>
    <n v="17.84783972734672"/>
  </r>
  <r>
    <x v="10"/>
    <x v="2"/>
    <s v="A.JAHUEL"/>
    <n v="220"/>
    <n v="0.275314"/>
    <x v="2"/>
    <n v="32.915999999999997"/>
    <x v="1"/>
    <x v="0"/>
    <n v="1.0325599999999999"/>
    <s v="SISTEMA E"/>
    <n v="9.3573020159174387"/>
  </r>
  <r>
    <x v="10"/>
    <x v="2"/>
    <s v="A.JAHUEL"/>
    <n v="220"/>
    <n v="0.275314"/>
    <x v="3"/>
    <n v="32.179000000000002"/>
    <x v="1"/>
    <x v="0"/>
    <n v="1.0325599999999999"/>
    <s v="SISTEMA E"/>
    <n v="9.1477889649473596"/>
  </r>
  <r>
    <x v="10"/>
    <x v="2"/>
    <s v="A.JAHUEL"/>
    <n v="220"/>
    <n v="0.275314"/>
    <x v="4"/>
    <n v="54.389000000000003"/>
    <x v="1"/>
    <x v="0"/>
    <n v="1.0325599999999999"/>
    <s v="SISTEMA E"/>
    <n v="15.461608316433759"/>
  </r>
  <r>
    <x v="10"/>
    <x v="2"/>
    <s v="A.JAHUEL"/>
    <n v="220"/>
    <n v="0.275314"/>
    <x v="5"/>
    <n v="88.427000000000007"/>
    <x v="1"/>
    <x v="0"/>
    <n v="1.0325599999999999"/>
    <s v="SISTEMA E"/>
    <n v="25.13787049949968"/>
  </r>
  <r>
    <x v="10"/>
    <x v="2"/>
    <s v="A.MELIP"/>
    <n v="220"/>
    <n v="5.8817000000000001E-2"/>
    <x v="0"/>
    <n v="56.027999999999999"/>
    <x v="0"/>
    <x v="0"/>
    <n v="1.0325599999999999"/>
    <s v="SISTEMA E"/>
    <n v="3.40269706340256"/>
  </r>
  <r>
    <x v="10"/>
    <x v="2"/>
    <s v="A.MELIP"/>
    <n v="220"/>
    <n v="5.8817000000000001E-2"/>
    <x v="1"/>
    <n v="56.122999999999998"/>
    <x v="0"/>
    <x v="0"/>
    <n v="1.0325599999999999"/>
    <s v="SISTEMA E"/>
    <n v="3.408466611146959"/>
  </r>
  <r>
    <x v="10"/>
    <x v="2"/>
    <s v="A.MELIP"/>
    <n v="220"/>
    <n v="5.8817000000000001E-2"/>
    <x v="2"/>
    <n v="39.145000000000003"/>
    <x v="0"/>
    <x v="0"/>
    <n v="1.0325599999999999"/>
    <s v="SISTEMA E"/>
    <n v="2.3773573311003999"/>
  </r>
  <r>
    <x v="10"/>
    <x v="2"/>
    <s v="A.MELIP"/>
    <n v="220"/>
    <n v="5.8817000000000001E-2"/>
    <x v="3"/>
    <n v="38.646999999999998"/>
    <x v="0"/>
    <x v="0"/>
    <n v="1.0325599999999999"/>
    <s v="SISTEMA E"/>
    <n v="2.3471127545034398"/>
  </r>
  <r>
    <x v="10"/>
    <x v="2"/>
    <s v="A.MELIP"/>
    <n v="220"/>
    <n v="5.8817000000000001E-2"/>
    <x v="4"/>
    <n v="49.831000000000003"/>
    <x v="0"/>
    <x v="0"/>
    <n v="1.0325599999999999"/>
    <s v="SISTEMA E"/>
    <n v="3.02634035422312"/>
  </r>
  <r>
    <x v="10"/>
    <x v="2"/>
    <s v="A.MELIP"/>
    <n v="220"/>
    <n v="5.8817000000000001E-2"/>
    <x v="5"/>
    <n v="61.533000000000001"/>
    <x v="0"/>
    <x v="0"/>
    <n v="1.0325599999999999"/>
    <s v="SISTEMA E"/>
    <n v="3.7370271721701598"/>
  </r>
  <r>
    <x v="10"/>
    <x v="2"/>
    <s v="A.MELIP"/>
    <n v="220"/>
    <n v="5.8817000000000001E-2"/>
    <x v="0"/>
    <n v="70.548000000000002"/>
    <x v="1"/>
    <x v="0"/>
    <n v="1.0325599999999999"/>
    <s v="SISTEMA E"/>
    <n v="4.2845268870729596"/>
  </r>
  <r>
    <x v="10"/>
    <x v="2"/>
    <s v="A.MELIP"/>
    <n v="220"/>
    <n v="5.8817000000000001E-2"/>
    <x v="1"/>
    <n v="63.55"/>
    <x v="1"/>
    <x v="0"/>
    <n v="1.0325599999999999"/>
    <s v="SISTEMA E"/>
    <n v="3.8595237805960001"/>
  </r>
  <r>
    <x v="10"/>
    <x v="2"/>
    <s v="A.MELIP"/>
    <n v="220"/>
    <n v="5.8817000000000001E-2"/>
    <x v="2"/>
    <n v="32.978000000000002"/>
    <x v="1"/>
    <x v="0"/>
    <n v="1.0325599999999999"/>
    <s v="SISTEMA E"/>
    <n v="2.0028225843665601"/>
  </r>
  <r>
    <x v="10"/>
    <x v="2"/>
    <s v="A.MELIP"/>
    <n v="220"/>
    <n v="5.8817000000000001E-2"/>
    <x v="3"/>
    <n v="31.867000000000001"/>
    <x v="1"/>
    <x v="0"/>
    <n v="1.0325599999999999"/>
    <s v="SISTEMA E"/>
    <n v="1.93534924179784"/>
  </r>
  <r>
    <x v="10"/>
    <x v="2"/>
    <s v="A.MELIP"/>
    <n v="220"/>
    <n v="5.8817000000000001E-2"/>
    <x v="4"/>
    <n v="51.658000000000001"/>
    <x v="1"/>
    <x v="0"/>
    <n v="1.0325599999999999"/>
    <s v="SISTEMA E"/>
    <n v="3.1372978671601599"/>
  </r>
  <r>
    <x v="10"/>
    <x v="2"/>
    <s v="A.MELIP"/>
    <n v="220"/>
    <n v="5.8817000000000001E-2"/>
    <x v="5"/>
    <n v="88.040999999999997"/>
    <x v="1"/>
    <x v="0"/>
    <n v="1.0325599999999999"/>
    <s v="SISTEMA E"/>
    <n v="5.3469131891023194"/>
  </r>
  <r>
    <x v="10"/>
    <x v="2"/>
    <s v="CHARRUA"/>
    <n v="220"/>
    <n v="3.8429999999999999E-2"/>
    <x v="0"/>
    <n v="54.328000000000003"/>
    <x v="0"/>
    <x v="0"/>
    <n v="1.0325599999999999"/>
    <s v="SISTEMA E"/>
    <n v="2.1558046233024002"/>
  </r>
  <r>
    <x v="10"/>
    <x v="2"/>
    <s v="CHARRUA"/>
    <n v="220"/>
    <n v="3.8429999999999999E-2"/>
    <x v="1"/>
    <n v="54.436999999999998"/>
    <x v="0"/>
    <x v="0"/>
    <n v="1.0325599999999999"/>
    <s v="SISTEMA E"/>
    <n v="2.1601298829096001"/>
  </r>
  <r>
    <x v="10"/>
    <x v="2"/>
    <s v="CHARRUA"/>
    <n v="220"/>
    <n v="3.8429999999999999E-2"/>
    <x v="2"/>
    <n v="39.161000000000001"/>
    <x v="0"/>
    <x v="0"/>
    <n v="1.0325599999999999"/>
    <s v="SISTEMA E"/>
    <n v="1.5539586374087999"/>
  </r>
  <r>
    <x v="10"/>
    <x v="2"/>
    <s v="CHARRUA"/>
    <n v="220"/>
    <n v="3.8429999999999999E-2"/>
    <x v="3"/>
    <n v="38.674999999999997"/>
    <x v="0"/>
    <x v="0"/>
    <n v="1.0325599999999999"/>
    <s v="SISTEMA E"/>
    <n v="1.53467353494"/>
  </r>
  <r>
    <x v="10"/>
    <x v="2"/>
    <s v="CHARRUA"/>
    <n v="220"/>
    <n v="3.8429999999999999E-2"/>
    <x v="4"/>
    <n v="49.055"/>
    <x v="0"/>
    <x v="0"/>
    <n v="1.0325599999999999"/>
    <s v="SISTEMA E"/>
    <n v="1.9465652296439999"/>
  </r>
  <r>
    <x v="10"/>
    <x v="2"/>
    <s v="CHARRUA"/>
    <n v="220"/>
    <n v="3.8429999999999999E-2"/>
    <x v="5"/>
    <n v="58.87"/>
    <x v="0"/>
    <x v="0"/>
    <n v="1.0325599999999999"/>
    <s v="SISTEMA E"/>
    <n v="2.336037000695999"/>
  </r>
  <r>
    <x v="10"/>
    <x v="2"/>
    <s v="CHARRUA"/>
    <n v="220"/>
    <n v="3.8429999999999999E-2"/>
    <x v="0"/>
    <n v="65.05"/>
    <x v="1"/>
    <x v="0"/>
    <n v="1.0325599999999999"/>
    <s v="SISTEMA E"/>
    <n v="2.581267316039999"/>
  </r>
  <r>
    <x v="10"/>
    <x v="2"/>
    <s v="CHARRUA"/>
    <n v="220"/>
    <n v="3.8429999999999999E-2"/>
    <x v="1"/>
    <n v="60.055999999999997"/>
    <x v="1"/>
    <x v="0"/>
    <n v="1.0325599999999999"/>
    <s v="SISTEMA E"/>
    <n v="2.3830989997248002"/>
  </r>
  <r>
    <x v="10"/>
    <x v="2"/>
    <s v="CHARRUA"/>
    <n v="220"/>
    <n v="3.8429999999999999E-2"/>
    <x v="2"/>
    <n v="33.075000000000003"/>
    <x v="1"/>
    <x v="0"/>
    <n v="1.0325599999999999"/>
    <s v="SISTEMA E"/>
    <n v="1.3124583624599999"/>
  </r>
  <r>
    <x v="10"/>
    <x v="2"/>
    <s v="CHARRUA"/>
    <n v="220"/>
    <n v="3.8429999999999999E-2"/>
    <x v="3"/>
    <n v="32.075000000000003"/>
    <x v="1"/>
    <x v="0"/>
    <n v="1.0325599999999999"/>
    <s v="SISTEMA E"/>
    <n v="1.2727770816599999"/>
  </r>
  <r>
    <x v="10"/>
    <x v="2"/>
    <s v="CHARRUA"/>
    <n v="220"/>
    <n v="3.8429999999999999E-2"/>
    <x v="4"/>
    <n v="50.77"/>
    <x v="1"/>
    <x v="0"/>
    <n v="1.0325599999999999"/>
    <s v="SISTEMA E"/>
    <n v="2.014618626216"/>
  </r>
  <r>
    <x v="10"/>
    <x v="2"/>
    <s v="CHARRUA"/>
    <n v="220"/>
    <n v="3.8429999999999999E-2"/>
    <x v="5"/>
    <n v="78.662999999999997"/>
    <x v="1"/>
    <x v="0"/>
    <n v="1.0325599999999999"/>
    <s v="SISTEMA E"/>
    <n v="3.1214485915703989"/>
  </r>
  <r>
    <x v="10"/>
    <x v="2"/>
    <s v="ITAHUE"/>
    <n v="220"/>
    <n v="0.41260599999999997"/>
    <x v="0"/>
    <n v="55.128"/>
    <x v="0"/>
    <x v="0"/>
    <n v="1.0325599999999999"/>
    <s v="SISTEMA E"/>
    <n v="23.486758002574071"/>
  </r>
  <r>
    <x v="10"/>
    <x v="2"/>
    <s v="ITAHUE"/>
    <n v="220"/>
    <n v="0.41260599999999997"/>
    <x v="1"/>
    <n v="55.256999999999998"/>
    <x v="0"/>
    <x v="0"/>
    <n v="1.0325599999999999"/>
    <s v="SISTEMA E"/>
    <n v="23.541717220799519"/>
  </r>
  <r>
    <x v="10"/>
    <x v="2"/>
    <s v="ITAHUE"/>
    <n v="220"/>
    <n v="0.41260599999999997"/>
    <x v="2"/>
    <n v="39.152000000000001"/>
    <x v="0"/>
    <x v="0"/>
    <n v="1.0325599999999999"/>
    <s v="SISTEMA E"/>
    <n v="16.680335751646719"/>
  </r>
  <r>
    <x v="10"/>
    <x v="2"/>
    <s v="ITAHUE"/>
    <n v="220"/>
    <n v="0.41260599999999997"/>
    <x v="3"/>
    <n v="38.615000000000002"/>
    <x v="0"/>
    <x v="0"/>
    <n v="1.0325599999999999"/>
    <s v="SISTEMA E"/>
    <n v="16.451552029266399"/>
  </r>
  <r>
    <x v="10"/>
    <x v="2"/>
    <s v="ITAHUE"/>
    <n v="220"/>
    <n v="0.41260599999999997"/>
    <x v="4"/>
    <n v="46.902000000000001"/>
    <x v="0"/>
    <x v="0"/>
    <n v="1.0325599999999999"/>
    <s v="SISTEMA E"/>
    <n v="19.982149249686721"/>
  </r>
  <r>
    <x v="10"/>
    <x v="2"/>
    <s v="ITAHUE"/>
    <n v="220"/>
    <n v="0.41260599999999997"/>
    <x v="5"/>
    <n v="58.256"/>
    <x v="0"/>
    <x v="0"/>
    <n v="1.0325599999999999"/>
    <s v="SISTEMA E"/>
    <n v="24.81941253442816"/>
  </r>
  <r>
    <x v="10"/>
    <x v="2"/>
    <s v="ITAHUE"/>
    <n v="220"/>
    <n v="0.41260599999999997"/>
    <x v="0"/>
    <n v="66.899000000000001"/>
    <x v="1"/>
    <x v="0"/>
    <n v="1.0325599999999999"/>
    <s v="SISTEMA E"/>
    <n v="28.50168015553264"/>
  </r>
  <r>
    <x v="10"/>
    <x v="2"/>
    <s v="ITAHUE"/>
    <n v="220"/>
    <n v="0.41260599999999997"/>
    <x v="1"/>
    <n v="61.454000000000001"/>
    <x v="1"/>
    <x v="0"/>
    <n v="1.0325599999999999"/>
    <s v="SISTEMA E"/>
    <n v="26.18188989787744"/>
  </r>
  <r>
    <x v="10"/>
    <x v="2"/>
    <s v="ITAHUE"/>
    <n v="220"/>
    <n v="0.41260599999999997"/>
    <x v="2"/>
    <n v="32.872"/>
    <x v="1"/>
    <x v="0"/>
    <n v="1.0325599999999999"/>
    <s v="SISTEMA E"/>
    <n v="14.00480171710592"/>
  </r>
  <r>
    <x v="10"/>
    <x v="2"/>
    <s v="ITAHUE"/>
    <n v="220"/>
    <n v="0.41260599999999997"/>
    <x v="3"/>
    <n v="31.65"/>
    <x v="1"/>
    <x v="0"/>
    <n v="1.0325599999999999"/>
    <s v="SISTEMA E"/>
    <n v="13.484180285543999"/>
  </r>
  <r>
    <x v="10"/>
    <x v="2"/>
    <s v="ITAHUE"/>
    <n v="220"/>
    <n v="0.41260599999999997"/>
    <x v="4"/>
    <n v="46.981999999999999"/>
    <x v="1"/>
    <x v="0"/>
    <n v="1.0325599999999999"/>
    <s v="SISTEMA E"/>
    <n v="20.01623248579552"/>
  </r>
  <r>
    <x v="10"/>
    <x v="2"/>
    <s v="ITAHUE"/>
    <n v="220"/>
    <n v="0.41260599999999997"/>
    <x v="5"/>
    <n v="79.751999999999995"/>
    <x v="1"/>
    <x v="0"/>
    <n v="1.0325599999999999"/>
    <s v="SISTEMA E"/>
    <n v="33.977578076862713"/>
  </r>
  <r>
    <x v="10"/>
    <x v="2"/>
    <s v="RAPEL"/>
    <n v="220"/>
    <n v="0.214833"/>
    <x v="0"/>
    <n v="55.825000000000003"/>
    <x v="0"/>
    <x v="0"/>
    <n v="1.0325599999999999"/>
    <s v="SISTEMA E"/>
    <n v="12.383546005446"/>
  </r>
  <r>
    <x v="10"/>
    <x v="2"/>
    <s v="RAPEL"/>
    <n v="220"/>
    <n v="0.214833"/>
    <x v="1"/>
    <n v="56.061999999999998"/>
    <x v="0"/>
    <x v="0"/>
    <n v="1.0325599999999999"/>
    <s v="SISTEMA E"/>
    <n v="12.436119232553761"/>
  </r>
  <r>
    <x v="10"/>
    <x v="2"/>
    <s v="RAPEL"/>
    <n v="220"/>
    <n v="0.214833"/>
    <x v="2"/>
    <n v="39.136000000000003"/>
    <x v="0"/>
    <x v="0"/>
    <n v="1.0325599999999999"/>
    <s v="SISTEMA E"/>
    <n v="8.6814591396172798"/>
  </r>
  <r>
    <x v="10"/>
    <x v="2"/>
    <s v="RAPEL"/>
    <n v="220"/>
    <n v="0.214833"/>
    <x v="3"/>
    <n v="38.625"/>
    <x v="0"/>
    <x v="0"/>
    <n v="1.0325599999999999"/>
    <s v="SISTEMA E"/>
    <n v="8.568105050789999"/>
  </r>
  <r>
    <x v="10"/>
    <x v="2"/>
    <s v="RAPEL"/>
    <n v="220"/>
    <n v="0.214833"/>
    <x v="4"/>
    <n v="49.764000000000003"/>
    <x v="0"/>
    <x v="0"/>
    <n v="1.0325599999999999"/>
    <s v="SISTEMA E"/>
    <n v="11.039046724854719"/>
  </r>
  <r>
    <x v="10"/>
    <x v="2"/>
    <s v="RAPEL"/>
    <n v="220"/>
    <n v="0.214833"/>
    <x v="5"/>
    <n v="61.481999999999999"/>
    <x v="0"/>
    <x v="0"/>
    <n v="1.0325599999999999"/>
    <s v="SISTEMA E"/>
    <n v="13.638426789195361"/>
  </r>
  <r>
    <x v="10"/>
    <x v="2"/>
    <s v="RAPEL"/>
    <n v="220"/>
    <n v="0.214833"/>
    <x v="0"/>
    <n v="70.069000000000003"/>
    <x v="1"/>
    <x v="0"/>
    <n v="1.0325599999999999"/>
    <s v="SISTEMA E"/>
    <n v="15.54326350301112"/>
  </r>
  <r>
    <x v="10"/>
    <x v="2"/>
    <s v="RAPEL"/>
    <n v="220"/>
    <n v="0.214833"/>
    <x v="1"/>
    <n v="63.207000000000001"/>
    <x v="1"/>
    <x v="0"/>
    <n v="1.0325599999999999"/>
    <s v="SISTEMA E"/>
    <n v="14.02108002447336"/>
  </r>
  <r>
    <x v="10"/>
    <x v="2"/>
    <s v="RAPEL"/>
    <n v="220"/>
    <n v="0.214833"/>
    <x v="2"/>
    <n v="32.453000000000003"/>
    <x v="1"/>
    <x v="0"/>
    <n v="1.0325599999999999"/>
    <s v="SISTEMA E"/>
    <n v="7.1989828663634414"/>
  </r>
  <r>
    <x v="10"/>
    <x v="2"/>
    <s v="RAPEL"/>
    <n v="220"/>
    <n v="0.214833"/>
    <x v="3"/>
    <n v="30.672000000000001"/>
    <x v="1"/>
    <x v="0"/>
    <n v="1.0325599999999999"/>
    <s v="SISTEMA E"/>
    <n v="6.8039072651865604"/>
  </r>
  <r>
    <x v="10"/>
    <x v="2"/>
    <s v="RAPEL"/>
    <n v="220"/>
    <n v="0.214833"/>
    <x v="4"/>
    <n v="51.459000000000003"/>
    <x v="1"/>
    <x v="0"/>
    <n v="1.0325599999999999"/>
    <s v="SISTEMA E"/>
    <n v="11.41504512125832"/>
  </r>
  <r>
    <x v="10"/>
    <x v="2"/>
    <s v="RAPEL"/>
    <n v="220"/>
    <n v="0.214833"/>
    <x v="5"/>
    <n v="87.926000000000002"/>
    <x v="1"/>
    <x v="0"/>
    <n v="1.0325599999999999"/>
    <s v="SISTEMA E"/>
    <n v="19.504445429016481"/>
  </r>
  <r>
    <x v="11"/>
    <x v="3"/>
    <s v="A.JAHUEL"/>
    <n v="220"/>
    <n v="0.74762399999999996"/>
    <x v="0"/>
    <n v="55.936"/>
    <x v="0"/>
    <x v="0"/>
    <n v="1.0325599999999999"/>
    <s v="SISTEMA E"/>
    <n v="43.180725831843837"/>
  </r>
  <r>
    <x v="11"/>
    <x v="3"/>
    <s v="A.JAHUEL"/>
    <n v="220"/>
    <n v="0.74762399999999996"/>
    <x v="1"/>
    <n v="56.033999999999999"/>
    <x v="0"/>
    <x v="0"/>
    <n v="1.0325599999999999"/>
    <s v="SISTEMA E"/>
    <n v="43.256378562312953"/>
  </r>
  <r>
    <x v="11"/>
    <x v="3"/>
    <s v="A.JAHUEL"/>
    <n v="220"/>
    <n v="0.74762399999999996"/>
    <x v="2"/>
    <n v="39.116999999999997"/>
    <x v="0"/>
    <x v="0"/>
    <n v="1.0325599999999999"/>
    <s v="SISTEMA E"/>
    <n v="30.197018956740479"/>
  </r>
  <r>
    <x v="11"/>
    <x v="3"/>
    <s v="A.JAHUEL"/>
    <n v="220"/>
    <n v="0.74762399999999996"/>
    <x v="3"/>
    <n v="38.668999999999997"/>
    <x v="0"/>
    <x v="0"/>
    <n v="1.0325599999999999"/>
    <s v="SISTEMA E"/>
    <n v="29.851177903167351"/>
  </r>
  <r>
    <x v="11"/>
    <x v="3"/>
    <s v="A.JAHUEL"/>
    <n v="220"/>
    <n v="0.74762399999999996"/>
    <x v="4"/>
    <n v="51.475999999999999"/>
    <x v="0"/>
    <x v="0"/>
    <n v="1.0325599999999999"/>
    <s v="SISTEMA E"/>
    <n v="39.737754628861431"/>
  </r>
  <r>
    <x v="11"/>
    <x v="3"/>
    <s v="A.JAHUEL"/>
    <n v="220"/>
    <n v="0.74762399999999996"/>
    <x v="5"/>
    <n v="62.256999999999998"/>
    <x v="0"/>
    <x v="0"/>
    <n v="1.0325599999999999"/>
    <s v="SISTEMA E"/>
    <n v="48.06032694710207"/>
  </r>
  <r>
    <x v="11"/>
    <x v="3"/>
    <s v="A.JAHUEL"/>
    <n v="220"/>
    <n v="0.74762399999999996"/>
    <x v="0"/>
    <n v="69.262"/>
    <x v="1"/>
    <x v="0"/>
    <n v="1.0325599999999999"/>
    <s v="SISTEMA E"/>
    <n v="53.467953242369283"/>
  </r>
  <r>
    <x v="11"/>
    <x v="3"/>
    <s v="A.JAHUEL"/>
    <n v="220"/>
    <n v="0.74762399999999996"/>
    <x v="1"/>
    <n v="62.783000000000001"/>
    <x v="1"/>
    <x v="0"/>
    <n v="1.0325599999999999"/>
    <s v="SISTEMA E"/>
    <n v="48.466381398395512"/>
  </r>
  <r>
    <x v="11"/>
    <x v="3"/>
    <s v="A.JAHUEL"/>
    <n v="220"/>
    <n v="0.74762399999999996"/>
    <x v="2"/>
    <n v="32.915999999999997"/>
    <x v="1"/>
    <x v="0"/>
    <n v="1.0325599999999999"/>
    <s v="SISTEMA E"/>
    <n v="25.410053837975031"/>
  </r>
  <r>
    <x v="11"/>
    <x v="3"/>
    <s v="A.JAHUEL"/>
    <n v="220"/>
    <n v="0.74762399999999996"/>
    <x v="3"/>
    <n v="32.179000000000002"/>
    <x v="1"/>
    <x v="0"/>
    <n v="1.0325599999999999"/>
    <s v="SISTEMA E"/>
    <n v="24.841114426181761"/>
  </r>
  <r>
    <x v="11"/>
    <x v="3"/>
    <s v="A.JAHUEL"/>
    <n v="220"/>
    <n v="0.74762399999999996"/>
    <x v="4"/>
    <n v="54.389000000000003"/>
    <x v="1"/>
    <x v="0"/>
    <n v="1.0325599999999999"/>
    <s v="SISTEMA E"/>
    <n v="41.986493443724157"/>
  </r>
  <r>
    <x v="11"/>
    <x v="3"/>
    <s v="A.JAHUEL"/>
    <n v="220"/>
    <n v="0.74762399999999996"/>
    <x v="5"/>
    <n v="88.427000000000007"/>
    <x v="1"/>
    <x v="0"/>
    <n v="1.0325599999999999"/>
    <s v="SISTEMA E"/>
    <n v="68.262693848906878"/>
  </r>
  <r>
    <x v="11"/>
    <x v="3"/>
    <s v="A.MELIP"/>
    <n v="220"/>
    <n v="7.9018000000000005E-2"/>
    <x v="0"/>
    <n v="56.027999999999999"/>
    <x v="0"/>
    <x v="0"/>
    <n v="1.0325599999999999"/>
    <s v="SISTEMA E"/>
    <n v="4.5713708036102396"/>
  </r>
  <r>
    <x v="11"/>
    <x v="3"/>
    <s v="A.MELIP"/>
    <n v="220"/>
    <n v="7.9018000000000005E-2"/>
    <x v="1"/>
    <n v="56.122999999999998"/>
    <x v="0"/>
    <x v="0"/>
    <n v="1.0325599999999999"/>
    <s v="SISTEMA E"/>
    <n v="4.5791219320878396"/>
  </r>
  <r>
    <x v="11"/>
    <x v="3"/>
    <s v="A.MELIP"/>
    <n v="220"/>
    <n v="7.9018000000000005E-2"/>
    <x v="2"/>
    <n v="39.145000000000003"/>
    <x v="0"/>
    <x v="0"/>
    <n v="1.0325599999999999"/>
    <s v="SISTEMA E"/>
    <n v="3.1938728869016"/>
  </r>
  <r>
    <x v="11"/>
    <x v="3"/>
    <s v="A.MELIP"/>
    <n v="220"/>
    <n v="7.9018000000000005E-2"/>
    <x v="3"/>
    <n v="38.646999999999998"/>
    <x v="0"/>
    <x v="0"/>
    <n v="1.0325599999999999"/>
    <s v="SISTEMA E"/>
    <n v="3.15324065551376"/>
  </r>
  <r>
    <x v="11"/>
    <x v="3"/>
    <s v="A.MELIP"/>
    <n v="220"/>
    <n v="7.9018000000000005E-2"/>
    <x v="4"/>
    <n v="49.831000000000003"/>
    <x v="0"/>
    <x v="0"/>
    <n v="1.0325599999999999"/>
    <s v="SISTEMA E"/>
    <n v="4.0657524543924799"/>
  </r>
  <r>
    <x v="11"/>
    <x v="3"/>
    <s v="A.MELIP"/>
    <n v="220"/>
    <n v="7.9018000000000005E-2"/>
    <x v="5"/>
    <n v="61.533000000000001"/>
    <x v="0"/>
    <x v="0"/>
    <n v="1.0325599999999999"/>
    <s v="SISTEMA E"/>
    <n v="5.0205283011806401"/>
  </r>
  <r>
    <x v="11"/>
    <x v="3"/>
    <s v="A.MELIP"/>
    <n v="220"/>
    <n v="7.9018000000000005E-2"/>
    <x v="0"/>
    <n v="70.548000000000002"/>
    <x v="1"/>
    <x v="0"/>
    <n v="1.0325599999999999"/>
    <s v="SISTEMA E"/>
    <n v="5.7560695982918402"/>
  </r>
  <r>
    <x v="11"/>
    <x v="3"/>
    <s v="A.MELIP"/>
    <n v="220"/>
    <n v="7.9018000000000005E-2"/>
    <x v="1"/>
    <n v="63.55"/>
    <x v="1"/>
    <x v="0"/>
    <n v="1.0325599999999999"/>
    <s v="SISTEMA E"/>
    <n v="5.185096997384"/>
  </r>
  <r>
    <x v="11"/>
    <x v="3"/>
    <s v="A.MELIP"/>
    <n v="220"/>
    <n v="7.9018000000000005E-2"/>
    <x v="2"/>
    <n v="32.978000000000002"/>
    <x v="1"/>
    <x v="0"/>
    <n v="1.0325599999999999"/>
    <s v="SISTEMA E"/>
    <n v="2.6907022624662398"/>
  </r>
  <r>
    <x v="11"/>
    <x v="3"/>
    <s v="A.MELIP"/>
    <n v="220"/>
    <n v="7.9018000000000005E-2"/>
    <x v="3"/>
    <n v="31.867000000000001"/>
    <x v="1"/>
    <x v="0"/>
    <n v="1.0325599999999999"/>
    <s v="SISTEMA E"/>
    <n v="2.60005485469136"/>
  </r>
  <r>
    <x v="11"/>
    <x v="3"/>
    <s v="A.MELIP"/>
    <n v="220"/>
    <n v="7.9018000000000005E-2"/>
    <x v="4"/>
    <n v="51.658000000000001"/>
    <x v="1"/>
    <x v="0"/>
    <n v="1.0325599999999999"/>
    <s v="SISTEMA E"/>
    <n v="4.2148188936406399"/>
  </r>
  <r>
    <x v="11"/>
    <x v="3"/>
    <s v="A.MELIP"/>
    <n v="220"/>
    <n v="7.9018000000000005E-2"/>
    <x v="5"/>
    <n v="88.040999999999997"/>
    <x v="1"/>
    <x v="0"/>
    <n v="1.0325599999999999"/>
    <s v="SISTEMA E"/>
    <n v="7.1833379189092792"/>
  </r>
  <r>
    <x v="11"/>
    <x v="3"/>
    <s v="CHARRUA"/>
    <n v="220"/>
    <n v="5.025E-3"/>
    <x v="0"/>
    <n v="54.328000000000003"/>
    <x v="0"/>
    <x v="0"/>
    <n v="1.0325599999999999"/>
    <s v="SISTEMA E"/>
    <n v="0.281887021392"/>
  </r>
  <r>
    <x v="11"/>
    <x v="3"/>
    <s v="CHARRUA"/>
    <n v="220"/>
    <n v="5.025E-3"/>
    <x v="1"/>
    <n v="54.436999999999998"/>
    <x v="0"/>
    <x v="0"/>
    <n v="1.0325599999999999"/>
    <s v="SISTEMA E"/>
    <n v="0.28245258031800002"/>
  </r>
  <r>
    <x v="11"/>
    <x v="3"/>
    <s v="CHARRUA"/>
    <n v="220"/>
    <n v="5.025E-3"/>
    <x v="2"/>
    <n v="39.161000000000001"/>
    <x v="0"/>
    <x v="0"/>
    <n v="1.0325599999999999"/>
    <s v="SISTEMA E"/>
    <n v="0.20319131285399999"/>
  </r>
  <r>
    <x v="11"/>
    <x v="3"/>
    <s v="CHARRUA"/>
    <n v="220"/>
    <n v="5.025E-3"/>
    <x v="3"/>
    <n v="38.674999999999997"/>
    <x v="0"/>
    <x v="0"/>
    <n v="1.0325599999999999"/>
    <s v="SISTEMA E"/>
    <n v="0.20066964644999999"/>
  </r>
  <r>
    <x v="11"/>
    <x v="3"/>
    <s v="CHARRUA"/>
    <n v="220"/>
    <n v="5.025E-3"/>
    <x v="4"/>
    <n v="49.055"/>
    <x v="0"/>
    <x v="0"/>
    <n v="1.0325599999999999"/>
    <s v="SISTEMA E"/>
    <n v="0.25452745977000002"/>
  </r>
  <r>
    <x v="11"/>
    <x v="3"/>
    <s v="CHARRUA"/>
    <n v="220"/>
    <n v="5.025E-3"/>
    <x v="5"/>
    <n v="58.87"/>
    <x v="0"/>
    <x v="0"/>
    <n v="1.0325599999999999"/>
    <s v="SISTEMA E"/>
    <n v="0.30545370618000001"/>
  </r>
  <r>
    <x v="11"/>
    <x v="3"/>
    <s v="CHARRUA"/>
    <n v="220"/>
    <n v="5.025E-3"/>
    <x v="0"/>
    <n v="65.05"/>
    <x v="1"/>
    <x v="0"/>
    <n v="1.0325599999999999"/>
    <s v="SISTEMA E"/>
    <n v="0.33751934069999989"/>
  </r>
  <r>
    <x v="11"/>
    <x v="3"/>
    <s v="CHARRUA"/>
    <n v="220"/>
    <n v="5.025E-3"/>
    <x v="1"/>
    <n v="60.055999999999997"/>
    <x v="1"/>
    <x v="0"/>
    <n v="1.0325599999999999"/>
    <s v="SISTEMA E"/>
    <n v="0.31160740238399998"/>
  </r>
  <r>
    <x v="11"/>
    <x v="3"/>
    <s v="CHARRUA"/>
    <n v="220"/>
    <n v="5.025E-3"/>
    <x v="2"/>
    <n v="33.075000000000003"/>
    <x v="1"/>
    <x v="0"/>
    <n v="1.0325599999999999"/>
    <s v="SISTEMA E"/>
    <n v="0.17161340805"/>
  </r>
  <r>
    <x v="11"/>
    <x v="3"/>
    <s v="CHARRUA"/>
    <n v="220"/>
    <n v="5.025E-3"/>
    <x v="3"/>
    <n v="32.075000000000003"/>
    <x v="1"/>
    <x v="0"/>
    <n v="1.0325599999999999"/>
    <s v="SISTEMA E"/>
    <n v="0.16642479404999999"/>
  </r>
  <r>
    <x v="11"/>
    <x v="3"/>
    <s v="CHARRUA"/>
    <n v="220"/>
    <n v="5.025E-3"/>
    <x v="4"/>
    <n v="50.77"/>
    <x v="1"/>
    <x v="0"/>
    <n v="1.0325599999999999"/>
    <s v="SISTEMA E"/>
    <n v="0.26342593277999998"/>
  </r>
  <r>
    <x v="11"/>
    <x v="3"/>
    <s v="CHARRUA"/>
    <n v="220"/>
    <n v="5.025E-3"/>
    <x v="5"/>
    <n v="78.662999999999997"/>
    <x v="1"/>
    <x v="0"/>
    <n v="1.0325599999999999"/>
    <s v="SISTEMA E"/>
    <n v="0.40815194308199998"/>
  </r>
  <r>
    <x v="11"/>
    <x v="3"/>
    <s v="ITAHUE"/>
    <n v="220"/>
    <n v="0.15648999999999999"/>
    <x v="0"/>
    <n v="55.128"/>
    <x v="0"/>
    <x v="0"/>
    <n v="1.0325599999999999"/>
    <s v="SISTEMA E"/>
    <n v="8.9078752122431979"/>
  </r>
  <r>
    <x v="11"/>
    <x v="3"/>
    <s v="ITAHUE"/>
    <n v="220"/>
    <n v="0.15648999999999999"/>
    <x v="1"/>
    <n v="55.256999999999998"/>
    <x v="0"/>
    <x v="0"/>
    <n v="1.0325599999999999"/>
    <s v="SISTEMA E"/>
    <n v="8.9287197178007975"/>
  </r>
  <r>
    <x v="11"/>
    <x v="3"/>
    <s v="ITAHUE"/>
    <n v="220"/>
    <n v="0.15648999999999999"/>
    <x v="2"/>
    <n v="39.152000000000001"/>
    <x v="0"/>
    <x v="0"/>
    <n v="1.0325599999999999"/>
    <s v="SISTEMA E"/>
    <n v="6.3263882293887992"/>
  </r>
  <r>
    <x v="11"/>
    <x v="3"/>
    <s v="ITAHUE"/>
    <n v="220"/>
    <n v="0.15648999999999999"/>
    <x v="3"/>
    <n v="38.615000000000002"/>
    <x v="0"/>
    <x v="0"/>
    <n v="1.0325599999999999"/>
    <s v="SISTEMA E"/>
    <n v="6.2396169155559997"/>
  </r>
  <r>
    <x v="11"/>
    <x v="3"/>
    <s v="ITAHUE"/>
    <n v="220"/>
    <n v="0.15648999999999999"/>
    <x v="4"/>
    <n v="46.902000000000001"/>
    <x v="0"/>
    <x v="0"/>
    <n v="1.0325599999999999"/>
    <s v="SISTEMA E"/>
    <n v="7.5786744159887993"/>
  </r>
  <r>
    <x v="11"/>
    <x v="3"/>
    <s v="ITAHUE"/>
    <n v="220"/>
    <n v="0.15648999999999999"/>
    <x v="5"/>
    <n v="58.256"/>
    <x v="0"/>
    <x v="0"/>
    <n v="1.0325599999999999"/>
    <s v="SISTEMA E"/>
    <n v="9.4133140756863991"/>
  </r>
  <r>
    <x v="11"/>
    <x v="3"/>
    <s v="ITAHUE"/>
    <n v="220"/>
    <n v="0.15648999999999999"/>
    <x v="0"/>
    <n v="66.899000000000001"/>
    <x v="1"/>
    <x v="0"/>
    <n v="1.0325599999999999"/>
    <s v="SISTEMA E"/>
    <n v="10.8098959480456"/>
  </r>
  <r>
    <x v="11"/>
    <x v="3"/>
    <s v="ITAHUE"/>
    <n v="220"/>
    <n v="0.15648999999999999"/>
    <x v="1"/>
    <n v="61.454000000000001"/>
    <x v="1"/>
    <x v="0"/>
    <n v="1.0325599999999999"/>
    <s v="SISTEMA E"/>
    <n v="9.9300639111375997"/>
  </r>
  <r>
    <x v="11"/>
    <x v="3"/>
    <s v="ITAHUE"/>
    <n v="220"/>
    <n v="0.15648999999999999"/>
    <x v="2"/>
    <n v="32.872"/>
    <x v="1"/>
    <x v="0"/>
    <n v="1.0325599999999999"/>
    <s v="SISTEMA E"/>
    <n v="5.3116324549567997"/>
  </r>
  <r>
    <x v="11"/>
    <x v="3"/>
    <s v="ITAHUE"/>
    <n v="220"/>
    <n v="0.15648999999999999"/>
    <x v="3"/>
    <n v="31.65"/>
    <x v="1"/>
    <x v="0"/>
    <n v="1.0325599999999999"/>
    <s v="SISTEMA E"/>
    <n v="5.1141752007599992"/>
  </r>
  <r>
    <x v="11"/>
    <x v="3"/>
    <s v="ITAHUE"/>
    <n v="220"/>
    <n v="0.15648999999999999"/>
    <x v="4"/>
    <n v="46.981999999999999"/>
    <x v="1"/>
    <x v="0"/>
    <n v="1.0325599999999999"/>
    <s v="SISTEMA E"/>
    <n v="7.5916012411407987"/>
  </r>
  <r>
    <x v="11"/>
    <x v="3"/>
    <s v="ITAHUE"/>
    <n v="220"/>
    <n v="0.15648999999999999"/>
    <x v="5"/>
    <n v="79.751999999999995"/>
    <x v="1"/>
    <x v="0"/>
    <n v="1.0325599999999999"/>
    <s v="SISTEMA E"/>
    <n v="12.886751994028799"/>
  </r>
  <r>
    <x v="11"/>
    <x v="3"/>
    <s v="RAPEL"/>
    <n v="220"/>
    <n v="1.1842E-2"/>
    <x v="0"/>
    <n v="55.825000000000003"/>
    <x v="0"/>
    <x v="0"/>
    <n v="1.0325599999999999"/>
    <s v="SISTEMA E"/>
    <n v="0.68260440340399997"/>
  </r>
  <r>
    <x v="11"/>
    <x v="3"/>
    <s v="RAPEL"/>
    <n v="220"/>
    <n v="1.1842E-2"/>
    <x v="1"/>
    <n v="56.061999999999998"/>
    <x v="0"/>
    <x v="0"/>
    <n v="1.0325599999999999"/>
    <s v="SISTEMA E"/>
    <n v="0.68550233880223987"/>
  </r>
  <r>
    <x v="11"/>
    <x v="3"/>
    <s v="RAPEL"/>
    <n v="220"/>
    <n v="1.1842E-2"/>
    <x v="2"/>
    <n v="39.136000000000003"/>
    <x v="0"/>
    <x v="0"/>
    <n v="1.0325599999999999"/>
    <s v="SISTEMA E"/>
    <n v="0.47853839555071997"/>
  </r>
  <r>
    <x v="11"/>
    <x v="3"/>
    <s v="RAPEL"/>
    <n v="220"/>
    <n v="1.1842E-2"/>
    <x v="3"/>
    <n v="38.625"/>
    <x v="0"/>
    <x v="0"/>
    <n v="1.0325599999999999"/>
    <s v="SISTEMA E"/>
    <n v="0.47229010445999992"/>
  </r>
  <r>
    <x v="11"/>
    <x v="3"/>
    <s v="RAPEL"/>
    <n v="220"/>
    <n v="1.1842E-2"/>
    <x v="4"/>
    <n v="49.764000000000003"/>
    <x v="0"/>
    <x v="0"/>
    <n v="1.0325599999999999"/>
    <s v="SISTEMA E"/>
    <n v="0.60849306817727999"/>
  </r>
  <r>
    <x v="11"/>
    <x v="3"/>
    <s v="RAPEL"/>
    <n v="220"/>
    <n v="1.1842E-2"/>
    <x v="5"/>
    <n v="61.481999999999999"/>
    <x v="0"/>
    <x v="0"/>
    <n v="1.0325599999999999"/>
    <s v="SISTEMA E"/>
    <n v="0.75177579812063988"/>
  </r>
  <r>
    <x v="11"/>
    <x v="3"/>
    <s v="RAPEL"/>
    <n v="220"/>
    <n v="1.1842E-2"/>
    <x v="0"/>
    <n v="70.069000000000003"/>
    <x v="1"/>
    <x v="0"/>
    <n v="1.0325599999999999"/>
    <s v="SISTEMA E"/>
    <n v="0.85677398911087999"/>
  </r>
  <r>
    <x v="11"/>
    <x v="3"/>
    <s v="RAPEL"/>
    <n v="220"/>
    <n v="1.1842E-2"/>
    <x v="1"/>
    <n v="63.207000000000001"/>
    <x v="1"/>
    <x v="0"/>
    <n v="1.0325599999999999"/>
    <s v="SISTEMA E"/>
    <n v="0.77286836589263996"/>
  </r>
  <r>
    <x v="11"/>
    <x v="3"/>
    <s v="RAPEL"/>
    <n v="220"/>
    <n v="1.1842E-2"/>
    <x v="2"/>
    <n v="32.453000000000003"/>
    <x v="1"/>
    <x v="0"/>
    <n v="1.0325599999999999"/>
    <s v="SISTEMA E"/>
    <n v="0.39682150835056001"/>
  </r>
  <r>
    <x v="11"/>
    <x v="3"/>
    <s v="RAPEL"/>
    <n v="220"/>
    <n v="1.1842E-2"/>
    <x v="3"/>
    <n v="30.672000000000001"/>
    <x v="1"/>
    <x v="0"/>
    <n v="1.0325599999999999"/>
    <s v="SISTEMA E"/>
    <n v="0.37504419634943997"/>
  </r>
  <r>
    <x v="11"/>
    <x v="3"/>
    <s v="RAPEL"/>
    <n v="220"/>
    <n v="1.1842E-2"/>
    <x v="4"/>
    <n v="51.459000000000003"/>
    <x v="1"/>
    <x v="0"/>
    <n v="1.0325599999999999"/>
    <s v="SISTEMA E"/>
    <n v="0.62921880868368008"/>
  </r>
  <r>
    <x v="11"/>
    <x v="3"/>
    <s v="RAPEL"/>
    <n v="220"/>
    <n v="1.1842E-2"/>
    <x v="5"/>
    <n v="87.926000000000002"/>
    <x v="1"/>
    <x v="0"/>
    <n v="1.0325599999999999"/>
    <s v="SISTEMA E"/>
    <n v="1.0751218051715199"/>
  </r>
  <r>
    <x v="12"/>
    <x v="2"/>
    <s v="A.MELIP"/>
    <n v="220"/>
    <n v="5.0431999999999998E-2"/>
    <x v="0"/>
    <n v="56.027999999999999"/>
    <x v="0"/>
    <x v="0"/>
    <n v="1.0163"/>
    <s v="SISTEMA C"/>
    <n v="2.8716614427648"/>
  </r>
  <r>
    <x v="12"/>
    <x v="2"/>
    <s v="A.MELIP"/>
    <n v="220"/>
    <n v="5.0431999999999998E-2"/>
    <x v="1"/>
    <n v="56.122999999999998"/>
    <x v="0"/>
    <x v="0"/>
    <n v="1.0163"/>
    <s v="SISTEMA C"/>
    <n v="2.8765305767167999"/>
  </r>
  <r>
    <x v="12"/>
    <x v="2"/>
    <s v="A.MELIP"/>
    <n v="220"/>
    <n v="5.0431999999999998E-2"/>
    <x v="2"/>
    <n v="39.145000000000003"/>
    <x v="0"/>
    <x v="0"/>
    <n v="1.0163"/>
    <s v="SISTEMA C"/>
    <n v="2.006339458432"/>
  </r>
  <r>
    <x v="12"/>
    <x v="2"/>
    <s v="A.MELIP"/>
    <n v="220"/>
    <n v="5.0431999999999998E-2"/>
    <x v="3"/>
    <n v="38.646999999999998"/>
    <x v="0"/>
    <x v="0"/>
    <n v="1.0163"/>
    <s v="SISTEMA C"/>
    <n v="1.9808149457152"/>
  </r>
  <r>
    <x v="12"/>
    <x v="2"/>
    <s v="A.MELIP"/>
    <n v="220"/>
    <n v="5.0431999999999998E-2"/>
    <x v="4"/>
    <n v="49.831000000000003"/>
    <x v="0"/>
    <x v="0"/>
    <n v="1.0163"/>
    <s v="SISTEMA C"/>
    <n v="2.5540401469696001"/>
  </r>
  <r>
    <x v="12"/>
    <x v="2"/>
    <s v="A.MELIP"/>
    <n v="220"/>
    <n v="5.0431999999999998E-2"/>
    <x v="5"/>
    <n v="61.533000000000001"/>
    <x v="0"/>
    <x v="0"/>
    <n v="1.0163"/>
    <s v="SISTEMA C"/>
    <n v="3.1538149417727999"/>
  </r>
  <r>
    <x v="12"/>
    <x v="2"/>
    <s v="A.MELIP"/>
    <n v="220"/>
    <n v="5.0431999999999998E-2"/>
    <x v="0"/>
    <n v="70.548000000000002"/>
    <x v="1"/>
    <x v="0"/>
    <n v="1.0163"/>
    <s v="SISTEMA C"/>
    <n v="3.6158701267967999"/>
  </r>
  <r>
    <x v="12"/>
    <x v="2"/>
    <s v="A.MELIP"/>
    <n v="220"/>
    <n v="5.0431999999999998E-2"/>
    <x v="1"/>
    <n v="63.55"/>
    <x v="1"/>
    <x v="0"/>
    <n v="1.0163"/>
    <s v="SISTEMA C"/>
    <n v="3.2571943436800002"/>
  </r>
  <r>
    <x v="12"/>
    <x v="2"/>
    <s v="A.MELIP"/>
    <n v="220"/>
    <n v="5.0431999999999998E-2"/>
    <x v="2"/>
    <n v="32.978000000000002"/>
    <x v="1"/>
    <x v="0"/>
    <n v="1.0163"/>
    <s v="SISTEMA C"/>
    <n v="1.6902557838848"/>
  </r>
  <r>
    <x v="12"/>
    <x v="2"/>
    <s v="A.MELIP"/>
    <n v="220"/>
    <n v="5.0431999999999998E-2"/>
    <x v="3"/>
    <n v="31.867000000000001"/>
    <x v="1"/>
    <x v="0"/>
    <n v="1.0163"/>
    <s v="SISTEMA C"/>
    <n v="1.6333125436672"/>
  </r>
  <r>
    <x v="12"/>
    <x v="2"/>
    <s v="A.MELIP"/>
    <n v="220"/>
    <n v="5.0431999999999998E-2"/>
    <x v="4"/>
    <n v="51.658000000000001"/>
    <x v="1"/>
    <x v="0"/>
    <n v="1.0163"/>
    <s v="SISTEMA C"/>
    <n v="2.6476812809728001"/>
  </r>
  <r>
    <x v="12"/>
    <x v="2"/>
    <s v="A.MELIP"/>
    <n v="220"/>
    <n v="5.0431999999999998E-2"/>
    <x v="5"/>
    <n v="88.040999999999997"/>
    <x v="1"/>
    <x v="0"/>
    <n v="1.0163"/>
    <s v="SISTEMA C"/>
    <n v="4.5124570765055996"/>
  </r>
  <r>
    <x v="12"/>
    <x v="2"/>
    <s v="L.MAQUIS"/>
    <n v="220"/>
    <n v="9.6518000000000007E-2"/>
    <x v="0"/>
    <n v="57.201999999999998"/>
    <x v="0"/>
    <x v="0"/>
    <n v="1.0163"/>
    <s v="SISTEMA C"/>
    <n v="5.6110153049668003"/>
  </r>
  <r>
    <x v="12"/>
    <x v="2"/>
    <s v="L.MAQUIS"/>
    <n v="220"/>
    <n v="9.6518000000000007E-2"/>
    <x v="1"/>
    <n v="57.142000000000003"/>
    <x v="0"/>
    <x v="0"/>
    <n v="1.0163"/>
    <s v="SISTEMA C"/>
    <n v="5.6051298303628014"/>
  </r>
  <r>
    <x v="12"/>
    <x v="2"/>
    <s v="L.MAQUIS"/>
    <n v="220"/>
    <n v="9.6518000000000007E-2"/>
    <x v="2"/>
    <n v="39.238"/>
    <x v="0"/>
    <x v="0"/>
    <n v="1.0163"/>
    <s v="SISTEMA C"/>
    <n v="3.8489042085291998"/>
  </r>
  <r>
    <x v="12"/>
    <x v="2"/>
    <s v="L.MAQUIS"/>
    <n v="220"/>
    <n v="9.6518000000000007E-2"/>
    <x v="3"/>
    <n v="38.674999999999997"/>
    <x v="0"/>
    <x v="0"/>
    <n v="1.0163"/>
    <s v="SISTEMA C"/>
    <n v="3.793678838495"/>
  </r>
  <r>
    <x v="12"/>
    <x v="2"/>
    <s v="L.MAQUIS"/>
    <n v="220"/>
    <n v="9.6518000000000007E-2"/>
    <x v="4"/>
    <n v="51.384999999999998"/>
    <x v="0"/>
    <x v="0"/>
    <n v="1.0163"/>
    <s v="SISTEMA C"/>
    <n v="5.0404185421090002"/>
  </r>
  <r>
    <x v="12"/>
    <x v="2"/>
    <s v="L.MAQUIS"/>
    <n v="220"/>
    <n v="9.6518000000000007E-2"/>
    <x v="5"/>
    <n v="63.296999999999997"/>
    <x v="0"/>
    <x v="0"/>
    <n v="1.0163"/>
    <s v="SISTEMA C"/>
    <n v="6.2088814334897986"/>
  </r>
  <r>
    <x v="12"/>
    <x v="2"/>
    <s v="L.MAQUIS"/>
    <n v="220"/>
    <n v="9.6518000000000007E-2"/>
    <x v="0"/>
    <n v="72.432000000000002"/>
    <x v="1"/>
    <x v="0"/>
    <n v="1.0163"/>
    <s v="SISTEMA C"/>
    <n v="7.1049449419488004"/>
  </r>
  <r>
    <x v="12"/>
    <x v="2"/>
    <s v="L.MAQUIS"/>
    <n v="220"/>
    <n v="9.6518000000000007E-2"/>
    <x v="1"/>
    <n v="65.381"/>
    <x v="1"/>
    <x v="0"/>
    <n v="1.0163"/>
    <s v="SISTEMA C"/>
    <n v="6.4133035847354014"/>
  </r>
  <r>
    <x v="12"/>
    <x v="2"/>
    <s v="L.MAQUIS"/>
    <n v="220"/>
    <n v="9.6518000000000007E-2"/>
    <x v="2"/>
    <n v="33.338000000000001"/>
    <x v="1"/>
    <x v="0"/>
    <n v="1.0163"/>
    <s v="SISTEMA C"/>
    <n v="3.2701658724692"/>
  </r>
  <r>
    <x v="12"/>
    <x v="2"/>
    <s v="L.MAQUIS"/>
    <n v="220"/>
    <n v="9.6518000000000007E-2"/>
    <x v="3"/>
    <n v="32.270000000000003"/>
    <x v="1"/>
    <x v="0"/>
    <n v="1.0163"/>
    <s v="SISTEMA C"/>
    <n v="3.165404424518"/>
  </r>
  <r>
    <x v="12"/>
    <x v="2"/>
    <s v="L.MAQUIS"/>
    <n v="220"/>
    <n v="9.6518000000000007E-2"/>
    <x v="4"/>
    <n v="54.567999999999998"/>
    <x v="1"/>
    <x v="0"/>
    <n v="1.0163"/>
    <s v="SISTEMA C"/>
    <n v="5.3526429698511997"/>
  </r>
  <r>
    <x v="12"/>
    <x v="2"/>
    <s v="L.MAQUIS"/>
    <n v="220"/>
    <n v="9.6518000000000007E-2"/>
    <x v="5"/>
    <n v="91.134"/>
    <x v="1"/>
    <x v="0"/>
    <n v="1.0163"/>
    <s v="SISTEMA C"/>
    <n v="8.9394473760156004"/>
  </r>
  <r>
    <x v="12"/>
    <x v="2"/>
    <s v="NOGALES"/>
    <n v="220"/>
    <n v="0.16386300000000001"/>
    <x v="0"/>
    <n v="55.404000000000003"/>
    <x v="0"/>
    <x v="0"/>
    <n v="1.0163"/>
    <s v="SISTEMA C"/>
    <n v="9.2266479021276009"/>
  </r>
  <r>
    <x v="12"/>
    <x v="2"/>
    <s v="NOGALES"/>
    <n v="220"/>
    <n v="0.16386300000000001"/>
    <x v="1"/>
    <n v="55.06"/>
    <x v="0"/>
    <x v="0"/>
    <n v="1.0163"/>
    <s v="SISTEMA C"/>
    <n v="9.1693602175140008"/>
  </r>
  <r>
    <x v="12"/>
    <x v="2"/>
    <s v="NOGALES"/>
    <n v="220"/>
    <n v="0.16386300000000001"/>
    <x v="2"/>
    <n v="39.090000000000003"/>
    <x v="0"/>
    <x v="0"/>
    <n v="1.0163"/>
    <s v="SISTEMA C"/>
    <n v="6.5098127661210006"/>
  </r>
  <r>
    <x v="12"/>
    <x v="2"/>
    <s v="NOGALES"/>
    <n v="220"/>
    <n v="0.16386300000000001"/>
    <x v="3"/>
    <n v="38.667999999999999"/>
    <x v="0"/>
    <x v="0"/>
    <n v="1.0163"/>
    <s v="SISTEMA C"/>
    <n v="6.4395354320892002"/>
  </r>
  <r>
    <x v="12"/>
    <x v="2"/>
    <s v="NOGALES"/>
    <n v="220"/>
    <n v="0.16386300000000001"/>
    <x v="4"/>
    <n v="50.594000000000001"/>
    <x v="0"/>
    <x v="0"/>
    <n v="1.0163"/>
    <s v="SISTEMA C"/>
    <n v="8.4256195213386"/>
  </r>
  <r>
    <x v="12"/>
    <x v="2"/>
    <s v="NOGALES"/>
    <n v="220"/>
    <n v="0.16386300000000001"/>
    <x v="5"/>
    <n v="61.845999999999997"/>
    <x v="0"/>
    <x v="0"/>
    <n v="1.0163"/>
    <s v="SISTEMA C"/>
    <n v="10.299459716897401"/>
  </r>
  <r>
    <x v="12"/>
    <x v="2"/>
    <s v="NOGALES"/>
    <n v="220"/>
    <n v="0.16386300000000001"/>
    <x v="0"/>
    <n v="70.549000000000007"/>
    <x v="1"/>
    <x v="0"/>
    <n v="1.0163"/>
    <s v="SISTEMA C"/>
    <n v="11.748804830828099"/>
  </r>
  <r>
    <x v="12"/>
    <x v="2"/>
    <s v="NOGALES"/>
    <n v="220"/>
    <n v="0.16386300000000001"/>
    <x v="1"/>
    <n v="62.8"/>
    <x v="1"/>
    <x v="0"/>
    <n v="1.0163"/>
    <s v="SISTEMA C"/>
    <n v="10.458333121320001"/>
  </r>
  <r>
    <x v="12"/>
    <x v="2"/>
    <s v="NOGALES"/>
    <n v="220"/>
    <n v="0.16386300000000001"/>
    <x v="2"/>
    <n v="32.857999999999997"/>
    <x v="1"/>
    <x v="0"/>
    <n v="1.0163"/>
    <s v="SISTEMA C"/>
    <n v="5.4719730844001999"/>
  </r>
  <r>
    <x v="12"/>
    <x v="2"/>
    <s v="NOGALES"/>
    <n v="220"/>
    <n v="0.16386300000000001"/>
    <x v="3"/>
    <n v="32.343000000000004"/>
    <x v="1"/>
    <x v="0"/>
    <n v="1.0163"/>
    <s v="SISTEMA C"/>
    <n v="5.3862080914467008"/>
  </r>
  <r>
    <x v="12"/>
    <x v="2"/>
    <s v="NOGALES"/>
    <n v="220"/>
    <n v="0.16386300000000001"/>
    <x v="4"/>
    <n v="54.238999999999997"/>
    <x v="1"/>
    <x v="0"/>
    <n v="1.0163"/>
    <s v="SISTEMA C"/>
    <n v="9.0326358306890988"/>
  </r>
  <r>
    <x v="12"/>
    <x v="2"/>
    <s v="NOGALES"/>
    <n v="220"/>
    <n v="0.16386300000000001"/>
    <x v="5"/>
    <n v="90.197999999999993"/>
    <x v="1"/>
    <x v="0"/>
    <n v="1.0163"/>
    <s v="SISTEMA C"/>
    <n v="15.021030746446201"/>
  </r>
  <r>
    <x v="12"/>
    <x v="2"/>
    <s v="QUILLOTA"/>
    <n v="220"/>
    <n v="0.68918800000000002"/>
    <x v="0"/>
    <n v="55.87"/>
    <x v="0"/>
    <x v="0"/>
    <n v="1.0163"/>
    <s v="SISTEMA C"/>
    <n v="39.132563977027999"/>
  </r>
  <r>
    <x v="12"/>
    <x v="2"/>
    <s v="QUILLOTA"/>
    <n v="220"/>
    <n v="0.68918800000000002"/>
    <x v="1"/>
    <n v="55.997999999999998"/>
    <x v="0"/>
    <x v="0"/>
    <n v="1.0163"/>
    <s v="SISTEMA C"/>
    <n v="39.222217962871198"/>
  </r>
  <r>
    <x v="12"/>
    <x v="2"/>
    <s v="QUILLOTA"/>
    <n v="220"/>
    <n v="0.68918800000000002"/>
    <x v="2"/>
    <n v="39.122999999999998"/>
    <x v="0"/>
    <x v="0"/>
    <n v="1.0163"/>
    <s v="SISTEMA C"/>
    <n v="27.402600688621199"/>
  </r>
  <r>
    <x v="12"/>
    <x v="2"/>
    <s v="QUILLOTA"/>
    <n v="220"/>
    <n v="0.68918800000000002"/>
    <x v="3"/>
    <n v="38.651000000000003"/>
    <x v="0"/>
    <x v="0"/>
    <n v="1.0163"/>
    <s v="SISTEMA C"/>
    <n v="27.072001615824409"/>
  </r>
  <r>
    <x v="12"/>
    <x v="2"/>
    <s v="QUILLOTA"/>
    <n v="220"/>
    <n v="0.68918800000000002"/>
    <x v="4"/>
    <n v="50.674999999999997"/>
    <x v="0"/>
    <x v="0"/>
    <n v="1.0163"/>
    <s v="SISTEMA C"/>
    <n v="35.493872910969998"/>
  </r>
  <r>
    <x v="12"/>
    <x v="2"/>
    <s v="QUILLOTA"/>
    <n v="220"/>
    <n v="0.68918800000000002"/>
    <x v="5"/>
    <n v="61.944000000000003"/>
    <x v="0"/>
    <x v="0"/>
    <n v="1.0163"/>
    <s v="SISTEMA C"/>
    <n v="43.386925773993603"/>
  </r>
  <r>
    <x v="12"/>
    <x v="2"/>
    <s v="QUILLOTA"/>
    <n v="220"/>
    <n v="0.68918800000000002"/>
    <x v="0"/>
    <n v="70.893000000000001"/>
    <x v="1"/>
    <x v="0"/>
    <n v="1.0163"/>
    <s v="SISTEMA C"/>
    <n v="49.6550001436092"/>
  </r>
  <r>
    <x v="12"/>
    <x v="2"/>
    <s v="QUILLOTA"/>
    <n v="220"/>
    <n v="0.68918800000000002"/>
    <x v="1"/>
    <n v="63.523000000000003"/>
    <x v="1"/>
    <x v="0"/>
    <n v="1.0163"/>
    <s v="SISTEMA C"/>
    <n v="44.492891739981197"/>
  </r>
  <r>
    <x v="12"/>
    <x v="2"/>
    <s v="QUILLOTA"/>
    <n v="220"/>
    <n v="0.68918800000000002"/>
    <x v="2"/>
    <n v="32.936"/>
    <x v="1"/>
    <x v="0"/>
    <n v="1.0163"/>
    <s v="SISTEMA C"/>
    <n v="23.069091232278399"/>
  </r>
  <r>
    <x v="12"/>
    <x v="2"/>
    <s v="QUILLOTA"/>
    <n v="220"/>
    <n v="0.68918800000000002"/>
    <x v="3"/>
    <n v="31.954999999999998"/>
    <x v="1"/>
    <x v="0"/>
    <n v="1.0163"/>
    <s v="SISTEMA C"/>
    <n v="22.381977481402"/>
  </r>
  <r>
    <x v="12"/>
    <x v="2"/>
    <s v="QUILLOTA"/>
    <n v="220"/>
    <n v="0.68918800000000002"/>
    <x v="4"/>
    <n v="53.051000000000002"/>
    <x v="1"/>
    <x v="0"/>
    <n v="1.0163"/>
    <s v="SISTEMA C"/>
    <n v="37.158075023184402"/>
  </r>
  <r>
    <x v="12"/>
    <x v="2"/>
    <s v="QUILLOTA"/>
    <n v="220"/>
    <n v="0.68918800000000002"/>
    <x v="5"/>
    <n v="88.747"/>
    <x v="1"/>
    <x v="0"/>
    <n v="1.0163"/>
    <s v="SISTEMA C"/>
    <n v="62.1603303252068"/>
  </r>
  <r>
    <x v="13"/>
    <x v="1"/>
    <s v="CHARRUA"/>
    <n v="220"/>
    <n v="1"/>
    <x v="0"/>
    <n v="54.328000000000003"/>
    <x v="0"/>
    <x v="0"/>
    <n v="1.0325599999999999"/>
    <s v="SISTEMA E"/>
    <n v="56.096919679999999"/>
  </r>
  <r>
    <x v="13"/>
    <x v="1"/>
    <s v="CHARRUA"/>
    <n v="220"/>
    <n v="1"/>
    <x v="1"/>
    <n v="54.436999999999998"/>
    <x v="0"/>
    <x v="0"/>
    <n v="1.0325599999999999"/>
    <s v="SISTEMA E"/>
    <n v="56.209468719999997"/>
  </r>
  <r>
    <x v="13"/>
    <x v="1"/>
    <s v="CHARRUA"/>
    <n v="220"/>
    <n v="1"/>
    <x v="2"/>
    <n v="39.161000000000001"/>
    <x v="0"/>
    <x v="0"/>
    <n v="1.0325599999999999"/>
    <s v="SISTEMA E"/>
    <n v="40.436082159999998"/>
  </r>
  <r>
    <x v="13"/>
    <x v="1"/>
    <s v="CHARRUA"/>
    <n v="220"/>
    <n v="1"/>
    <x v="3"/>
    <n v="38.674999999999997"/>
    <x v="0"/>
    <x v="0"/>
    <n v="1.0325599999999999"/>
    <s v="SISTEMA E"/>
    <n v="39.934257999999993"/>
  </r>
  <r>
    <x v="13"/>
    <x v="1"/>
    <s v="CHARRUA"/>
    <n v="220"/>
    <n v="1"/>
    <x v="4"/>
    <n v="49.055"/>
    <x v="0"/>
    <x v="0"/>
    <n v="1.0325599999999999"/>
    <s v="SISTEMA E"/>
    <n v="50.652230799999998"/>
  </r>
  <r>
    <x v="13"/>
    <x v="1"/>
    <s v="CHARRUA"/>
    <n v="220"/>
    <n v="1"/>
    <x v="5"/>
    <n v="58.87"/>
    <x v="0"/>
    <x v="0"/>
    <n v="1.0325599999999999"/>
    <s v="SISTEMA E"/>
    <n v="60.786807199999991"/>
  </r>
  <r>
    <x v="13"/>
    <x v="1"/>
    <s v="CHARRUA"/>
    <n v="220"/>
    <n v="1"/>
    <x v="0"/>
    <n v="65.05"/>
    <x v="1"/>
    <x v="0"/>
    <n v="1.0325599999999999"/>
    <s v="SISTEMA E"/>
    <n v="67.168027999999993"/>
  </r>
  <r>
    <x v="13"/>
    <x v="1"/>
    <s v="CHARRUA"/>
    <n v="220"/>
    <n v="1"/>
    <x v="1"/>
    <n v="60.055999999999997"/>
    <x v="1"/>
    <x v="0"/>
    <n v="1.0325599999999999"/>
    <s v="SISTEMA E"/>
    <n v="62.011423359999988"/>
  </r>
  <r>
    <x v="13"/>
    <x v="1"/>
    <s v="CHARRUA"/>
    <n v="220"/>
    <n v="1"/>
    <x v="2"/>
    <n v="33.075000000000003"/>
    <x v="1"/>
    <x v="0"/>
    <n v="1.0325599999999999"/>
    <s v="SISTEMA E"/>
    <n v="34.151921999999999"/>
  </r>
  <r>
    <x v="13"/>
    <x v="1"/>
    <s v="CHARRUA"/>
    <n v="220"/>
    <n v="1"/>
    <x v="3"/>
    <n v="32.075000000000003"/>
    <x v="1"/>
    <x v="0"/>
    <n v="1.0325599999999999"/>
    <s v="SISTEMA E"/>
    <n v="33.119362000000002"/>
  </r>
  <r>
    <x v="13"/>
    <x v="1"/>
    <s v="CHARRUA"/>
    <n v="220"/>
    <n v="1"/>
    <x v="4"/>
    <n v="50.77"/>
    <x v="1"/>
    <x v="0"/>
    <n v="1.0325599999999999"/>
    <s v="SISTEMA E"/>
    <n v="52.423071200000003"/>
  </r>
  <r>
    <x v="13"/>
    <x v="1"/>
    <s v="CHARRUA"/>
    <n v="220"/>
    <n v="1"/>
    <x v="5"/>
    <n v="78.662999999999997"/>
    <x v="1"/>
    <x v="0"/>
    <n v="1.0325599999999999"/>
    <s v="SISTEMA E"/>
    <n v="81.224267279999992"/>
  </r>
  <r>
    <x v="14"/>
    <x v="1"/>
    <s v="CAUTIN"/>
    <n v="220"/>
    <n v="0.17054"/>
    <x v="0"/>
    <n v="53.277000000000001"/>
    <x v="0"/>
    <x v="0"/>
    <n v="1.0325599999999999"/>
    <s v="SISTEMA E"/>
    <n v="9.3816951679247982"/>
  </r>
  <r>
    <x v="14"/>
    <x v="1"/>
    <s v="CAUTIN"/>
    <n v="220"/>
    <n v="0.17054"/>
    <x v="1"/>
    <n v="53.445999999999998"/>
    <x v="0"/>
    <x v="0"/>
    <n v="1.0325599999999999"/>
    <s v="SISTEMA E"/>
    <n v="9.4114548481503988"/>
  </r>
  <r>
    <x v="14"/>
    <x v="1"/>
    <s v="CAUTIN"/>
    <n v="220"/>
    <n v="0.17054"/>
    <x v="2"/>
    <n v="39.104999999999997"/>
    <x v="0"/>
    <x v="0"/>
    <n v="1.0325599999999999"/>
    <s v="SISTEMA E"/>
    <n v="6.8861082557519993"/>
  </r>
  <r>
    <x v="14"/>
    <x v="1"/>
    <s v="CAUTIN"/>
    <n v="220"/>
    <n v="0.17054"/>
    <x v="3"/>
    <n v="38.667000000000002"/>
    <x v="0"/>
    <x v="0"/>
    <n v="1.0325599999999999"/>
    <s v="SISTEMA E"/>
    <n v="6.8089796170607997"/>
  </r>
  <r>
    <x v="14"/>
    <x v="1"/>
    <s v="CAUTIN"/>
    <n v="220"/>
    <n v="0.17054"/>
    <x v="4"/>
    <n v="49.026000000000003"/>
    <x v="0"/>
    <x v="0"/>
    <n v="1.0325599999999999"/>
    <s v="SISTEMA E"/>
    <n v="8.6331247499423984"/>
  </r>
  <r>
    <x v="14"/>
    <x v="1"/>
    <s v="CAUTIN"/>
    <n v="220"/>
    <n v="0.17054"/>
    <x v="5"/>
    <n v="57.997"/>
    <x v="0"/>
    <x v="0"/>
    <n v="1.0325599999999999"/>
    <s v="SISTEMA E"/>
    <n v="10.212853100852801"/>
  </r>
  <r>
    <x v="14"/>
    <x v="1"/>
    <s v="CAUTIN"/>
    <n v="220"/>
    <n v="0.17054"/>
    <x v="0"/>
    <n v="63.264000000000003"/>
    <x v="1"/>
    <x v="0"/>
    <n v="1.0325599999999999"/>
    <s v="SISTEMA E"/>
    <n v="11.140333785753599"/>
  </r>
  <r>
    <x v="14"/>
    <x v="1"/>
    <s v="CAUTIN"/>
    <n v="220"/>
    <n v="0.17054"/>
    <x v="1"/>
    <n v="58.51"/>
    <x v="1"/>
    <x v="0"/>
    <n v="1.0325599999999999"/>
    <s v="SISTEMA E"/>
    <n v="10.303188698224"/>
  </r>
  <r>
    <x v="14"/>
    <x v="1"/>
    <s v="CAUTIN"/>
    <n v="220"/>
    <n v="0.17054"/>
    <x v="2"/>
    <n v="32.847999999999999"/>
    <x v="1"/>
    <x v="0"/>
    <n v="1.0325599999999999"/>
    <s v="SISTEMA E"/>
    <n v="5.7842957162751993"/>
  </r>
  <r>
    <x v="14"/>
    <x v="1"/>
    <s v="CAUTIN"/>
    <n v="220"/>
    <n v="0.17054"/>
    <x v="3"/>
    <n v="32.058"/>
    <x v="1"/>
    <x v="0"/>
    <n v="1.0325599999999999"/>
    <s v="SISTEMA E"/>
    <n v="5.6451824181791999"/>
  </r>
  <r>
    <x v="14"/>
    <x v="1"/>
    <s v="CAUTIN"/>
    <n v="220"/>
    <n v="0.17054"/>
    <x v="4"/>
    <n v="50.432000000000002"/>
    <x v="1"/>
    <x v="0"/>
    <n v="1.0325599999999999"/>
    <s v="SISTEMA E"/>
    <n v="8.8807112019967995"/>
  </r>
  <r>
    <x v="14"/>
    <x v="1"/>
    <s v="CAUTIN"/>
    <n v="220"/>
    <n v="0.17054"/>
    <x v="5"/>
    <n v="76.081000000000003"/>
    <x v="1"/>
    <x v="0"/>
    <n v="1.0325599999999999"/>
    <s v="SISTEMA E"/>
    <n v="13.3973149777744"/>
  </r>
  <r>
    <x v="14"/>
    <x v="1"/>
    <s v="CHARRUA"/>
    <n v="220"/>
    <n v="0.82945999999999998"/>
    <x v="0"/>
    <n v="54.328000000000003"/>
    <x v="0"/>
    <x v="0"/>
    <n v="1.0325599999999999"/>
    <s v="SISTEMA E"/>
    <n v="46.5301509977728"/>
  </r>
  <r>
    <x v="14"/>
    <x v="1"/>
    <s v="CHARRUA"/>
    <n v="220"/>
    <n v="0.82945999999999998"/>
    <x v="1"/>
    <n v="54.436999999999998"/>
    <x v="0"/>
    <x v="0"/>
    <n v="1.0325599999999999"/>
    <s v="SISTEMA E"/>
    <n v="46.623505924491191"/>
  </r>
  <r>
    <x v="14"/>
    <x v="1"/>
    <s v="CHARRUA"/>
    <n v="220"/>
    <n v="0.82945999999999998"/>
    <x v="2"/>
    <n v="39.161000000000001"/>
    <x v="0"/>
    <x v="0"/>
    <n v="1.0325599999999999"/>
    <s v="SISTEMA E"/>
    <n v="33.540112708433597"/>
  </r>
  <r>
    <x v="14"/>
    <x v="1"/>
    <s v="CHARRUA"/>
    <n v="220"/>
    <n v="0.82945999999999998"/>
    <x v="3"/>
    <n v="38.674999999999997"/>
    <x v="0"/>
    <x v="0"/>
    <n v="1.0325599999999999"/>
    <s v="SISTEMA E"/>
    <n v="33.123869640679992"/>
  </r>
  <r>
    <x v="14"/>
    <x v="1"/>
    <s v="CHARRUA"/>
    <n v="220"/>
    <n v="0.82945999999999998"/>
    <x v="4"/>
    <n v="49.055"/>
    <x v="0"/>
    <x v="0"/>
    <n v="1.0325599999999999"/>
    <s v="SISTEMA E"/>
    <n v="42.013999359367993"/>
  </r>
  <r>
    <x v="14"/>
    <x v="1"/>
    <s v="CHARRUA"/>
    <n v="220"/>
    <n v="0.82945999999999998"/>
    <x v="5"/>
    <n v="58.87"/>
    <x v="0"/>
    <x v="0"/>
    <n v="1.0325599999999999"/>
    <s v="SISTEMA E"/>
    <n v="50.420225100111999"/>
  </r>
  <r>
    <x v="14"/>
    <x v="1"/>
    <s v="CHARRUA"/>
    <n v="220"/>
    <n v="0.82945999999999998"/>
    <x v="0"/>
    <n v="65.05"/>
    <x v="1"/>
    <x v="0"/>
    <n v="1.0325599999999999"/>
    <s v="SISTEMA E"/>
    <n v="55.713192504879999"/>
  </r>
  <r>
    <x v="14"/>
    <x v="1"/>
    <s v="CHARRUA"/>
    <n v="220"/>
    <n v="0.82945999999999998"/>
    <x v="1"/>
    <n v="60.055999999999997"/>
    <x v="1"/>
    <x v="0"/>
    <n v="1.0325599999999999"/>
    <s v="SISTEMA E"/>
    <n v="51.435995220185589"/>
  </r>
  <r>
    <x v="14"/>
    <x v="1"/>
    <s v="CHARRUA"/>
    <n v="220"/>
    <n v="0.82945999999999998"/>
    <x v="2"/>
    <n v="33.075000000000003"/>
    <x v="1"/>
    <x v="0"/>
    <n v="1.0325599999999999"/>
    <s v="SISTEMA E"/>
    <n v="28.327653222119999"/>
  </r>
  <r>
    <x v="14"/>
    <x v="1"/>
    <s v="CHARRUA"/>
    <n v="220"/>
    <n v="0.82945999999999998"/>
    <x v="3"/>
    <n v="32.075000000000003"/>
    <x v="1"/>
    <x v="0"/>
    <n v="1.0325599999999999"/>
    <s v="SISTEMA E"/>
    <n v="27.47118600452"/>
  </r>
  <r>
    <x v="14"/>
    <x v="1"/>
    <s v="CHARRUA"/>
    <n v="220"/>
    <n v="0.82945999999999998"/>
    <x v="4"/>
    <n v="50.77"/>
    <x v="1"/>
    <x v="0"/>
    <n v="1.0325599999999999"/>
    <s v="SISTEMA E"/>
    <n v="43.482840637551988"/>
  </r>
  <r>
    <x v="14"/>
    <x v="1"/>
    <s v="CHARRUA"/>
    <n v="220"/>
    <n v="0.82945999999999998"/>
    <x v="5"/>
    <n v="78.662999999999997"/>
    <x v="1"/>
    <x v="0"/>
    <n v="1.0325599999999999"/>
    <s v="SISTEMA E"/>
    <n v="67.372280738068795"/>
  </r>
  <r>
    <x v="15"/>
    <x v="2"/>
    <s v="A.MELIP"/>
    <n v="220"/>
    <n v="0.10741199999999999"/>
    <x v="0"/>
    <n v="56.027999999999999"/>
    <x v="0"/>
    <x v="0"/>
    <n v="1.0163"/>
    <s v="SISTEMA C"/>
    <n v="6.1161742324367987"/>
  </r>
  <r>
    <x v="15"/>
    <x v="2"/>
    <s v="A.MELIP"/>
    <n v="220"/>
    <n v="0.10741199999999999"/>
    <x v="1"/>
    <n v="56.122999999999998"/>
    <x v="0"/>
    <x v="0"/>
    <n v="1.0163"/>
    <s v="SISTEMA C"/>
    <n v="6.1265446999187994"/>
  </r>
  <r>
    <x v="15"/>
    <x v="2"/>
    <s v="A.MELIP"/>
    <n v="220"/>
    <n v="0.10741199999999999"/>
    <x v="2"/>
    <n v="39.145000000000003"/>
    <x v="0"/>
    <x v="0"/>
    <n v="1.0163"/>
    <s v="SISTEMA C"/>
    <n v="4.2731784166619997"/>
  </r>
  <r>
    <x v="15"/>
    <x v="2"/>
    <s v="A.MELIP"/>
    <n v="220"/>
    <n v="0.10741199999999999"/>
    <x v="3"/>
    <n v="38.646999999999998"/>
    <x v="0"/>
    <x v="0"/>
    <n v="1.0163"/>
    <s v="SISTEMA C"/>
    <n v="4.2188153344931987"/>
  </r>
  <r>
    <x v="15"/>
    <x v="2"/>
    <s v="A.MELIP"/>
    <n v="220"/>
    <n v="0.10741199999999999"/>
    <x v="4"/>
    <n v="49.831000000000003"/>
    <x v="0"/>
    <x v="0"/>
    <n v="1.0163"/>
    <s v="SISTEMA C"/>
    <n v="5.4396922641636003"/>
  </r>
  <r>
    <x v="15"/>
    <x v="2"/>
    <s v="A.MELIP"/>
    <n v="220"/>
    <n v="0.10741199999999999"/>
    <x v="5"/>
    <n v="61.533000000000001"/>
    <x v="0"/>
    <x v="0"/>
    <n v="1.0163"/>
    <s v="SISTEMA C"/>
    <n v="6.7171155323148"/>
  </r>
  <r>
    <x v="15"/>
    <x v="2"/>
    <s v="A.MELIP"/>
    <n v="220"/>
    <n v="0.10741199999999999"/>
    <x v="0"/>
    <n v="70.548000000000002"/>
    <x v="1"/>
    <x v="0"/>
    <n v="1.0163"/>
    <s v="SISTEMA C"/>
    <n v="7.7012183149487994"/>
  </r>
  <r>
    <x v="15"/>
    <x v="2"/>
    <s v="A.MELIP"/>
    <n v="220"/>
    <n v="0.10741199999999999"/>
    <x v="1"/>
    <n v="63.55"/>
    <x v="1"/>
    <x v="0"/>
    <n v="1.0163"/>
    <s v="SISTEMA C"/>
    <n v="6.9372969313799997"/>
  </r>
  <r>
    <x v="15"/>
    <x v="2"/>
    <s v="A.MELIP"/>
    <n v="220"/>
    <n v="0.10741199999999999"/>
    <x v="2"/>
    <n v="32.978000000000002"/>
    <x v="1"/>
    <x v="0"/>
    <n v="1.0163"/>
    <s v="SISTEMA C"/>
    <n v="3.5999713328567999"/>
  </r>
  <r>
    <x v="15"/>
    <x v="2"/>
    <s v="A.MELIP"/>
    <n v="220"/>
    <n v="0.10741199999999999"/>
    <x v="3"/>
    <n v="31.867000000000001"/>
    <x v="1"/>
    <x v="0"/>
    <n v="1.0163"/>
    <s v="SISTEMA C"/>
    <n v="3.4786914447252002"/>
  </r>
  <r>
    <x v="15"/>
    <x v="2"/>
    <s v="A.MELIP"/>
    <n v="220"/>
    <n v="0.10741199999999999"/>
    <x v="4"/>
    <n v="51.658000000000001"/>
    <x v="1"/>
    <x v="0"/>
    <n v="1.0163"/>
    <s v="SISTEMA C"/>
    <n v="5.6391327282647996"/>
  </r>
  <r>
    <x v="15"/>
    <x v="2"/>
    <s v="A.MELIP"/>
    <n v="220"/>
    <n v="0.10741199999999999"/>
    <x v="5"/>
    <n v="88.040999999999997"/>
    <x v="1"/>
    <x v="0"/>
    <n v="1.0163"/>
    <s v="SISTEMA C"/>
    <n v="9.610803448239599"/>
  </r>
  <r>
    <x v="15"/>
    <x v="2"/>
    <s v="L.MAQUIS"/>
    <n v="220"/>
    <n v="0.10273400000000001"/>
    <x v="0"/>
    <n v="57.201999999999998"/>
    <x v="0"/>
    <x v="0"/>
    <n v="1.0163"/>
    <s v="SISTEMA C"/>
    <n v="5.9723786893683997"/>
  </r>
  <r>
    <x v="15"/>
    <x v="2"/>
    <s v="L.MAQUIS"/>
    <n v="220"/>
    <n v="0.10273400000000001"/>
    <x v="1"/>
    <n v="57.142000000000003"/>
    <x v="0"/>
    <x v="0"/>
    <n v="1.0163"/>
    <s v="SISTEMA C"/>
    <n v="5.9661141755164007"/>
  </r>
  <r>
    <x v="15"/>
    <x v="2"/>
    <s v="L.MAQUIS"/>
    <n v="220"/>
    <n v="0.10273400000000001"/>
    <x v="2"/>
    <n v="39.238"/>
    <x v="0"/>
    <x v="0"/>
    <n v="1.0163"/>
    <s v="SISTEMA C"/>
    <n v="4.0967832420796002"/>
  </r>
  <r>
    <x v="15"/>
    <x v="2"/>
    <s v="L.MAQUIS"/>
    <n v="220"/>
    <n v="0.10273400000000001"/>
    <x v="3"/>
    <n v="38.674999999999997"/>
    <x v="0"/>
    <x v="0"/>
    <n v="1.0163"/>
    <s v="SISTEMA C"/>
    <n v="4.0380012204350004"/>
  </r>
  <r>
    <x v="15"/>
    <x v="2"/>
    <s v="L.MAQUIS"/>
    <n v="220"/>
    <n v="0.10273400000000001"/>
    <x v="4"/>
    <n v="51.384999999999998"/>
    <x v="0"/>
    <x v="0"/>
    <n v="1.0163"/>
    <s v="SISTEMA C"/>
    <n v="5.365034071417"/>
  </r>
  <r>
    <x v="15"/>
    <x v="2"/>
    <s v="L.MAQUIS"/>
    <n v="220"/>
    <n v="0.10273400000000001"/>
    <x v="5"/>
    <n v="63.296999999999997"/>
    <x v="0"/>
    <x v="0"/>
    <n v="1.0163"/>
    <s v="SISTEMA C"/>
    <n v="6.6087488881674004"/>
  </r>
  <r>
    <x v="15"/>
    <x v="2"/>
    <s v="L.MAQUIS"/>
    <n v="220"/>
    <n v="0.10273400000000001"/>
    <x v="0"/>
    <n v="72.432000000000002"/>
    <x v="1"/>
    <x v="0"/>
    <n v="1.0163"/>
    <s v="SISTEMA C"/>
    <n v="7.5625211221344006"/>
  </r>
  <r>
    <x v="15"/>
    <x v="2"/>
    <s v="L.MAQUIS"/>
    <n v="220"/>
    <n v="0.10273400000000001"/>
    <x v="1"/>
    <n v="65.381"/>
    <x v="1"/>
    <x v="0"/>
    <n v="1.0163"/>
    <s v="SISTEMA C"/>
    <n v="6.8263363359601996"/>
  </r>
  <r>
    <x v="15"/>
    <x v="2"/>
    <s v="L.MAQUIS"/>
    <n v="220"/>
    <n v="0.10273400000000001"/>
    <x v="2"/>
    <n v="33.338000000000001"/>
    <x v="1"/>
    <x v="0"/>
    <n v="1.0163"/>
    <s v="SISTEMA C"/>
    <n v="3.4807727132995998"/>
  </r>
  <r>
    <x v="15"/>
    <x v="2"/>
    <s v="L.MAQUIS"/>
    <n v="220"/>
    <n v="0.10273400000000001"/>
    <x v="3"/>
    <n v="32.270000000000003"/>
    <x v="1"/>
    <x v="0"/>
    <n v="1.0163"/>
    <s v="SISTEMA C"/>
    <n v="3.3692643667340012"/>
  </r>
  <r>
    <x v="15"/>
    <x v="2"/>
    <s v="L.MAQUIS"/>
    <n v="220"/>
    <n v="0.10273400000000001"/>
    <x v="4"/>
    <n v="54.567999999999998"/>
    <x v="1"/>
    <x v="0"/>
    <n v="1.0163"/>
    <s v="SISTEMA C"/>
    <n v="5.6973665312656001"/>
  </r>
  <r>
    <x v="15"/>
    <x v="2"/>
    <s v="L.MAQUIS"/>
    <n v="220"/>
    <n v="0.10273400000000001"/>
    <x v="5"/>
    <n v="91.134"/>
    <x v="1"/>
    <x v="0"/>
    <n v="1.0163"/>
    <s v="SISTEMA C"/>
    <n v="9.5151700898028011"/>
  </r>
  <r>
    <x v="15"/>
    <x v="2"/>
    <s v="NOGALES"/>
    <n v="220"/>
    <n v="0.144209"/>
    <x v="0"/>
    <n v="55.404000000000003"/>
    <x v="0"/>
    <x v="0"/>
    <n v="1.0163"/>
    <s v="SISTEMA C"/>
    <n v="8.1199884496068009"/>
  </r>
  <r>
    <x v="15"/>
    <x v="2"/>
    <s v="NOGALES"/>
    <n v="220"/>
    <n v="0.144209"/>
    <x v="1"/>
    <n v="55.06"/>
    <x v="0"/>
    <x v="0"/>
    <n v="1.0163"/>
    <s v="SISTEMA C"/>
    <n v="8.069571944902"/>
  </r>
  <r>
    <x v="15"/>
    <x v="2"/>
    <s v="NOGALES"/>
    <n v="220"/>
    <n v="0.144209"/>
    <x v="2"/>
    <n v="39.090000000000003"/>
    <x v="0"/>
    <x v="0"/>
    <n v="1.0163"/>
    <s v="SISTEMA C"/>
    <n v="5.7290150259030002"/>
  </r>
  <r>
    <x v="15"/>
    <x v="2"/>
    <s v="NOGALES"/>
    <n v="220"/>
    <n v="0.144209"/>
    <x v="3"/>
    <n v="38.667999999999999"/>
    <x v="0"/>
    <x v="0"/>
    <n v="1.0163"/>
    <s v="SISTEMA C"/>
    <n v="5.6671668718755992"/>
  </r>
  <r>
    <x v="15"/>
    <x v="2"/>
    <s v="NOGALES"/>
    <n v="220"/>
    <n v="0.144209"/>
    <x v="4"/>
    <n v="50.594000000000001"/>
    <x v="0"/>
    <x v="0"/>
    <n v="1.0163"/>
    <s v="SISTEMA C"/>
    <n v="7.4150367413798"/>
  </r>
  <r>
    <x v="15"/>
    <x v="2"/>
    <s v="NOGALES"/>
    <n v="220"/>
    <n v="0.144209"/>
    <x v="5"/>
    <n v="61.845999999999997"/>
    <x v="0"/>
    <x v="0"/>
    <n v="1.0163"/>
    <s v="SISTEMA C"/>
    <n v="9.0641254359681991"/>
  </r>
  <r>
    <x v="15"/>
    <x v="2"/>
    <s v="NOGALES"/>
    <n v="220"/>
    <n v="0.144209"/>
    <x v="0"/>
    <n v="70.549000000000007"/>
    <x v="1"/>
    <x v="0"/>
    <n v="1.0163"/>
    <s v="SISTEMA C"/>
    <n v="10.3396336930783"/>
  </r>
  <r>
    <x v="15"/>
    <x v="2"/>
    <s v="NOGALES"/>
    <n v="220"/>
    <n v="0.144209"/>
    <x v="1"/>
    <n v="62.8"/>
    <x v="1"/>
    <x v="0"/>
    <n v="1.0163"/>
    <s v="SISTEMA C"/>
    <n v="9.2039433007599989"/>
  </r>
  <r>
    <x v="15"/>
    <x v="2"/>
    <s v="NOGALES"/>
    <n v="220"/>
    <n v="0.144209"/>
    <x v="2"/>
    <n v="32.857999999999997"/>
    <x v="1"/>
    <x v="0"/>
    <n v="1.0163"/>
    <s v="SISTEMA C"/>
    <n v="4.8156555569485997"/>
  </r>
  <r>
    <x v="15"/>
    <x v="2"/>
    <s v="NOGALES"/>
    <n v="220"/>
    <n v="0.144209"/>
    <x v="3"/>
    <n v="32.343000000000004"/>
    <x v="1"/>
    <x v="0"/>
    <n v="1.0163"/>
    <s v="SISTEMA C"/>
    <n v="4.7401773594981007"/>
  </r>
  <r>
    <x v="15"/>
    <x v="2"/>
    <s v="NOGALES"/>
    <n v="220"/>
    <n v="0.144209"/>
    <x v="4"/>
    <n v="54.238999999999997"/>
    <x v="1"/>
    <x v="0"/>
    <n v="1.0163"/>
    <s v="SISTEMA C"/>
    <n v="7.9492465078012993"/>
  </r>
  <r>
    <x v="15"/>
    <x v="2"/>
    <s v="NOGALES"/>
    <n v="220"/>
    <n v="0.144209"/>
    <x v="5"/>
    <n v="90.197999999999993"/>
    <x v="1"/>
    <x v="0"/>
    <n v="1.0163"/>
    <s v="SISTEMA C"/>
    <n v="13.219383405126599"/>
  </r>
  <r>
    <x v="15"/>
    <x v="2"/>
    <s v="QUILLOTA"/>
    <n v="220"/>
    <n v="0.64564500000000002"/>
    <x v="0"/>
    <n v="55.87"/>
    <x v="0"/>
    <x v="0"/>
    <n v="1.0163"/>
    <s v="SISTEMA C"/>
    <n v="36.660162784245003"/>
  </r>
  <r>
    <x v="15"/>
    <x v="2"/>
    <s v="QUILLOTA"/>
    <n v="220"/>
    <n v="0.64564500000000002"/>
    <x v="1"/>
    <n v="55.997999999999998"/>
    <x v="0"/>
    <x v="0"/>
    <n v="1.0163"/>
    <s v="SISTEMA C"/>
    <n v="36.744152417972998"/>
  </r>
  <r>
    <x v="15"/>
    <x v="2"/>
    <s v="QUILLOTA"/>
    <n v="220"/>
    <n v="0.64564500000000002"/>
    <x v="2"/>
    <n v="39.122999999999998"/>
    <x v="0"/>
    <x v="0"/>
    <n v="1.0163"/>
    <s v="SISTEMA C"/>
    <n v="25.671300315160501"/>
  </r>
  <r>
    <x v="15"/>
    <x v="2"/>
    <s v="QUILLOTA"/>
    <n v="220"/>
    <n v="0.64564500000000002"/>
    <x v="3"/>
    <n v="38.651000000000003"/>
    <x v="0"/>
    <x v="0"/>
    <n v="1.0163"/>
    <s v="SISTEMA C"/>
    <n v="25.3615885407885"/>
  </r>
  <r>
    <x v="15"/>
    <x v="2"/>
    <s v="QUILLOTA"/>
    <n v="220"/>
    <n v="0.64564500000000002"/>
    <x v="4"/>
    <n v="50.674999999999997"/>
    <x v="0"/>
    <x v="0"/>
    <n v="1.0163"/>
    <s v="SISTEMA C"/>
    <n v="33.251364759112498"/>
  </r>
  <r>
    <x v="15"/>
    <x v="2"/>
    <s v="QUILLOTA"/>
    <n v="220"/>
    <n v="0.64564500000000002"/>
    <x v="5"/>
    <n v="61.944000000000003"/>
    <x v="0"/>
    <x v="0"/>
    <n v="1.0163"/>
    <s v="SISTEMA C"/>
    <n v="40.645733372244003"/>
  </r>
  <r>
    <x v="15"/>
    <x v="2"/>
    <s v="QUILLOTA"/>
    <n v="220"/>
    <n v="0.64564500000000002"/>
    <x v="0"/>
    <n v="70.893000000000001"/>
    <x v="1"/>
    <x v="0"/>
    <n v="1.0163"/>
    <s v="SISTEMA C"/>
    <n v="46.517789874055502"/>
  </r>
  <r>
    <x v="15"/>
    <x v="2"/>
    <s v="QUILLOTA"/>
    <n v="220"/>
    <n v="0.64564500000000002"/>
    <x v="1"/>
    <n v="63.523000000000003"/>
    <x v="1"/>
    <x v="0"/>
    <n v="1.0163"/>
    <s v="SISTEMA C"/>
    <n v="41.681824244560502"/>
  </r>
  <r>
    <x v="15"/>
    <x v="2"/>
    <s v="QUILLOTA"/>
    <n v="220"/>
    <n v="0.64564500000000002"/>
    <x v="2"/>
    <n v="32.936"/>
    <x v="1"/>
    <x v="0"/>
    <n v="1.0163"/>
    <s v="SISTEMA C"/>
    <n v="21.611582628636"/>
  </r>
  <r>
    <x v="15"/>
    <x v="2"/>
    <s v="QUILLOTA"/>
    <n v="220"/>
    <n v="0.64564500000000002"/>
    <x v="3"/>
    <n v="31.954999999999998"/>
    <x v="1"/>
    <x v="0"/>
    <n v="1.0163"/>
    <s v="SISTEMA C"/>
    <n v="20.967880826392499"/>
  </r>
  <r>
    <x v="15"/>
    <x v="2"/>
    <s v="QUILLOTA"/>
    <n v="220"/>
    <n v="0.64564500000000002"/>
    <x v="4"/>
    <n v="53.051000000000002"/>
    <x v="1"/>
    <x v="0"/>
    <n v="1.0163"/>
    <s v="SISTEMA C"/>
    <n v="34.810422335188512"/>
  </r>
  <r>
    <x v="15"/>
    <x v="2"/>
    <s v="QUILLOTA"/>
    <n v="220"/>
    <n v="0.64564500000000002"/>
    <x v="5"/>
    <n v="88.747"/>
    <x v="1"/>
    <x v="0"/>
    <n v="1.0163"/>
    <s v="SISTEMA C"/>
    <n v="58.233031441084499"/>
  </r>
  <r>
    <x v="16"/>
    <x v="1"/>
    <s v="A.JAHUEL"/>
    <n v="220"/>
    <n v="8.6898000000000003E-2"/>
    <x v="0"/>
    <n v="55.936"/>
    <x v="0"/>
    <x v="0"/>
    <n v="1.01102"/>
    <s v="SISTEMA D"/>
    <n v="4.9142917343385601"/>
  </r>
  <r>
    <x v="16"/>
    <x v="1"/>
    <s v="A.JAHUEL"/>
    <n v="220"/>
    <n v="8.6898000000000003E-2"/>
    <x v="1"/>
    <n v="56.033999999999999"/>
    <x v="0"/>
    <x v="0"/>
    <n v="1.01102"/>
    <s v="SISTEMA D"/>
    <n v="4.9229015847026396"/>
  </r>
  <r>
    <x v="16"/>
    <x v="1"/>
    <s v="A.JAHUEL"/>
    <n v="220"/>
    <n v="8.6898000000000003E-2"/>
    <x v="2"/>
    <n v="39.116999999999997"/>
    <x v="0"/>
    <x v="0"/>
    <n v="1.01102"/>
    <s v="SISTEMA D"/>
    <n v="3.4366481295073199"/>
  </r>
  <r>
    <x v="16"/>
    <x v="1"/>
    <s v="A.JAHUEL"/>
    <n v="220"/>
    <n v="8.6898000000000003E-2"/>
    <x v="3"/>
    <n v="38.668999999999997"/>
    <x v="0"/>
    <x v="0"/>
    <n v="1.01102"/>
    <s v="SISTEMA D"/>
    <n v="3.3972888135572399"/>
  </r>
  <r>
    <x v="16"/>
    <x v="1"/>
    <s v="A.JAHUEL"/>
    <n v="220"/>
    <n v="8.6898000000000003E-2"/>
    <x v="4"/>
    <n v="51.475999999999999"/>
    <x v="0"/>
    <x v="0"/>
    <n v="1.01102"/>
    <s v="SISTEMA D"/>
    <n v="4.5224556871569597"/>
  </r>
  <r>
    <x v="16"/>
    <x v="1"/>
    <s v="A.JAHUEL"/>
    <n v="220"/>
    <n v="8.6898000000000003E-2"/>
    <x v="5"/>
    <n v="62.256999999999998"/>
    <x v="0"/>
    <x v="0"/>
    <n v="1.01102"/>
    <s v="SISTEMA D"/>
    <n v="5.4696270828217202"/>
  </r>
  <r>
    <x v="16"/>
    <x v="1"/>
    <s v="A.JAHUEL"/>
    <n v="220"/>
    <n v="8.6898000000000003E-2"/>
    <x v="0"/>
    <n v="69.262"/>
    <x v="1"/>
    <x v="0"/>
    <n v="1.01102"/>
    <s v="SISTEMA D"/>
    <n v="6.0850556726215208"/>
  </r>
  <r>
    <x v="16"/>
    <x v="1"/>
    <s v="A.JAHUEL"/>
    <n v="220"/>
    <n v="8.6898000000000003E-2"/>
    <x v="1"/>
    <n v="62.783000000000001"/>
    <x v="1"/>
    <x v="0"/>
    <n v="1.01102"/>
    <s v="SISTEMA D"/>
    <n v="5.5158391368166804"/>
  </r>
  <r>
    <x v="16"/>
    <x v="1"/>
    <s v="A.JAHUEL"/>
    <n v="220"/>
    <n v="8.6898000000000003E-2"/>
    <x v="2"/>
    <n v="32.915999999999997"/>
    <x v="1"/>
    <x v="0"/>
    <n v="1.01102"/>
    <s v="SISTEMA D"/>
    <n v="2.89185545493936"/>
  </r>
  <r>
    <x v="16"/>
    <x v="1"/>
    <s v="A.JAHUEL"/>
    <n v="220"/>
    <n v="8.6898000000000003E-2"/>
    <x v="3"/>
    <n v="32.179000000000002"/>
    <x v="1"/>
    <x v="0"/>
    <n v="1.01102"/>
    <s v="SISTEMA D"/>
    <n v="2.82710586597684"/>
  </r>
  <r>
    <x v="16"/>
    <x v="1"/>
    <s v="A.JAHUEL"/>
    <n v="220"/>
    <n v="8.6898000000000003E-2"/>
    <x v="4"/>
    <n v="54.389000000000003"/>
    <x v="1"/>
    <x v="0"/>
    <n v="1.01102"/>
    <s v="SISTEMA D"/>
    <n v="4.7783790964484396"/>
  </r>
  <r>
    <x v="16"/>
    <x v="1"/>
    <s v="A.JAHUEL"/>
    <n v="220"/>
    <n v="8.6898000000000003E-2"/>
    <x v="5"/>
    <n v="88.427000000000007"/>
    <x v="1"/>
    <x v="0"/>
    <n v="1.01102"/>
    <s v="SISTEMA D"/>
    <n v="7.7688085524949209"/>
  </r>
  <r>
    <x v="16"/>
    <x v="1"/>
    <s v="C.CHENA"/>
    <n v="220"/>
    <n v="0.22886300000000001"/>
    <x v="0"/>
    <n v="56.127000000000002"/>
    <x v="0"/>
    <x v="0"/>
    <n v="1.01102"/>
    <s v="SISTEMA D"/>
    <n v="12.986949838483021"/>
  </r>
  <r>
    <x v="16"/>
    <x v="1"/>
    <s v="C.CHENA"/>
    <n v="220"/>
    <n v="0.22886300000000001"/>
    <x v="1"/>
    <n v="56.02"/>
    <x v="0"/>
    <x v="0"/>
    <n v="1.01102"/>
    <s v="SISTEMA D"/>
    <n v="12.962191635965199"/>
  </r>
  <r>
    <x v="16"/>
    <x v="1"/>
    <s v="C.CHENA"/>
    <n v="220"/>
    <n v="0.22886300000000001"/>
    <x v="2"/>
    <n v="39.167999999999999"/>
    <x v="0"/>
    <x v="0"/>
    <n v="1.01102"/>
    <s v="SISTEMA D"/>
    <n v="9.0628904319436803"/>
  </r>
  <r>
    <x v="16"/>
    <x v="1"/>
    <s v="C.CHENA"/>
    <n v="220"/>
    <n v="0.22886300000000001"/>
    <x v="3"/>
    <n v="38.67"/>
    <x v="0"/>
    <x v="0"/>
    <n v="1.01102"/>
    <s v="SISTEMA D"/>
    <n v="8.9476606669541994"/>
  </r>
  <r>
    <x v="16"/>
    <x v="1"/>
    <s v="C.CHENA"/>
    <n v="220"/>
    <n v="0.22886300000000001"/>
    <x v="4"/>
    <n v="50.823999999999998"/>
    <x v="0"/>
    <x v="0"/>
    <n v="1.01102"/>
    <s v="SISTEMA D"/>
    <n v="11.759914810894241"/>
  </r>
  <r>
    <x v="16"/>
    <x v="1"/>
    <s v="C.CHENA"/>
    <n v="220"/>
    <n v="0.22886300000000001"/>
    <x v="5"/>
    <n v="62.433999999999997"/>
    <x v="0"/>
    <x v="0"/>
    <n v="1.01102"/>
    <s v="SISTEMA D"/>
    <n v="14.446295476612841"/>
  </r>
  <r>
    <x v="16"/>
    <x v="1"/>
    <s v="C.CHENA"/>
    <n v="220"/>
    <n v="0.22886300000000001"/>
    <x v="0"/>
    <n v="69.38"/>
    <x v="1"/>
    <x v="0"/>
    <n v="1.01102"/>
    <s v="SISTEMA D"/>
    <n v="16.053496174638799"/>
  </r>
  <r>
    <x v="16"/>
    <x v="1"/>
    <s v="C.CHENA"/>
    <n v="220"/>
    <n v="0.22886300000000001"/>
    <x v="1"/>
    <n v="62.850999999999999"/>
    <x v="1"/>
    <x v="0"/>
    <n v="1.01102"/>
    <s v="SISTEMA D"/>
    <n v="14.542783050911259"/>
  </r>
  <r>
    <x v="16"/>
    <x v="1"/>
    <s v="C.CHENA"/>
    <n v="220"/>
    <n v="0.22886300000000001"/>
    <x v="2"/>
    <n v="33.090000000000003"/>
    <x v="1"/>
    <x v="0"/>
    <n v="1.01102"/>
    <s v="SISTEMA D"/>
    <n v="7.6565319749034009"/>
  </r>
  <r>
    <x v="16"/>
    <x v="1"/>
    <s v="C.CHENA"/>
    <n v="220"/>
    <n v="0.22886300000000001"/>
    <x v="3"/>
    <n v="32.274000000000001"/>
    <x v="1"/>
    <x v="0"/>
    <n v="1.01102"/>
    <s v="SISTEMA D"/>
    <n v="7.4677217575712396"/>
  </r>
  <r>
    <x v="16"/>
    <x v="1"/>
    <s v="C.CHENA"/>
    <n v="220"/>
    <n v="0.22886300000000001"/>
    <x v="4"/>
    <n v="53.92"/>
    <x v="1"/>
    <x v="0"/>
    <n v="1.01102"/>
    <s v="SISTEMA D"/>
    <n v="12.4762829884192"/>
  </r>
  <r>
    <x v="16"/>
    <x v="1"/>
    <s v="C.CHENA"/>
    <n v="220"/>
    <n v="0.22886300000000001"/>
    <x v="5"/>
    <n v="89.204999999999998"/>
    <x v="1"/>
    <x v="0"/>
    <n v="1.01102"/>
    <s v="SISTEMA D"/>
    <n v="20.640705192543301"/>
  </r>
  <r>
    <x v="16"/>
    <x v="1"/>
    <s v="C.NAVIA"/>
    <n v="220"/>
    <n v="0.60897000000000001"/>
    <x v="0"/>
    <n v="56.168999999999997"/>
    <x v="0"/>
    <x v="0"/>
    <n v="1.01102"/>
    <s v="SISTEMA D"/>
    <n v="34.582177629948603"/>
  </r>
  <r>
    <x v="16"/>
    <x v="1"/>
    <s v="C.NAVIA"/>
    <n v="220"/>
    <n v="0.60897000000000001"/>
    <x v="1"/>
    <n v="56.069000000000003"/>
    <x v="0"/>
    <x v="0"/>
    <n v="1.01102"/>
    <s v="SISTEMA D"/>
    <n v="34.520609545008597"/>
  </r>
  <r>
    <x v="16"/>
    <x v="1"/>
    <s v="C.NAVIA"/>
    <n v="220"/>
    <n v="0.60897000000000001"/>
    <x v="2"/>
    <n v="39.165999999999997"/>
    <x v="0"/>
    <x v="0"/>
    <n v="1.01102"/>
    <s v="SISTEMA D"/>
    <n v="24.113756147600402"/>
  </r>
  <r>
    <x v="16"/>
    <x v="1"/>
    <s v="C.NAVIA"/>
    <n v="220"/>
    <n v="0.60897000000000001"/>
    <x v="3"/>
    <n v="38.67"/>
    <x v="0"/>
    <x v="0"/>
    <n v="1.01102"/>
    <s v="SISTEMA D"/>
    <n v="23.808378446298001"/>
  </r>
  <r>
    <x v="16"/>
    <x v="1"/>
    <s v="C.NAVIA"/>
    <n v="220"/>
    <n v="0.60897000000000001"/>
    <x v="4"/>
    <n v="50.823999999999998"/>
    <x v="0"/>
    <x v="0"/>
    <n v="1.01102"/>
    <s v="SISTEMA D"/>
    <n v="31.291363489905599"/>
  </r>
  <r>
    <x v="16"/>
    <x v="1"/>
    <s v="C.NAVIA"/>
    <n v="220"/>
    <n v="0.60897000000000001"/>
    <x v="5"/>
    <n v="62.457999999999998"/>
    <x v="0"/>
    <x v="0"/>
    <n v="1.01102"/>
    <s v="SISTEMA D"/>
    <n v="38.454194491825199"/>
  </r>
  <r>
    <x v="16"/>
    <x v="1"/>
    <s v="C.NAVIA"/>
    <n v="220"/>
    <n v="0.60897000000000001"/>
    <x v="0"/>
    <n v="70.17"/>
    <x v="1"/>
    <x v="0"/>
    <n v="1.01102"/>
    <s v="SISTEMA D"/>
    <n v="43.202325202398001"/>
  </r>
  <r>
    <x v="16"/>
    <x v="1"/>
    <s v="C.NAVIA"/>
    <n v="220"/>
    <n v="0.60897000000000001"/>
    <x v="1"/>
    <n v="63.353999999999999"/>
    <x v="1"/>
    <x v="0"/>
    <n v="1.01102"/>
    <s v="SISTEMA D"/>
    <n v="39.0058445328876"/>
  </r>
  <r>
    <x v="16"/>
    <x v="1"/>
    <s v="C.NAVIA"/>
    <n v="220"/>
    <n v="0.60897000000000001"/>
    <x v="2"/>
    <n v="33.082000000000001"/>
    <x v="1"/>
    <x v="0"/>
    <n v="1.01102"/>
    <s v="SISTEMA D"/>
    <n v="20.3679538598508"/>
  </r>
  <r>
    <x v="16"/>
    <x v="1"/>
    <s v="C.NAVIA"/>
    <n v="220"/>
    <n v="0.60897000000000001"/>
    <x v="3"/>
    <n v="32.270000000000003"/>
    <x v="1"/>
    <x v="0"/>
    <n v="1.01102"/>
    <s v="SISTEMA D"/>
    <n v="19.868021010138001"/>
  </r>
  <r>
    <x v="16"/>
    <x v="1"/>
    <s v="C.NAVIA"/>
    <n v="220"/>
    <n v="0.60897000000000001"/>
    <x v="4"/>
    <n v="53.905000000000001"/>
    <x v="1"/>
    <x v="0"/>
    <n v="1.01102"/>
    <s v="SISTEMA D"/>
    <n v="33.188276186906997"/>
  </r>
  <r>
    <x v="16"/>
    <x v="1"/>
    <s v="C.NAVIA"/>
    <n v="220"/>
    <n v="0.60897000000000001"/>
    <x v="5"/>
    <n v="89.346000000000004"/>
    <x v="1"/>
    <x v="0"/>
    <n v="1.01102"/>
    <s v="SISTEMA D"/>
    <n v="55.008621170492397"/>
  </r>
  <r>
    <x v="16"/>
    <x v="1"/>
    <s v="POLPAICO"/>
    <n v="220"/>
    <n v="2.2689999999999998E-2"/>
    <x v="0"/>
    <n v="56.158000000000001"/>
    <x v="0"/>
    <x v="0"/>
    <n v="1.01102"/>
    <s v="SISTEMA D"/>
    <n v="1.2882669797204001"/>
  </r>
  <r>
    <x v="16"/>
    <x v="1"/>
    <s v="POLPAICO"/>
    <n v="220"/>
    <n v="2.2689999999999998E-2"/>
    <x v="1"/>
    <n v="56.052"/>
    <x v="0"/>
    <x v="0"/>
    <n v="1.01102"/>
    <s v="SISTEMA D"/>
    <n v="1.2858353350776"/>
  </r>
  <r>
    <x v="16"/>
    <x v="1"/>
    <s v="POLPAICO"/>
    <n v="220"/>
    <n v="2.2689999999999998E-2"/>
    <x v="2"/>
    <n v="39.154000000000003"/>
    <x v="0"/>
    <x v="0"/>
    <n v="1.01102"/>
    <s v="SISTEMA D"/>
    <n v="0.89819447494520011"/>
  </r>
  <r>
    <x v="16"/>
    <x v="1"/>
    <s v="POLPAICO"/>
    <n v="220"/>
    <n v="2.2689999999999998E-2"/>
    <x v="3"/>
    <n v="38.667999999999999"/>
    <x v="0"/>
    <x v="0"/>
    <n v="1.01102"/>
    <s v="SISTEMA D"/>
    <n v="0.88704561365839996"/>
  </r>
  <r>
    <x v="16"/>
    <x v="1"/>
    <s v="POLPAICO"/>
    <n v="220"/>
    <n v="2.2689999999999998E-2"/>
    <x v="4"/>
    <n v="50.756"/>
    <x v="0"/>
    <x v="0"/>
    <n v="1.01102"/>
    <s v="SISTEMA D"/>
    <n v="1.1643448631127999"/>
  </r>
  <r>
    <x v="16"/>
    <x v="1"/>
    <s v="POLPAICO"/>
    <n v="220"/>
    <n v="2.2689999999999998E-2"/>
    <x v="5"/>
    <n v="62.389000000000003"/>
    <x v="0"/>
    <x v="0"/>
    <n v="1.01102"/>
    <s v="SISTEMA D"/>
    <n v="1.4312063926381999"/>
  </r>
  <r>
    <x v="16"/>
    <x v="1"/>
    <s v="POLPAICO"/>
    <n v="220"/>
    <n v="2.2689999999999998E-2"/>
    <x v="0"/>
    <n v="71.028000000000006"/>
    <x v="1"/>
    <x v="0"/>
    <n v="1.01102"/>
    <s v="SISTEMA D"/>
    <n v="1.6293854310264"/>
  </r>
  <r>
    <x v="16"/>
    <x v="1"/>
    <s v="POLPAICO"/>
    <n v="220"/>
    <n v="2.2689999999999998E-2"/>
    <x v="1"/>
    <n v="63.613999999999997"/>
    <x v="1"/>
    <x v="0"/>
    <n v="1.01102"/>
    <s v="SISTEMA D"/>
    <n v="1.4593079462931999"/>
  </r>
  <r>
    <x v="16"/>
    <x v="1"/>
    <s v="POLPAICO"/>
    <n v="220"/>
    <n v="2.2689999999999998E-2"/>
    <x v="2"/>
    <n v="33.049999999999997"/>
    <x v="1"/>
    <x v="0"/>
    <n v="1.01102"/>
    <s v="SISTEMA D"/>
    <n v="0.75816844758999991"/>
  </r>
  <r>
    <x v="16"/>
    <x v="1"/>
    <s v="POLPAICO"/>
    <n v="220"/>
    <n v="2.2689999999999998E-2"/>
    <x v="3"/>
    <n v="32.253"/>
    <x v="1"/>
    <x v="0"/>
    <n v="1.01102"/>
    <s v="SISTEMA D"/>
    <n v="0.73988523268140005"/>
  </r>
  <r>
    <x v="16"/>
    <x v="1"/>
    <s v="POLPAICO"/>
    <n v="220"/>
    <n v="2.2689999999999998E-2"/>
    <x v="4"/>
    <n v="53.768000000000001"/>
    <x v="1"/>
    <x v="0"/>
    <n v="1.01102"/>
    <s v="SISTEMA D"/>
    <n v="1.2334402750383999"/>
  </r>
  <r>
    <x v="16"/>
    <x v="1"/>
    <s v="POLPAICO"/>
    <n v="220"/>
    <n v="2.2689999999999998E-2"/>
    <x v="5"/>
    <n v="89.256"/>
    <x v="1"/>
    <x v="0"/>
    <n v="1.01102"/>
    <s v="SISTEMA D"/>
    <n v="2.0475365494128002"/>
  </r>
  <r>
    <x v="16"/>
    <x v="1"/>
    <s v="QUILLOTA"/>
    <n v="220"/>
    <n v="5.2580000000000002E-2"/>
    <x v="0"/>
    <n v="55.87"/>
    <x v="0"/>
    <x v="0"/>
    <n v="1.01102"/>
    <s v="SISTEMA D"/>
    <n v="2.9700174434919999"/>
  </r>
  <r>
    <x v="16"/>
    <x v="1"/>
    <s v="QUILLOTA"/>
    <n v="220"/>
    <n v="5.2580000000000002E-2"/>
    <x v="1"/>
    <n v="55.997999999999998"/>
    <x v="0"/>
    <x v="0"/>
    <n v="1.01102"/>
    <s v="SISTEMA D"/>
    <n v="2.9768218507367998"/>
  </r>
  <r>
    <x v="16"/>
    <x v="1"/>
    <s v="QUILLOTA"/>
    <n v="220"/>
    <n v="5.2580000000000002E-2"/>
    <x v="2"/>
    <n v="39.122999999999998"/>
    <x v="0"/>
    <x v="0"/>
    <n v="1.01102"/>
    <s v="SISTEMA D"/>
    <n v="2.0797564424867998"/>
  </r>
  <r>
    <x v="16"/>
    <x v="1"/>
    <s v="QUILLOTA"/>
    <n v="220"/>
    <n v="5.2580000000000002E-2"/>
    <x v="3"/>
    <n v="38.651000000000003"/>
    <x v="0"/>
    <x v="0"/>
    <n v="1.01102"/>
    <s v="SISTEMA D"/>
    <n v="2.0546651907715998"/>
  </r>
  <r>
    <x v="16"/>
    <x v="1"/>
    <s v="QUILLOTA"/>
    <n v="220"/>
    <n v="5.2580000000000002E-2"/>
    <x v="4"/>
    <n v="50.674999999999997"/>
    <x v="0"/>
    <x v="0"/>
    <n v="1.01102"/>
    <s v="SISTEMA D"/>
    <n v="2.6938541963299998"/>
  </r>
  <r>
    <x v="16"/>
    <x v="1"/>
    <s v="QUILLOTA"/>
    <n v="220"/>
    <n v="5.2580000000000002E-2"/>
    <x v="5"/>
    <n v="61.944000000000003"/>
    <x v="0"/>
    <x v="0"/>
    <n v="1.01102"/>
    <s v="SISTEMA D"/>
    <n v="3.292907831030401"/>
  </r>
  <r>
    <x v="16"/>
    <x v="1"/>
    <s v="QUILLOTA"/>
    <n v="220"/>
    <n v="5.2580000000000002E-2"/>
    <x v="0"/>
    <n v="70.893000000000001"/>
    <x v="1"/>
    <x v="0"/>
    <n v="1.01102"/>
    <s v="SISTEMA D"/>
    <n v="3.7686315844188001"/>
  </r>
  <r>
    <x v="16"/>
    <x v="1"/>
    <s v="QUILLOTA"/>
    <n v="220"/>
    <n v="5.2580000000000002E-2"/>
    <x v="1"/>
    <n v="63.523000000000003"/>
    <x v="1"/>
    <x v="0"/>
    <n v="1.01102"/>
    <s v="SISTEMA D"/>
    <n v="3.3768465735267998"/>
  </r>
  <r>
    <x v="16"/>
    <x v="1"/>
    <s v="QUILLOTA"/>
    <n v="220"/>
    <n v="5.2580000000000002E-2"/>
    <x v="2"/>
    <n v="32.936"/>
    <x v="1"/>
    <x v="0"/>
    <n v="1.01102"/>
    <s v="SISTEMA D"/>
    <n v="1.7508590391776"/>
  </r>
  <r>
    <x v="16"/>
    <x v="1"/>
    <s v="QUILLOTA"/>
    <n v="220"/>
    <n v="5.2580000000000002E-2"/>
    <x v="3"/>
    <n v="31.954999999999998"/>
    <x v="1"/>
    <x v="0"/>
    <n v="1.01102"/>
    <s v="SISTEMA D"/>
    <n v="1.6987096367779999"/>
  </r>
  <r>
    <x v="16"/>
    <x v="1"/>
    <s v="QUILLOTA"/>
    <n v="220"/>
    <n v="5.2580000000000002E-2"/>
    <x v="4"/>
    <n v="53.051000000000002"/>
    <x v="1"/>
    <x v="0"/>
    <n v="1.01102"/>
    <s v="SISTEMA D"/>
    <n v="2.8201610058116011"/>
  </r>
  <r>
    <x v="16"/>
    <x v="1"/>
    <s v="QUILLOTA"/>
    <n v="220"/>
    <n v="5.2580000000000002E-2"/>
    <x v="5"/>
    <n v="88.747"/>
    <x v="1"/>
    <x v="0"/>
    <n v="1.01102"/>
    <s v="SISTEMA D"/>
    <n v="4.7177400762052004"/>
  </r>
  <r>
    <x v="17"/>
    <x v="2"/>
    <s v="A.JAHUEL"/>
    <n v="220"/>
    <n v="0.61475900000000006"/>
    <x v="0"/>
    <n v="55.936"/>
    <x v="0"/>
    <x v="0"/>
    <n v="1.0325599999999999"/>
    <s v="SISTEMA E"/>
    <n v="35.506805334845438"/>
  </r>
  <r>
    <x v="17"/>
    <x v="2"/>
    <s v="A.JAHUEL"/>
    <n v="220"/>
    <n v="0.61475900000000006"/>
    <x v="1"/>
    <n v="56.033999999999999"/>
    <x v="0"/>
    <x v="0"/>
    <n v="1.0325599999999999"/>
    <s v="SISTEMA E"/>
    <n v="35.569013339043359"/>
  </r>
  <r>
    <x v="17"/>
    <x v="2"/>
    <s v="A.JAHUEL"/>
    <n v="220"/>
    <n v="0.61475900000000006"/>
    <x v="2"/>
    <n v="39.116999999999997"/>
    <x v="0"/>
    <x v="0"/>
    <n v="1.0325599999999999"/>
    <s v="SISTEMA E"/>
    <n v="24.830515308265682"/>
  </r>
  <r>
    <x v="17"/>
    <x v="2"/>
    <s v="A.JAHUEL"/>
    <n v="220"/>
    <n v="0.61475900000000006"/>
    <x v="3"/>
    <n v="38.668999999999997"/>
    <x v="0"/>
    <x v="0"/>
    <n v="1.0325599999999999"/>
    <s v="SISTEMA E"/>
    <n v="24.54613586050376"/>
  </r>
  <r>
    <x v="17"/>
    <x v="2"/>
    <s v="A.JAHUEL"/>
    <n v="220"/>
    <n v="0.61475900000000006"/>
    <x v="4"/>
    <n v="51.475999999999999"/>
    <x v="0"/>
    <x v="0"/>
    <n v="1.0325599999999999"/>
    <s v="SISTEMA E"/>
    <n v="32.675706368287052"/>
  </r>
  <r>
    <x v="17"/>
    <x v="2"/>
    <s v="A.JAHUEL"/>
    <n v="220"/>
    <n v="0.61475900000000006"/>
    <x v="5"/>
    <n v="62.256999999999998"/>
    <x v="0"/>
    <x v="0"/>
    <n v="1.0325599999999999"/>
    <s v="SISTEMA E"/>
    <n v="39.519221605611278"/>
  </r>
  <r>
    <x v="17"/>
    <x v="2"/>
    <s v="A.JAHUEL"/>
    <n v="220"/>
    <n v="0.61475900000000006"/>
    <x v="0"/>
    <n v="69.262"/>
    <x v="1"/>
    <x v="0"/>
    <n v="1.0325599999999999"/>
    <s v="SISTEMA E"/>
    <n v="43.965824354656483"/>
  </r>
  <r>
    <x v="17"/>
    <x v="2"/>
    <s v="A.JAHUEL"/>
    <n v="220"/>
    <n v="0.61475900000000006"/>
    <x v="1"/>
    <n v="62.783000000000001"/>
    <x v="1"/>
    <x v="0"/>
    <n v="1.0325599999999999"/>
    <s v="SISTEMA E"/>
    <n v="39.853113546510322"/>
  </r>
  <r>
    <x v="17"/>
    <x v="2"/>
    <s v="A.JAHUEL"/>
    <n v="220"/>
    <n v="0.61475900000000006"/>
    <x v="2"/>
    <n v="32.915999999999997"/>
    <x v="1"/>
    <x v="0"/>
    <n v="1.0325599999999999"/>
    <s v="SISTEMA E"/>
    <n v="20.89427210386464"/>
  </r>
  <r>
    <x v="17"/>
    <x v="2"/>
    <s v="A.JAHUEL"/>
    <n v="220"/>
    <n v="0.61475900000000006"/>
    <x v="3"/>
    <n v="32.179000000000002"/>
    <x v="1"/>
    <x v="0"/>
    <n v="1.0325599999999999"/>
    <s v="SISTEMA E"/>
    <n v="20.426442521274161"/>
  </r>
  <r>
    <x v="17"/>
    <x v="2"/>
    <s v="A.JAHUEL"/>
    <n v="220"/>
    <n v="0.61475900000000006"/>
    <x v="4"/>
    <n v="54.389000000000003"/>
    <x v="1"/>
    <x v="0"/>
    <n v="1.0325599999999999"/>
    <s v="SISTEMA E"/>
    <n v="34.524807554292558"/>
  </r>
  <r>
    <x v="17"/>
    <x v="2"/>
    <s v="A.JAHUEL"/>
    <n v="220"/>
    <n v="0.61475900000000006"/>
    <x v="5"/>
    <n v="88.427000000000007"/>
    <x v="1"/>
    <x v="0"/>
    <n v="1.0325599999999999"/>
    <s v="SISTEMA E"/>
    <n v="56.131297828668089"/>
  </r>
  <r>
    <x v="17"/>
    <x v="2"/>
    <s v="A.MELIP"/>
    <n v="220"/>
    <n v="7.0479999999999996E-3"/>
    <x v="0"/>
    <n v="56.027999999999999"/>
    <x v="0"/>
    <x v="0"/>
    <n v="1.0325599999999999"/>
    <s v="SISTEMA E"/>
    <n v="0.40774281080064001"/>
  </r>
  <r>
    <x v="17"/>
    <x v="2"/>
    <s v="A.MELIP"/>
    <n v="220"/>
    <n v="7.0479999999999996E-3"/>
    <x v="1"/>
    <n v="56.122999999999998"/>
    <x v="0"/>
    <x v="0"/>
    <n v="1.0325599999999999"/>
    <s v="SISTEMA E"/>
    <n v="0.40843417167424001"/>
  </r>
  <r>
    <x v="17"/>
    <x v="2"/>
    <s v="A.MELIP"/>
    <n v="220"/>
    <n v="7.0479999999999996E-3"/>
    <x v="2"/>
    <n v="39.145000000000003"/>
    <x v="0"/>
    <x v="0"/>
    <n v="1.0325599999999999"/>
    <s v="SISTEMA E"/>
    <n v="0.28487706733759999"/>
  </r>
  <r>
    <x v="17"/>
    <x v="2"/>
    <s v="A.MELIP"/>
    <n v="220"/>
    <n v="7.0479999999999996E-3"/>
    <x v="3"/>
    <n v="38.646999999999998"/>
    <x v="0"/>
    <x v="0"/>
    <n v="1.0325599999999999"/>
    <s v="SISTEMA E"/>
    <n v="0.28125288086335998"/>
  </r>
  <r>
    <x v="17"/>
    <x v="2"/>
    <s v="A.MELIP"/>
    <n v="220"/>
    <n v="7.0479999999999996E-3"/>
    <x v="4"/>
    <n v="49.831000000000003"/>
    <x v="0"/>
    <x v="0"/>
    <n v="1.0325599999999999"/>
    <s v="SISTEMA E"/>
    <n v="0.36264424939327999"/>
  </r>
  <r>
    <x v="17"/>
    <x v="2"/>
    <s v="A.MELIP"/>
    <n v="220"/>
    <n v="7.0479999999999996E-3"/>
    <x v="5"/>
    <n v="61.533000000000001"/>
    <x v="0"/>
    <x v="0"/>
    <n v="1.0325599999999999"/>
    <s v="SISTEMA E"/>
    <n v="0.44780535405504002"/>
  </r>
  <r>
    <x v="17"/>
    <x v="2"/>
    <s v="A.MELIP"/>
    <n v="220"/>
    <n v="7.0479999999999996E-3"/>
    <x v="0"/>
    <n v="70.548000000000002"/>
    <x v="1"/>
    <x v="0"/>
    <n v="1.0325599999999999"/>
    <s v="SISTEMA E"/>
    <n v="0.51341186221823998"/>
  </r>
  <r>
    <x v="17"/>
    <x v="2"/>
    <s v="A.MELIP"/>
    <n v="220"/>
    <n v="7.0479999999999996E-3"/>
    <x v="1"/>
    <n v="63.55"/>
    <x v="1"/>
    <x v="0"/>
    <n v="1.0325599999999999"/>
    <s v="SISTEMA E"/>
    <n v="0.46248403702399993"/>
  </r>
  <r>
    <x v="17"/>
    <x v="2"/>
    <s v="A.MELIP"/>
    <n v="220"/>
    <n v="7.0479999999999996E-3"/>
    <x v="2"/>
    <n v="32.978000000000002"/>
    <x v="1"/>
    <x v="0"/>
    <n v="1.0325599999999999"/>
    <s v="SISTEMA E"/>
    <n v="0.23999683041663999"/>
  </r>
  <r>
    <x v="17"/>
    <x v="2"/>
    <s v="A.MELIP"/>
    <n v="220"/>
    <n v="7.0479999999999996E-3"/>
    <x v="3"/>
    <n v="31.867000000000001"/>
    <x v="1"/>
    <x v="0"/>
    <n v="1.0325599999999999"/>
    <s v="SISTEMA E"/>
    <n v="0.23191154693696001"/>
  </r>
  <r>
    <x v="17"/>
    <x v="2"/>
    <s v="A.MELIP"/>
    <n v="220"/>
    <n v="7.0479999999999996E-3"/>
    <x v="4"/>
    <n v="51.658000000000001"/>
    <x v="1"/>
    <x v="0"/>
    <n v="1.0325599999999999"/>
    <s v="SISTEMA E"/>
    <n v="0.37594021061504002"/>
  </r>
  <r>
    <x v="17"/>
    <x v="2"/>
    <s v="A.MELIP"/>
    <n v="220"/>
    <n v="7.0479999999999996E-3"/>
    <x v="5"/>
    <n v="88.040999999999997"/>
    <x v="1"/>
    <x v="0"/>
    <n v="1.0325599999999999"/>
    <s v="SISTEMA E"/>
    <n v="0.64071687023807988"/>
  </r>
  <r>
    <x v="17"/>
    <x v="2"/>
    <s v="CHARRUA"/>
    <n v="220"/>
    <n v="8.7659999999999995E-3"/>
    <x v="0"/>
    <n v="54.328000000000003"/>
    <x v="0"/>
    <x v="0"/>
    <n v="1.0325599999999999"/>
    <s v="SISTEMA E"/>
    <n v="0.49174559791487998"/>
  </r>
  <r>
    <x v="17"/>
    <x v="2"/>
    <s v="CHARRUA"/>
    <n v="220"/>
    <n v="8.7659999999999995E-3"/>
    <x v="1"/>
    <n v="54.436999999999998"/>
    <x v="0"/>
    <x v="0"/>
    <n v="1.0325599999999999"/>
    <s v="SISTEMA E"/>
    <n v="0.4927322027995199"/>
  </r>
  <r>
    <x v="17"/>
    <x v="2"/>
    <s v="CHARRUA"/>
    <n v="220"/>
    <n v="8.7659999999999995E-3"/>
    <x v="2"/>
    <n v="39.161000000000001"/>
    <x v="0"/>
    <x v="0"/>
    <n v="1.0325599999999999"/>
    <s v="SISTEMA E"/>
    <n v="0.35446269621456"/>
  </r>
  <r>
    <x v="17"/>
    <x v="2"/>
    <s v="CHARRUA"/>
    <n v="220"/>
    <n v="8.7659999999999995E-3"/>
    <x v="3"/>
    <n v="38.674999999999997"/>
    <x v="0"/>
    <x v="0"/>
    <n v="1.0325599999999999"/>
    <s v="SISTEMA E"/>
    <n v="0.35006370562799988"/>
  </r>
  <r>
    <x v="17"/>
    <x v="2"/>
    <s v="CHARRUA"/>
    <n v="220"/>
    <n v="8.7659999999999995E-3"/>
    <x v="4"/>
    <n v="49.055"/>
    <x v="0"/>
    <x v="0"/>
    <n v="1.0325599999999999"/>
    <s v="SISTEMA E"/>
    <n v="0.44401745519279989"/>
  </r>
  <r>
    <x v="17"/>
    <x v="2"/>
    <s v="CHARRUA"/>
    <n v="220"/>
    <n v="8.7659999999999995E-3"/>
    <x v="5"/>
    <n v="58.87"/>
    <x v="0"/>
    <x v="0"/>
    <n v="1.0325599999999999"/>
    <s v="SISTEMA E"/>
    <n v="0.53285715191519989"/>
  </r>
  <r>
    <x v="17"/>
    <x v="2"/>
    <s v="CHARRUA"/>
    <n v="220"/>
    <n v="8.7659999999999995E-3"/>
    <x v="0"/>
    <n v="65.05"/>
    <x v="1"/>
    <x v="0"/>
    <n v="1.0325599999999999"/>
    <s v="SISTEMA E"/>
    <n v="0.58879493344799982"/>
  </r>
  <r>
    <x v="17"/>
    <x v="2"/>
    <s v="CHARRUA"/>
    <n v="220"/>
    <n v="8.7659999999999995E-3"/>
    <x v="1"/>
    <n v="60.055999999999997"/>
    <x v="1"/>
    <x v="0"/>
    <n v="1.0325599999999999"/>
    <s v="SISTEMA E"/>
    <n v="0.54359213717375987"/>
  </r>
  <r>
    <x v="17"/>
    <x v="2"/>
    <s v="CHARRUA"/>
    <n v="220"/>
    <n v="8.7659999999999995E-3"/>
    <x v="2"/>
    <n v="33.075000000000003"/>
    <x v="1"/>
    <x v="0"/>
    <n v="1.0325599999999999"/>
    <s v="SISTEMA E"/>
    <n v="0.29937574825199997"/>
  </r>
  <r>
    <x v="17"/>
    <x v="2"/>
    <s v="CHARRUA"/>
    <n v="220"/>
    <n v="8.7659999999999995E-3"/>
    <x v="3"/>
    <n v="32.075000000000003"/>
    <x v="1"/>
    <x v="0"/>
    <n v="1.0325599999999999"/>
    <s v="SISTEMA E"/>
    <n v="0.29032432729199997"/>
  </r>
  <r>
    <x v="17"/>
    <x v="2"/>
    <s v="CHARRUA"/>
    <n v="220"/>
    <n v="8.7659999999999995E-3"/>
    <x v="4"/>
    <n v="50.77"/>
    <x v="1"/>
    <x v="0"/>
    <n v="1.0325599999999999"/>
    <s v="SISTEMA E"/>
    <n v="0.45954064213919987"/>
  </r>
  <r>
    <x v="17"/>
    <x v="2"/>
    <s v="CHARRUA"/>
    <n v="220"/>
    <n v="8.7659999999999995E-3"/>
    <x v="5"/>
    <n v="78.662999999999997"/>
    <x v="1"/>
    <x v="0"/>
    <n v="1.0325599999999999"/>
    <s v="SISTEMA E"/>
    <n v="0.71201192697647997"/>
  </r>
  <r>
    <x v="17"/>
    <x v="2"/>
    <s v="ITAHUE"/>
    <n v="220"/>
    <n v="0.36677599999999999"/>
    <x v="0"/>
    <n v="55.128"/>
    <x v="0"/>
    <x v="0"/>
    <n v="1.0325599999999999"/>
    <s v="SISTEMA E"/>
    <n v="20.87797839379968"/>
  </r>
  <r>
    <x v="17"/>
    <x v="2"/>
    <s v="ITAHUE"/>
    <n v="220"/>
    <n v="0.36677599999999999"/>
    <x v="1"/>
    <n v="55.256999999999998"/>
    <x v="0"/>
    <x v="0"/>
    <n v="1.0325599999999999"/>
    <s v="SISTEMA E"/>
    <n v="20.926833045025919"/>
  </r>
  <r>
    <x v="17"/>
    <x v="2"/>
    <s v="ITAHUE"/>
    <n v="220"/>
    <n v="0.36677599999999999"/>
    <x v="2"/>
    <n v="39.152000000000001"/>
    <x v="0"/>
    <x v="0"/>
    <n v="1.0325599999999999"/>
    <s v="SISTEMA E"/>
    <n v="14.82757600627712"/>
  </r>
  <r>
    <x v="17"/>
    <x v="2"/>
    <s v="ITAHUE"/>
    <n v="220"/>
    <n v="0.36677599999999999"/>
    <x v="3"/>
    <n v="38.615000000000002"/>
    <x v="0"/>
    <x v="0"/>
    <n v="1.0325599999999999"/>
    <s v="SISTEMA E"/>
    <n v="14.6242043186144"/>
  </r>
  <r>
    <x v="17"/>
    <x v="2"/>
    <s v="ITAHUE"/>
    <n v="220"/>
    <n v="0.36677599999999999"/>
    <x v="4"/>
    <n v="46.902000000000001"/>
    <x v="0"/>
    <x v="0"/>
    <n v="1.0325599999999999"/>
    <s v="SISTEMA E"/>
    <n v="17.762642262117119"/>
  </r>
  <r>
    <x v="17"/>
    <x v="2"/>
    <s v="ITAHUE"/>
    <n v="220"/>
    <n v="0.36677599999999999"/>
    <x v="5"/>
    <n v="58.256"/>
    <x v="0"/>
    <x v="0"/>
    <n v="1.0325599999999999"/>
    <s v="SISTEMA E"/>
    <n v="22.062609006479359"/>
  </r>
  <r>
    <x v="17"/>
    <x v="2"/>
    <s v="ITAHUE"/>
    <n v="220"/>
    <n v="0.36677599999999999"/>
    <x v="0"/>
    <n v="66.899000000000001"/>
    <x v="1"/>
    <x v="0"/>
    <n v="1.0325599999999999"/>
    <s v="SISTEMA E"/>
    <n v="25.335870638637441"/>
  </r>
  <r>
    <x v="17"/>
    <x v="2"/>
    <s v="ITAHUE"/>
    <n v="220"/>
    <n v="0.36677599999999999"/>
    <x v="1"/>
    <n v="61.454000000000001"/>
    <x v="1"/>
    <x v="0"/>
    <n v="1.0325599999999999"/>
    <s v="SISTEMA E"/>
    <n v="23.273749895018241"/>
  </r>
  <r>
    <x v="17"/>
    <x v="2"/>
    <s v="ITAHUE"/>
    <n v="220"/>
    <n v="0.36677599999999999"/>
    <x v="2"/>
    <n v="32.872"/>
    <x v="1"/>
    <x v="0"/>
    <n v="1.0325599999999999"/>
    <s v="SISTEMA E"/>
    <n v="12.449225543480321"/>
  </r>
  <r>
    <x v="17"/>
    <x v="2"/>
    <s v="ITAHUE"/>
    <n v="220"/>
    <n v="0.36677599999999999"/>
    <x v="3"/>
    <n v="31.65"/>
    <x v="1"/>
    <x v="0"/>
    <n v="1.0325599999999999"/>
    <s v="SISTEMA E"/>
    <n v="11.986431870623999"/>
  </r>
  <r>
    <x v="17"/>
    <x v="2"/>
    <s v="ITAHUE"/>
    <n v="220"/>
    <n v="0.36677599999999999"/>
    <x v="4"/>
    <n v="46.981999999999999"/>
    <x v="1"/>
    <x v="0"/>
    <n v="1.0325599999999999"/>
    <s v="SISTEMA E"/>
    <n v="17.792939720241922"/>
  </r>
  <r>
    <x v="17"/>
    <x v="2"/>
    <s v="ITAHUE"/>
    <n v="220"/>
    <n v="0.36677599999999999"/>
    <x v="5"/>
    <n v="79.751999999999995"/>
    <x v="1"/>
    <x v="0"/>
    <n v="1.0325599999999999"/>
    <s v="SISTEMA E"/>
    <n v="30.20353600461312"/>
  </r>
  <r>
    <x v="17"/>
    <x v="2"/>
    <s v="RAPEL"/>
    <n v="220"/>
    <n v="2.6519999999999998E-3"/>
    <x v="0"/>
    <n v="55.825000000000003"/>
    <x v="0"/>
    <x v="0"/>
    <n v="1.0325599999999999"/>
    <s v="SISTEMA E"/>
    <n v="0.15286833962400001"/>
  </r>
  <r>
    <x v="17"/>
    <x v="2"/>
    <s v="RAPEL"/>
    <n v="220"/>
    <n v="2.6519999999999998E-3"/>
    <x v="1"/>
    <n v="56.061999999999998"/>
    <x v="0"/>
    <x v="0"/>
    <n v="1.0325599999999999"/>
    <s v="SISTEMA E"/>
    <n v="0.15351732836543999"/>
  </r>
  <r>
    <x v="17"/>
    <x v="2"/>
    <s v="RAPEL"/>
    <n v="220"/>
    <n v="2.6519999999999998E-3"/>
    <x v="2"/>
    <n v="39.136000000000003"/>
    <x v="0"/>
    <x v="0"/>
    <n v="1.0325599999999999"/>
    <s v="SISTEMA E"/>
    <n v="0.10716803116032"/>
  </r>
  <r>
    <x v="17"/>
    <x v="2"/>
    <s v="RAPEL"/>
    <n v="220"/>
    <n v="2.6519999999999998E-3"/>
    <x v="3"/>
    <n v="38.625"/>
    <x v="0"/>
    <x v="0"/>
    <n v="1.0325599999999999"/>
    <s v="SISTEMA E"/>
    <n v="0.10576873476"/>
  </r>
  <r>
    <x v="17"/>
    <x v="2"/>
    <s v="RAPEL"/>
    <n v="220"/>
    <n v="2.6519999999999998E-3"/>
    <x v="4"/>
    <n v="49.764000000000003"/>
    <x v="0"/>
    <x v="0"/>
    <n v="1.0325599999999999"/>
    <s v="SISTEMA E"/>
    <n v="0.13627120560768"/>
  </r>
  <r>
    <x v="17"/>
    <x v="2"/>
    <s v="RAPEL"/>
    <n v="220"/>
    <n v="2.6519999999999998E-3"/>
    <x v="5"/>
    <n v="61.481999999999999"/>
    <x v="0"/>
    <x v="0"/>
    <n v="1.0325599999999999"/>
    <s v="SISTEMA E"/>
    <n v="0.16835918059584001"/>
  </r>
  <r>
    <x v="17"/>
    <x v="2"/>
    <s v="RAPEL"/>
    <n v="220"/>
    <n v="2.6519999999999998E-3"/>
    <x v="0"/>
    <n v="70.069000000000003"/>
    <x v="1"/>
    <x v="0"/>
    <n v="1.0325599999999999"/>
    <s v="SISTEMA E"/>
    <n v="0.19187338448928001"/>
  </r>
  <r>
    <x v="17"/>
    <x v="2"/>
    <s v="RAPEL"/>
    <n v="220"/>
    <n v="2.6519999999999998E-3"/>
    <x v="1"/>
    <n v="63.207000000000001"/>
    <x v="1"/>
    <x v="0"/>
    <n v="1.0325599999999999"/>
    <s v="SISTEMA E"/>
    <n v="0.17308283282784001"/>
  </r>
  <r>
    <x v="17"/>
    <x v="2"/>
    <s v="RAPEL"/>
    <n v="220"/>
    <n v="2.6519999999999998E-3"/>
    <x v="2"/>
    <n v="32.453000000000003"/>
    <x v="1"/>
    <x v="0"/>
    <n v="1.0325599999999999"/>
    <s v="SISTEMA E"/>
    <n v="8.8867643991360004E-2"/>
  </r>
  <r>
    <x v="17"/>
    <x v="2"/>
    <s v="RAPEL"/>
    <n v="220"/>
    <n v="2.6519999999999998E-3"/>
    <x v="3"/>
    <n v="30.672000000000001"/>
    <x v="1"/>
    <x v="0"/>
    <n v="1.0325599999999999"/>
    <s v="SISTEMA E"/>
    <n v="8.3990644208639983E-2"/>
  </r>
  <r>
    <x v="17"/>
    <x v="2"/>
    <s v="RAPEL"/>
    <n v="220"/>
    <n v="2.6519999999999998E-3"/>
    <x v="4"/>
    <n v="51.459000000000003"/>
    <x v="1"/>
    <x v="0"/>
    <n v="1.0325599999999999"/>
    <s v="SISTEMA E"/>
    <n v="0.14091270736608"/>
  </r>
  <r>
    <x v="17"/>
    <x v="2"/>
    <s v="RAPEL"/>
    <n v="220"/>
    <n v="2.6519999999999998E-3"/>
    <x v="5"/>
    <n v="87.926000000000002"/>
    <x v="1"/>
    <x v="0"/>
    <n v="1.0325599999999999"/>
    <s v="SISTEMA E"/>
    <n v="0.24077208472511999"/>
  </r>
  <r>
    <x v="18"/>
    <x v="2"/>
    <s v="A.JAHUEL"/>
    <n v="220"/>
    <n v="0.41753600000000002"/>
    <x v="0"/>
    <n v="55.936"/>
    <x v="0"/>
    <x v="0"/>
    <n v="1.0325599999999999"/>
    <s v="SISTEMA E"/>
    <n v="24.115742058741759"/>
  </r>
  <r>
    <x v="18"/>
    <x v="2"/>
    <s v="A.JAHUEL"/>
    <n v="220"/>
    <n v="0.41753600000000002"/>
    <x v="1"/>
    <n v="56.033999999999999"/>
    <x v="0"/>
    <x v="0"/>
    <n v="1.0325599999999999"/>
    <s v="SISTEMA E"/>
    <n v="24.157992894013439"/>
  </r>
  <r>
    <x v="18"/>
    <x v="2"/>
    <s v="A.JAHUEL"/>
    <n v="220"/>
    <n v="0.41753600000000002"/>
    <x v="2"/>
    <n v="39.116999999999997"/>
    <x v="0"/>
    <x v="0"/>
    <n v="1.0325599999999999"/>
    <s v="SISTEMA E"/>
    <n v="16.864550237982719"/>
  </r>
  <r>
    <x v="18"/>
    <x v="2"/>
    <s v="A.JAHUEL"/>
    <n v="220"/>
    <n v="0.41753600000000002"/>
    <x v="3"/>
    <n v="38.668999999999997"/>
    <x v="0"/>
    <x v="0"/>
    <n v="1.0325599999999999"/>
    <s v="SISTEMA E"/>
    <n v="16.671403562455041"/>
  </r>
  <r>
    <x v="18"/>
    <x v="2"/>
    <s v="A.JAHUEL"/>
    <n v="220"/>
    <n v="0.41753600000000002"/>
    <x v="4"/>
    <n v="51.475999999999999"/>
    <x v="0"/>
    <x v="0"/>
    <n v="1.0325599999999999"/>
    <s v="SISTEMA E"/>
    <n v="22.192897922908159"/>
  </r>
  <r>
    <x v="18"/>
    <x v="2"/>
    <s v="A.JAHUEL"/>
    <n v="220"/>
    <n v="0.41753600000000002"/>
    <x v="5"/>
    <n v="62.256999999999998"/>
    <x v="0"/>
    <x v="0"/>
    <n v="1.0325599999999999"/>
    <s v="SISTEMA E"/>
    <n v="26.840920933765119"/>
  </r>
  <r>
    <x v="18"/>
    <x v="2"/>
    <s v="A.JAHUEL"/>
    <n v="220"/>
    <n v="0.41753600000000002"/>
    <x v="0"/>
    <n v="69.262"/>
    <x v="1"/>
    <x v="0"/>
    <n v="1.0325599999999999"/>
    <s v="SISTEMA E"/>
    <n v="29.860993393745922"/>
  </r>
  <r>
    <x v="18"/>
    <x v="2"/>
    <s v="A.JAHUEL"/>
    <n v="220"/>
    <n v="0.41753600000000002"/>
    <x v="1"/>
    <n v="62.783000000000001"/>
    <x v="1"/>
    <x v="0"/>
    <n v="1.0325599999999999"/>
    <s v="SISTEMA E"/>
    <n v="27.06769582512128"/>
  </r>
  <r>
    <x v="18"/>
    <x v="2"/>
    <s v="A.JAHUEL"/>
    <n v="220"/>
    <n v="0.41753600000000002"/>
    <x v="2"/>
    <n v="32.915999999999997"/>
    <x v="1"/>
    <x v="0"/>
    <n v="1.0325599999999999"/>
    <s v="SISTEMA E"/>
    <n v="14.191107079618559"/>
  </r>
  <r>
    <x v="18"/>
    <x v="2"/>
    <s v="A.JAHUEL"/>
    <n v="220"/>
    <n v="0.41753600000000002"/>
    <x v="3"/>
    <n v="32.179000000000002"/>
    <x v="1"/>
    <x v="0"/>
    <n v="1.0325599999999999"/>
    <s v="SISTEMA E"/>
    <n v="13.87336355313664"/>
  </r>
  <r>
    <x v="18"/>
    <x v="2"/>
    <s v="A.JAHUEL"/>
    <n v="220"/>
    <n v="0.41753600000000002"/>
    <x v="4"/>
    <n v="54.389000000000003"/>
    <x v="1"/>
    <x v="0"/>
    <n v="1.0325599999999999"/>
    <s v="SISTEMA E"/>
    <n v="23.448782444810242"/>
  </r>
  <r>
    <x v="18"/>
    <x v="2"/>
    <s v="A.JAHUEL"/>
    <n v="220"/>
    <n v="0.41753600000000002"/>
    <x v="5"/>
    <n v="88.427000000000007"/>
    <x v="1"/>
    <x v="0"/>
    <n v="1.0325599999999999"/>
    <s v="SISTEMA E"/>
    <n v="38.123618475192323"/>
  </r>
  <r>
    <x v="18"/>
    <x v="2"/>
    <s v="A.MELIP"/>
    <n v="220"/>
    <n v="4.1669999999999997E-3"/>
    <x v="0"/>
    <n v="56.027999999999999"/>
    <x v="0"/>
    <x v="0"/>
    <n v="1.0325599999999999"/>
    <s v="SISTEMA E"/>
    <n v="0.24107041609056001"/>
  </r>
  <r>
    <x v="18"/>
    <x v="2"/>
    <s v="A.MELIP"/>
    <n v="220"/>
    <n v="4.1669999999999997E-3"/>
    <x v="1"/>
    <n v="56.122999999999998"/>
    <x v="0"/>
    <x v="0"/>
    <n v="1.0325599999999999"/>
    <s v="SISTEMA E"/>
    <n v="0.24147917045496001"/>
  </r>
  <r>
    <x v="18"/>
    <x v="2"/>
    <s v="A.MELIP"/>
    <n v="220"/>
    <n v="4.1669999999999997E-3"/>
    <x v="2"/>
    <n v="39.145000000000003"/>
    <x v="0"/>
    <x v="0"/>
    <n v="1.0325599999999999"/>
    <s v="SISTEMA E"/>
    <n v="0.1684283115204"/>
  </r>
  <r>
    <x v="18"/>
    <x v="2"/>
    <s v="A.MELIP"/>
    <n v="220"/>
    <n v="4.1669999999999997E-3"/>
    <x v="3"/>
    <n v="38.646999999999998"/>
    <x v="0"/>
    <x v="0"/>
    <n v="1.0325599999999999"/>
    <s v="SISTEMA E"/>
    <n v="0.16628557811544001"/>
  </r>
  <r>
    <x v="18"/>
    <x v="2"/>
    <s v="A.MELIP"/>
    <n v="220"/>
    <n v="4.1669999999999997E-3"/>
    <x v="4"/>
    <n v="49.831000000000003"/>
    <x v="0"/>
    <x v="0"/>
    <n v="1.0325599999999999"/>
    <s v="SISTEMA E"/>
    <n v="0.21440672349911999"/>
  </r>
  <r>
    <x v="18"/>
    <x v="2"/>
    <s v="A.MELIP"/>
    <n v="220"/>
    <n v="4.1669999999999997E-3"/>
    <x v="5"/>
    <n v="61.533000000000001"/>
    <x v="0"/>
    <x v="0"/>
    <n v="1.0325599999999999"/>
    <s v="SISTEMA E"/>
    <n v="0.26475665583815999"/>
  </r>
  <r>
    <x v="18"/>
    <x v="2"/>
    <s v="A.MELIP"/>
    <n v="220"/>
    <n v="4.1669999999999997E-3"/>
    <x v="0"/>
    <n v="70.548000000000002"/>
    <x v="1"/>
    <x v="0"/>
    <n v="1.0325599999999999"/>
    <s v="SISTEMA E"/>
    <n v="0.30354529368095989"/>
  </r>
  <r>
    <x v="18"/>
    <x v="2"/>
    <s v="A.MELIP"/>
    <n v="220"/>
    <n v="4.1669999999999997E-3"/>
    <x v="1"/>
    <n v="63.55"/>
    <x v="1"/>
    <x v="0"/>
    <n v="1.0325599999999999"/>
    <s v="SISTEMA E"/>
    <n v="0.27343515639600002"/>
  </r>
  <r>
    <x v="18"/>
    <x v="2"/>
    <s v="A.MELIP"/>
    <n v="220"/>
    <n v="4.1669999999999997E-3"/>
    <x v="2"/>
    <n v="32.978000000000002"/>
    <x v="1"/>
    <x v="0"/>
    <n v="1.0325599999999999"/>
    <s v="SISTEMA E"/>
    <n v="0.14189369925456"/>
  </r>
  <r>
    <x v="18"/>
    <x v="2"/>
    <s v="A.MELIP"/>
    <n v="220"/>
    <n v="4.1669999999999997E-3"/>
    <x v="3"/>
    <n v="31.867000000000001"/>
    <x v="1"/>
    <x v="0"/>
    <n v="1.0325599999999999"/>
    <s v="SISTEMA E"/>
    <n v="0.13711342452983999"/>
  </r>
  <r>
    <x v="18"/>
    <x v="2"/>
    <s v="A.MELIP"/>
    <n v="220"/>
    <n v="4.1669999999999997E-3"/>
    <x v="4"/>
    <n v="51.658000000000001"/>
    <x v="1"/>
    <x v="0"/>
    <n v="1.0325599999999999"/>
    <s v="SISTEMA E"/>
    <n v="0.22226771532816"/>
  </r>
  <r>
    <x v="18"/>
    <x v="2"/>
    <s v="A.MELIP"/>
    <n v="220"/>
    <n v="4.1669999999999997E-3"/>
    <x v="5"/>
    <n v="88.040999999999997"/>
    <x v="1"/>
    <x v="0"/>
    <n v="1.0325599999999999"/>
    <s v="SISTEMA E"/>
    <n v="0.37881203153831988"/>
  </r>
  <r>
    <x v="18"/>
    <x v="2"/>
    <s v="CHARRUA"/>
    <n v="220"/>
    <n v="2.4330999999999998E-2"/>
    <x v="0"/>
    <n v="54.328000000000003"/>
    <x v="0"/>
    <x v="0"/>
    <n v="1.0325599999999999"/>
    <s v="SISTEMA E"/>
    <n v="1.3648941527340801"/>
  </r>
  <r>
    <x v="18"/>
    <x v="2"/>
    <s v="CHARRUA"/>
    <n v="220"/>
    <n v="2.4330999999999998E-2"/>
    <x v="1"/>
    <n v="54.436999999999998"/>
    <x v="0"/>
    <x v="0"/>
    <n v="1.0325599999999999"/>
    <s v="SISTEMA E"/>
    <n v="1.3676325834263201"/>
  </r>
  <r>
    <x v="18"/>
    <x v="2"/>
    <s v="CHARRUA"/>
    <n v="220"/>
    <n v="2.4330999999999998E-2"/>
    <x v="2"/>
    <n v="39.161000000000001"/>
    <x v="0"/>
    <x v="0"/>
    <n v="1.0325599999999999"/>
    <s v="SISTEMA E"/>
    <n v="0.9838503150349599"/>
  </r>
  <r>
    <x v="18"/>
    <x v="2"/>
    <s v="CHARRUA"/>
    <n v="220"/>
    <n v="2.4330999999999998E-2"/>
    <x v="3"/>
    <n v="38.674999999999997"/>
    <x v="0"/>
    <x v="0"/>
    <n v="1.0325599999999999"/>
    <s v="SISTEMA E"/>
    <n v="0.97164043139799972"/>
  </r>
  <r>
    <x v="18"/>
    <x v="2"/>
    <s v="CHARRUA"/>
    <n v="220"/>
    <n v="2.4330999999999998E-2"/>
    <x v="4"/>
    <n v="49.055"/>
    <x v="0"/>
    <x v="0"/>
    <n v="1.0325599999999999"/>
    <s v="SISTEMA E"/>
    <n v="1.2324194275947999"/>
  </r>
  <r>
    <x v="18"/>
    <x v="2"/>
    <s v="CHARRUA"/>
    <n v="220"/>
    <n v="2.4330999999999998E-2"/>
    <x v="5"/>
    <n v="58.87"/>
    <x v="0"/>
    <x v="0"/>
    <n v="1.0325599999999999"/>
    <s v="SISTEMA E"/>
    <n v="1.4790038059832"/>
  </r>
  <r>
    <x v="18"/>
    <x v="2"/>
    <s v="CHARRUA"/>
    <n v="220"/>
    <n v="2.4330999999999998E-2"/>
    <x v="0"/>
    <n v="65.05"/>
    <x v="1"/>
    <x v="0"/>
    <n v="1.0325599999999999"/>
    <s v="SISTEMA E"/>
    <n v="1.6342652892680001"/>
  </r>
  <r>
    <x v="18"/>
    <x v="2"/>
    <s v="CHARRUA"/>
    <n v="220"/>
    <n v="2.4330999999999998E-2"/>
    <x v="1"/>
    <n v="60.055999999999997"/>
    <x v="1"/>
    <x v="0"/>
    <n v="1.0325599999999999"/>
    <s v="SISTEMA E"/>
    <n v="1.50879994177216"/>
  </r>
  <r>
    <x v="18"/>
    <x v="2"/>
    <s v="CHARRUA"/>
    <n v="220"/>
    <n v="2.4330999999999998E-2"/>
    <x v="2"/>
    <n v="33.075000000000003"/>
    <x v="1"/>
    <x v="0"/>
    <n v="1.0325599999999999"/>
    <s v="SISTEMA E"/>
    <n v="0.83095041418199989"/>
  </r>
  <r>
    <x v="18"/>
    <x v="2"/>
    <s v="CHARRUA"/>
    <n v="220"/>
    <n v="2.4330999999999998E-2"/>
    <x v="3"/>
    <n v="32.075000000000003"/>
    <x v="1"/>
    <x v="0"/>
    <n v="1.0325599999999999"/>
    <s v="SISTEMA E"/>
    <n v="0.80582719682199988"/>
  </r>
  <r>
    <x v="18"/>
    <x v="2"/>
    <s v="CHARRUA"/>
    <n v="220"/>
    <n v="2.4330999999999998E-2"/>
    <x v="4"/>
    <n v="50.77"/>
    <x v="1"/>
    <x v="0"/>
    <n v="1.0325599999999999"/>
    <s v="SISTEMA E"/>
    <n v="1.2755057453672001"/>
  </r>
  <r>
    <x v="18"/>
    <x v="2"/>
    <s v="CHARRUA"/>
    <n v="220"/>
    <n v="2.4330999999999998E-2"/>
    <x v="5"/>
    <n v="78.662999999999997"/>
    <x v="1"/>
    <x v="0"/>
    <n v="1.0325599999999999"/>
    <s v="SISTEMA E"/>
    <n v="1.9762676471896801"/>
  </r>
  <r>
    <x v="18"/>
    <x v="2"/>
    <s v="ITAHUE"/>
    <n v="220"/>
    <n v="0.55226900000000001"/>
    <x v="0"/>
    <n v="55.128"/>
    <x v="0"/>
    <x v="0"/>
    <n v="1.0325599999999999"/>
    <s v="SISTEMA E"/>
    <n v="31.43679043766592"/>
  </r>
  <r>
    <x v="18"/>
    <x v="2"/>
    <s v="ITAHUE"/>
    <n v="220"/>
    <n v="0.55226900000000001"/>
    <x v="1"/>
    <n v="55.256999999999998"/>
    <x v="0"/>
    <x v="0"/>
    <n v="1.0325599999999999"/>
    <s v="SISTEMA E"/>
    <n v="31.51035280101048"/>
  </r>
  <r>
    <x v="18"/>
    <x v="2"/>
    <s v="ITAHUE"/>
    <n v="220"/>
    <n v="0.55226900000000001"/>
    <x v="2"/>
    <n v="39.152000000000001"/>
    <x v="0"/>
    <x v="0"/>
    <n v="1.0325599999999999"/>
    <s v="SISTEMA E"/>
    <n v="22.326462400513279"/>
  </r>
  <r>
    <x v="18"/>
    <x v="2"/>
    <s v="ITAHUE"/>
    <n v="220"/>
    <n v="0.55226900000000001"/>
    <x v="3"/>
    <n v="38.615000000000002"/>
    <x v="0"/>
    <x v="0"/>
    <n v="1.0325599999999999"/>
    <s v="SISTEMA E"/>
    <n v="22.0202376786836"/>
  </r>
  <r>
    <x v="18"/>
    <x v="2"/>
    <s v="ITAHUE"/>
    <n v="220"/>
    <n v="0.55226900000000001"/>
    <x v="4"/>
    <n v="46.902000000000001"/>
    <x v="0"/>
    <x v="0"/>
    <n v="1.0325599999999999"/>
    <s v="SISTEMA E"/>
    <n v="26.74590670997328"/>
  </r>
  <r>
    <x v="18"/>
    <x v="2"/>
    <s v="ITAHUE"/>
    <n v="220"/>
    <n v="0.55226900000000001"/>
    <x v="5"/>
    <n v="58.256"/>
    <x v="0"/>
    <x v="0"/>
    <n v="1.0325599999999999"/>
    <s v="SISTEMA E"/>
    <n v="33.220535186051833"/>
  </r>
  <r>
    <x v="18"/>
    <x v="2"/>
    <s v="ITAHUE"/>
    <n v="220"/>
    <n v="0.55226900000000001"/>
    <x v="0"/>
    <n v="66.899000000000001"/>
    <x v="1"/>
    <x v="0"/>
    <n v="1.0325599999999999"/>
    <s v="SISTEMA E"/>
    <n v="38.149213530137359"/>
  </r>
  <r>
    <x v="18"/>
    <x v="2"/>
    <s v="ITAHUE"/>
    <n v="220"/>
    <n v="0.55226900000000001"/>
    <x v="1"/>
    <n v="61.454000000000001"/>
    <x v="1"/>
    <x v="0"/>
    <n v="1.0325599999999999"/>
    <s v="SISTEMA E"/>
    <n v="35.044197495942562"/>
  </r>
  <r>
    <x v="18"/>
    <x v="2"/>
    <s v="ITAHUE"/>
    <n v="220"/>
    <n v="0.55226900000000001"/>
    <x v="2"/>
    <n v="32.872"/>
    <x v="1"/>
    <x v="0"/>
    <n v="1.0325599999999999"/>
    <s v="SISTEMA E"/>
    <n v="18.745286882654081"/>
  </r>
  <r>
    <x v="18"/>
    <x v="2"/>
    <s v="ITAHUE"/>
    <n v="220"/>
    <n v="0.55226900000000001"/>
    <x v="3"/>
    <n v="31.65"/>
    <x v="1"/>
    <x v="0"/>
    <n v="1.0325599999999999"/>
    <s v="SISTEMA E"/>
    <n v="18.048440308956"/>
  </r>
  <r>
    <x v="18"/>
    <x v="2"/>
    <s v="ITAHUE"/>
    <n v="220"/>
    <n v="0.55226900000000001"/>
    <x v="4"/>
    <n v="46.981999999999999"/>
    <x v="1"/>
    <x v="0"/>
    <n v="1.0325599999999999"/>
    <s v="SISTEMA E"/>
    <n v="26.79152678026448"/>
  </r>
  <r>
    <x v="18"/>
    <x v="2"/>
    <s v="ITAHUE"/>
    <n v="220"/>
    <n v="0.55226900000000001"/>
    <x v="5"/>
    <n v="79.751999999999995"/>
    <x v="1"/>
    <x v="0"/>
    <n v="1.0325599999999999"/>
    <s v="SISTEMA E"/>
    <n v="45.478648073297279"/>
  </r>
  <r>
    <x v="18"/>
    <x v="2"/>
    <s v="RAPEL"/>
    <n v="220"/>
    <n v="1.6980000000000001E-3"/>
    <x v="0"/>
    <n v="55.825000000000003"/>
    <x v="0"/>
    <x v="0"/>
    <n v="1.0325599999999999"/>
    <s v="SISTEMA E"/>
    <n v="9.7877240076000002E-2"/>
  </r>
  <r>
    <x v="18"/>
    <x v="2"/>
    <s v="RAPEL"/>
    <n v="220"/>
    <n v="1.6980000000000001E-3"/>
    <x v="1"/>
    <n v="56.061999999999998"/>
    <x v="0"/>
    <x v="0"/>
    <n v="1.0325599999999999"/>
    <s v="SISTEMA E"/>
    <n v="9.8292769066559982E-2"/>
  </r>
  <r>
    <x v="18"/>
    <x v="2"/>
    <s v="RAPEL"/>
    <n v="220"/>
    <n v="1.6980000000000001E-3"/>
    <x v="2"/>
    <n v="39.136000000000003"/>
    <x v="0"/>
    <x v="0"/>
    <n v="1.0325599999999999"/>
    <s v="SISTEMA E"/>
    <n v="6.8616635335680007E-2"/>
  </r>
  <r>
    <x v="18"/>
    <x v="2"/>
    <s v="RAPEL"/>
    <n v="220"/>
    <n v="1.6980000000000001E-3"/>
    <x v="3"/>
    <n v="38.625"/>
    <x v="0"/>
    <x v="0"/>
    <n v="1.0325599999999999"/>
    <s v="SISTEMA E"/>
    <n v="6.7720705739999998E-2"/>
  </r>
  <r>
    <x v="18"/>
    <x v="2"/>
    <s v="RAPEL"/>
    <n v="220"/>
    <n v="1.6980000000000001E-3"/>
    <x v="4"/>
    <n v="49.764000000000003"/>
    <x v="0"/>
    <x v="0"/>
    <n v="1.0325599999999999"/>
    <s v="SISTEMA E"/>
    <n v="8.7250568296320011E-2"/>
  </r>
  <r>
    <x v="18"/>
    <x v="2"/>
    <s v="RAPEL"/>
    <n v="220"/>
    <n v="1.6980000000000001E-3"/>
    <x v="5"/>
    <n v="61.481999999999999"/>
    <x v="0"/>
    <x v="0"/>
    <n v="1.0325599999999999"/>
    <s v="SISTEMA E"/>
    <n v="0.10779558395616"/>
  </r>
  <r>
    <x v="18"/>
    <x v="2"/>
    <s v="RAPEL"/>
    <n v="220"/>
    <n v="1.6980000000000001E-3"/>
    <x v="0"/>
    <n v="70.069000000000003"/>
    <x v="1"/>
    <x v="0"/>
    <n v="1.0325599999999999"/>
    <s v="SISTEMA E"/>
    <n v="0.12285105839472001"/>
  </r>
  <r>
    <x v="18"/>
    <x v="2"/>
    <s v="RAPEL"/>
    <n v="220"/>
    <n v="1.6980000000000001E-3"/>
    <x v="1"/>
    <n v="63.207000000000001"/>
    <x v="1"/>
    <x v="0"/>
    <n v="1.0325599999999999"/>
    <s v="SISTEMA E"/>
    <n v="0.11082000382416"/>
  </r>
  <r>
    <x v="18"/>
    <x v="2"/>
    <s v="RAPEL"/>
    <n v="220"/>
    <n v="1.6980000000000001E-3"/>
    <x v="2"/>
    <n v="32.453000000000003"/>
    <x v="1"/>
    <x v="0"/>
    <n v="1.0325599999999999"/>
    <s v="SISTEMA E"/>
    <n v="5.6899419116640003E-2"/>
  </r>
  <r>
    <x v="18"/>
    <x v="2"/>
    <s v="RAPEL"/>
    <n v="220"/>
    <n v="1.6980000000000001E-3"/>
    <x v="3"/>
    <n v="30.672000000000001"/>
    <x v="1"/>
    <x v="0"/>
    <n v="1.0325599999999999"/>
    <s v="SISTEMA E"/>
    <n v="5.3776815183359999E-2"/>
  </r>
  <r>
    <x v="18"/>
    <x v="2"/>
    <s v="RAPEL"/>
    <n v="220"/>
    <n v="1.6980000000000001E-3"/>
    <x v="4"/>
    <n v="51.459000000000003"/>
    <x v="1"/>
    <x v="0"/>
    <n v="1.0325599999999999"/>
    <s v="SISTEMA E"/>
    <n v="9.0222389557920002E-2"/>
  </r>
  <r>
    <x v="18"/>
    <x v="2"/>
    <s v="RAPEL"/>
    <n v="220"/>
    <n v="1.6980000000000001E-3"/>
    <x v="5"/>
    <n v="87.926000000000002"/>
    <x v="1"/>
    <x v="0"/>
    <n v="1.0325599999999999"/>
    <s v="SISTEMA E"/>
    <n v="0.15415950221088001"/>
  </r>
  <r>
    <x v="19"/>
    <x v="2"/>
    <s v="A.JAHUEL"/>
    <n v="220"/>
    <n v="0.59392199999999995"/>
    <x v="0"/>
    <n v="55.936"/>
    <x v="0"/>
    <x v="0"/>
    <n v="1.0325599999999999"/>
    <s v="SISTEMA E"/>
    <n v="34.303316971499513"/>
  </r>
  <r>
    <x v="19"/>
    <x v="2"/>
    <s v="A.JAHUEL"/>
    <n v="220"/>
    <n v="0.59392199999999995"/>
    <x v="1"/>
    <n v="56.033999999999999"/>
    <x v="0"/>
    <x v="0"/>
    <n v="1.0325599999999999"/>
    <s v="SISTEMA E"/>
    <n v="34.363416461330871"/>
  </r>
  <r>
    <x v="19"/>
    <x v="2"/>
    <s v="A.JAHUEL"/>
    <n v="220"/>
    <n v="0.59392199999999995"/>
    <x v="2"/>
    <n v="39.116999999999997"/>
    <x v="0"/>
    <x v="0"/>
    <n v="1.0325599999999999"/>
    <s v="SISTEMA E"/>
    <n v="23.98889534421744"/>
  </r>
  <r>
    <x v="19"/>
    <x v="2"/>
    <s v="A.JAHUEL"/>
    <n v="220"/>
    <n v="0.59392199999999995"/>
    <x v="3"/>
    <n v="38.668999999999997"/>
    <x v="0"/>
    <x v="0"/>
    <n v="1.0325599999999999"/>
    <s v="SISTEMA E"/>
    <n v="23.714154819274071"/>
  </r>
  <r>
    <x v="19"/>
    <x v="2"/>
    <s v="A.JAHUEL"/>
    <n v="220"/>
    <n v="0.59392199999999995"/>
    <x v="4"/>
    <n v="51.475999999999999"/>
    <x v="0"/>
    <x v="0"/>
    <n v="1.0325599999999999"/>
    <s v="SISTEMA E"/>
    <n v="31.568176924072311"/>
  </r>
  <r>
    <x v="19"/>
    <x v="2"/>
    <s v="A.JAHUEL"/>
    <n v="220"/>
    <n v="0.59392199999999995"/>
    <x v="5"/>
    <n v="62.256999999999998"/>
    <x v="0"/>
    <x v="0"/>
    <n v="1.0325599999999999"/>
    <s v="SISTEMA E"/>
    <n v="38.179734065622227"/>
  </r>
  <r>
    <x v="19"/>
    <x v="2"/>
    <s v="A.JAHUEL"/>
    <n v="220"/>
    <n v="0.59392199999999995"/>
    <x v="0"/>
    <n v="69.262"/>
    <x v="1"/>
    <x v="0"/>
    <n v="1.0325599999999999"/>
    <s v="SISTEMA E"/>
    <n v="42.475621068363843"/>
  </r>
  <r>
    <x v="19"/>
    <x v="2"/>
    <s v="A.JAHUEL"/>
    <n v="220"/>
    <n v="0.59392199999999995"/>
    <x v="1"/>
    <n v="62.783000000000001"/>
    <x v="1"/>
    <x v="0"/>
    <n v="1.0325599999999999"/>
    <s v="SISTEMA E"/>
    <n v="38.502308878390558"/>
  </r>
  <r>
    <x v="19"/>
    <x v="2"/>
    <s v="A.JAHUEL"/>
    <n v="220"/>
    <n v="0.59392199999999995"/>
    <x v="2"/>
    <n v="32.915999999999997"/>
    <x v="1"/>
    <x v="0"/>
    <n v="1.0325599999999999"/>
    <s v="SISTEMA E"/>
    <n v="20.186069462133119"/>
  </r>
  <r>
    <x v="19"/>
    <x v="2"/>
    <s v="A.JAHUEL"/>
    <n v="220"/>
    <n v="0.59392199999999995"/>
    <x v="3"/>
    <n v="32.179000000000002"/>
    <x v="1"/>
    <x v="0"/>
    <n v="1.0325599999999999"/>
    <s v="SISTEMA E"/>
    <n v="19.734096768197279"/>
  </r>
  <r>
    <x v="19"/>
    <x v="2"/>
    <s v="A.JAHUEL"/>
    <n v="220"/>
    <n v="0.59392199999999995"/>
    <x v="4"/>
    <n v="54.389000000000003"/>
    <x v="1"/>
    <x v="0"/>
    <n v="1.0325599999999999"/>
    <s v="SISTEMA E"/>
    <n v="33.354603596304479"/>
  </r>
  <r>
    <x v="19"/>
    <x v="2"/>
    <s v="A.JAHUEL"/>
    <n v="220"/>
    <n v="0.59392199999999995"/>
    <x v="5"/>
    <n v="88.427000000000007"/>
    <x v="1"/>
    <x v="0"/>
    <n v="1.0325599999999999"/>
    <s v="SISTEMA E"/>
    <n v="54.228750890996643"/>
  </r>
  <r>
    <x v="19"/>
    <x v="2"/>
    <s v="A.MELIP"/>
    <n v="220"/>
    <n v="6.4089999999999998E-3"/>
    <x v="0"/>
    <n v="56.027999999999999"/>
    <x v="0"/>
    <x v="0"/>
    <n v="1.0325599999999999"/>
    <s v="SISTEMA E"/>
    <n v="0.37077520919711993"/>
  </r>
  <r>
    <x v="19"/>
    <x v="2"/>
    <s v="A.MELIP"/>
    <n v="220"/>
    <n v="6.4089999999999998E-3"/>
    <x v="1"/>
    <n v="56.122999999999998"/>
    <x v="0"/>
    <x v="0"/>
    <n v="1.0325599999999999"/>
    <s v="SISTEMA E"/>
    <n v="0.37140388851591988"/>
  </r>
  <r>
    <x v="19"/>
    <x v="2"/>
    <s v="A.MELIP"/>
    <n v="220"/>
    <n v="6.4089999999999998E-3"/>
    <x v="2"/>
    <n v="39.145000000000003"/>
    <x v="0"/>
    <x v="0"/>
    <n v="1.0325599999999999"/>
    <s v="SISTEMA E"/>
    <n v="0.25904896773079999"/>
  </r>
  <r>
    <x v="19"/>
    <x v="2"/>
    <s v="A.MELIP"/>
    <n v="220"/>
    <n v="6.4089999999999998E-3"/>
    <x v="3"/>
    <n v="38.646999999999998"/>
    <x v="0"/>
    <x v="0"/>
    <n v="1.0325599999999999"/>
    <s v="SISTEMA E"/>
    <n v="0.25575336456488001"/>
  </r>
  <r>
    <x v="19"/>
    <x v="2"/>
    <s v="A.MELIP"/>
    <n v="220"/>
    <n v="6.4089999999999998E-3"/>
    <x v="4"/>
    <n v="49.831000000000003"/>
    <x v="0"/>
    <x v="0"/>
    <n v="1.0325599999999999"/>
    <s v="SISTEMA E"/>
    <n v="0.32976546458023998"/>
  </r>
  <r>
    <x v="19"/>
    <x v="2"/>
    <s v="A.MELIP"/>
    <n v="220"/>
    <n v="6.4089999999999998E-3"/>
    <x v="5"/>
    <n v="61.533000000000001"/>
    <x v="0"/>
    <x v="0"/>
    <n v="1.0325599999999999"/>
    <s v="SISTEMA E"/>
    <n v="0.40720552130232002"/>
  </r>
  <r>
    <x v="19"/>
    <x v="2"/>
    <s v="A.MELIP"/>
    <n v="220"/>
    <n v="6.4089999999999998E-3"/>
    <x v="0"/>
    <n v="70.548000000000002"/>
    <x v="1"/>
    <x v="0"/>
    <n v="1.0325599999999999"/>
    <s v="SISTEMA E"/>
    <n v="0.46686387981791988"/>
  </r>
  <r>
    <x v="19"/>
    <x v="2"/>
    <s v="A.MELIP"/>
    <n v="220"/>
    <n v="6.4089999999999998E-3"/>
    <x v="1"/>
    <n v="63.55"/>
    <x v="1"/>
    <x v="0"/>
    <n v="1.0325599999999999"/>
    <s v="SISTEMA E"/>
    <n v="0.42055337589199993"/>
  </r>
  <r>
    <x v="19"/>
    <x v="2"/>
    <s v="A.MELIP"/>
    <n v="220"/>
    <n v="6.4089999999999998E-3"/>
    <x v="2"/>
    <n v="32.978000000000002"/>
    <x v="1"/>
    <x v="0"/>
    <n v="1.0325599999999999"/>
    <s v="SISTEMA E"/>
    <n v="0.21823775342512"/>
  </r>
  <r>
    <x v="19"/>
    <x v="2"/>
    <s v="A.MELIP"/>
    <n v="220"/>
    <n v="6.4089999999999998E-3"/>
    <x v="3"/>
    <n v="31.867000000000001"/>
    <x v="1"/>
    <x v="0"/>
    <n v="1.0325599999999999"/>
    <s v="SISTEMA E"/>
    <n v="0.21088551423367999"/>
  </r>
  <r>
    <x v="19"/>
    <x v="2"/>
    <s v="A.MELIP"/>
    <n v="220"/>
    <n v="6.4089999999999998E-3"/>
    <x v="4"/>
    <n v="51.658000000000001"/>
    <x v="1"/>
    <x v="0"/>
    <n v="1.0325599999999999"/>
    <s v="SISTEMA E"/>
    <n v="0.34185596053231992"/>
  </r>
  <r>
    <x v="19"/>
    <x v="2"/>
    <s v="A.MELIP"/>
    <n v="220"/>
    <n v="6.4089999999999998E-3"/>
    <x v="5"/>
    <n v="88.040999999999997"/>
    <x v="1"/>
    <x v="0"/>
    <n v="1.0325599999999999"/>
    <s v="SISTEMA E"/>
    <n v="0.58262690427863983"/>
  </r>
  <r>
    <x v="19"/>
    <x v="2"/>
    <s v="CHARRUA"/>
    <n v="220"/>
    <n v="9.5560000000000003E-3"/>
    <x v="0"/>
    <n v="54.328000000000003"/>
    <x v="0"/>
    <x v="0"/>
    <n v="1.0325599999999999"/>
    <s v="SISTEMA E"/>
    <n v="0.53606216446207999"/>
  </r>
  <r>
    <x v="19"/>
    <x v="2"/>
    <s v="CHARRUA"/>
    <n v="220"/>
    <n v="9.5560000000000003E-3"/>
    <x v="1"/>
    <n v="54.436999999999998"/>
    <x v="0"/>
    <x v="0"/>
    <n v="1.0325599999999999"/>
    <s v="SISTEMA E"/>
    <n v="0.53713768308831999"/>
  </r>
  <r>
    <x v="19"/>
    <x v="2"/>
    <s v="CHARRUA"/>
    <n v="220"/>
    <n v="9.5560000000000003E-3"/>
    <x v="2"/>
    <n v="39.161000000000001"/>
    <x v="0"/>
    <x v="0"/>
    <n v="1.0325599999999999"/>
    <s v="SISTEMA E"/>
    <n v="0.38640720112096"/>
  </r>
  <r>
    <x v="19"/>
    <x v="2"/>
    <s v="CHARRUA"/>
    <n v="220"/>
    <n v="9.5560000000000003E-3"/>
    <x v="3"/>
    <n v="38.674999999999997"/>
    <x v="0"/>
    <x v="0"/>
    <n v="1.0325599999999999"/>
    <s v="SISTEMA E"/>
    <n v="0.38161176944800002"/>
  </r>
  <r>
    <x v="19"/>
    <x v="2"/>
    <s v="CHARRUA"/>
    <n v="220"/>
    <n v="9.5560000000000003E-3"/>
    <x v="4"/>
    <n v="49.055"/>
    <x v="0"/>
    <x v="0"/>
    <n v="1.0325599999999999"/>
    <s v="SISTEMA E"/>
    <n v="0.48403271752479998"/>
  </r>
  <r>
    <x v="19"/>
    <x v="2"/>
    <s v="CHARRUA"/>
    <n v="220"/>
    <n v="9.5560000000000003E-3"/>
    <x v="5"/>
    <n v="58.87"/>
    <x v="0"/>
    <x v="0"/>
    <n v="1.0325599999999999"/>
    <s v="SISTEMA E"/>
    <n v="0.58087872960319997"/>
  </r>
  <r>
    <x v="19"/>
    <x v="2"/>
    <s v="CHARRUA"/>
    <n v="220"/>
    <n v="9.5560000000000003E-3"/>
    <x v="0"/>
    <n v="65.05"/>
    <x v="1"/>
    <x v="0"/>
    <n v="1.0325599999999999"/>
    <s v="SISTEMA E"/>
    <n v="0.641857675568"/>
  </r>
  <r>
    <x v="19"/>
    <x v="2"/>
    <s v="CHARRUA"/>
    <n v="220"/>
    <n v="9.5560000000000003E-3"/>
    <x v="1"/>
    <n v="60.055999999999997"/>
    <x v="1"/>
    <x v="0"/>
    <n v="1.0325599999999999"/>
    <s v="SISTEMA E"/>
    <n v="0.59258116162815988"/>
  </r>
  <r>
    <x v="19"/>
    <x v="2"/>
    <s v="CHARRUA"/>
    <n v="220"/>
    <n v="9.5560000000000003E-3"/>
    <x v="2"/>
    <n v="33.075000000000003"/>
    <x v="1"/>
    <x v="0"/>
    <n v="1.0325599999999999"/>
    <s v="SISTEMA E"/>
    <n v="0.326355766632"/>
  </r>
  <r>
    <x v="19"/>
    <x v="2"/>
    <s v="CHARRUA"/>
    <n v="220"/>
    <n v="9.5560000000000003E-3"/>
    <x v="3"/>
    <n v="32.075000000000003"/>
    <x v="1"/>
    <x v="0"/>
    <n v="1.0325599999999999"/>
    <s v="SISTEMA E"/>
    <n v="0.316488623272"/>
  </r>
  <r>
    <x v="19"/>
    <x v="2"/>
    <s v="CHARRUA"/>
    <n v="220"/>
    <n v="9.5560000000000003E-3"/>
    <x v="4"/>
    <n v="50.77"/>
    <x v="1"/>
    <x v="0"/>
    <n v="1.0325599999999999"/>
    <s v="SISTEMA E"/>
    <n v="0.50095486838719994"/>
  </r>
  <r>
    <x v="19"/>
    <x v="2"/>
    <s v="CHARRUA"/>
    <n v="220"/>
    <n v="9.5560000000000003E-3"/>
    <x v="5"/>
    <n v="78.662999999999997"/>
    <x v="1"/>
    <x v="0"/>
    <n v="1.0325599999999999"/>
    <s v="SISTEMA E"/>
    <n v="0.77617909812767993"/>
  </r>
  <r>
    <x v="19"/>
    <x v="2"/>
    <s v="ITAHUE"/>
    <n v="220"/>
    <n v="0.38756499999999999"/>
    <x v="0"/>
    <n v="55.128"/>
    <x v="0"/>
    <x v="0"/>
    <n v="1.0325599999999999"/>
    <s v="SISTEMA E"/>
    <n v="22.061349968899201"/>
  </r>
  <r>
    <x v="19"/>
    <x v="2"/>
    <s v="ITAHUE"/>
    <n v="220"/>
    <n v="0.38756499999999999"/>
    <x v="1"/>
    <n v="55.256999999999998"/>
    <x v="0"/>
    <x v="0"/>
    <n v="1.0325599999999999"/>
    <s v="SISTEMA E"/>
    <n v="22.112973719914802"/>
  </r>
  <r>
    <x v="19"/>
    <x v="2"/>
    <s v="ITAHUE"/>
    <n v="220"/>
    <n v="0.38756499999999999"/>
    <x v="2"/>
    <n v="39.152000000000001"/>
    <x v="0"/>
    <x v="0"/>
    <n v="1.0325599999999999"/>
    <s v="SISTEMA E"/>
    <n v="15.6680085252928"/>
  </r>
  <r>
    <x v="19"/>
    <x v="2"/>
    <s v="ITAHUE"/>
    <n v="220"/>
    <n v="0.38756499999999999"/>
    <x v="3"/>
    <n v="38.615000000000002"/>
    <x v="0"/>
    <x v="0"/>
    <n v="1.0325599999999999"/>
    <s v="SISTEMA E"/>
    <n v="15.453109654785999"/>
  </r>
  <r>
    <x v="19"/>
    <x v="2"/>
    <s v="ITAHUE"/>
    <n v="220"/>
    <n v="0.38756499999999999"/>
    <x v="4"/>
    <n v="46.902000000000001"/>
    <x v="0"/>
    <x v="0"/>
    <n v="1.0325599999999999"/>
    <s v="SISTEMA E"/>
    <n v="18.7694354273928"/>
  </r>
  <r>
    <x v="19"/>
    <x v="2"/>
    <s v="ITAHUE"/>
    <n v="220"/>
    <n v="0.38756499999999999"/>
    <x v="5"/>
    <n v="58.256"/>
    <x v="0"/>
    <x v="0"/>
    <n v="1.0325599999999999"/>
    <s v="SISTEMA E"/>
    <n v="23.313125884998399"/>
  </r>
  <r>
    <x v="19"/>
    <x v="2"/>
    <s v="ITAHUE"/>
    <n v="220"/>
    <n v="0.38756499999999999"/>
    <x v="0"/>
    <n v="66.899000000000001"/>
    <x v="1"/>
    <x v="0"/>
    <n v="1.0325599999999999"/>
    <s v="SISTEMA E"/>
    <n v="26.7719172030436"/>
  </r>
  <r>
    <x v="19"/>
    <x v="2"/>
    <s v="ITAHUE"/>
    <n v="220"/>
    <n v="0.38756499999999999"/>
    <x v="1"/>
    <n v="61.454000000000001"/>
    <x v="1"/>
    <x v="0"/>
    <n v="1.0325599999999999"/>
    <s v="SISTEMA E"/>
    <n v="24.5929146892456"/>
  </r>
  <r>
    <x v="19"/>
    <x v="2"/>
    <s v="ITAHUE"/>
    <n v="220"/>
    <n v="0.38756499999999999"/>
    <x v="2"/>
    <n v="32.872"/>
    <x v="1"/>
    <x v="0"/>
    <n v="1.0325599999999999"/>
    <s v="SISTEMA E"/>
    <n v="13.154852274300801"/>
  </r>
  <r>
    <x v="19"/>
    <x v="2"/>
    <s v="ITAHUE"/>
    <n v="220"/>
    <n v="0.38756499999999999"/>
    <x v="3"/>
    <n v="31.65"/>
    <x v="1"/>
    <x v="0"/>
    <n v="1.0325599999999999"/>
    <s v="SISTEMA E"/>
    <n v="12.665827284060001"/>
  </r>
  <r>
    <x v="19"/>
    <x v="2"/>
    <s v="ITAHUE"/>
    <n v="220"/>
    <n v="0.38756499999999999"/>
    <x v="4"/>
    <n v="46.981999999999999"/>
    <x v="1"/>
    <x v="0"/>
    <n v="1.0325599999999999"/>
    <s v="SISTEMA E"/>
    <n v="18.801450156704799"/>
  </r>
  <r>
    <x v="19"/>
    <x v="2"/>
    <s v="ITAHUE"/>
    <n v="220"/>
    <n v="0.38756499999999999"/>
    <x v="5"/>
    <n v="79.751999999999995"/>
    <x v="1"/>
    <x v="0"/>
    <n v="1.0325599999999999"/>
    <s v="SISTEMA E"/>
    <n v="31.915483651132799"/>
  </r>
  <r>
    <x v="19"/>
    <x v="2"/>
    <s v="RAPEL"/>
    <n v="220"/>
    <n v="2.5479999999999999E-3"/>
    <x v="0"/>
    <n v="55.825000000000003"/>
    <x v="0"/>
    <x v="0"/>
    <n v="1.0325599999999999"/>
    <s v="SISTEMA E"/>
    <n v="0.146873502776"/>
  </r>
  <r>
    <x v="19"/>
    <x v="2"/>
    <s v="RAPEL"/>
    <n v="220"/>
    <n v="2.5479999999999999E-3"/>
    <x v="1"/>
    <n v="56.061999999999998"/>
    <x v="0"/>
    <x v="0"/>
    <n v="1.0325599999999999"/>
    <s v="SISTEMA E"/>
    <n v="0.14749704097856001"/>
  </r>
  <r>
    <x v="19"/>
    <x v="2"/>
    <s v="RAPEL"/>
    <n v="220"/>
    <n v="2.5479999999999999E-3"/>
    <x v="2"/>
    <n v="39.136000000000003"/>
    <x v="0"/>
    <x v="0"/>
    <n v="1.0325599999999999"/>
    <s v="SISTEMA E"/>
    <n v="0.10296536327168"/>
  </r>
  <r>
    <x v="19"/>
    <x v="2"/>
    <s v="RAPEL"/>
    <n v="220"/>
    <n v="2.5479999999999999E-3"/>
    <x v="3"/>
    <n v="38.625"/>
    <x v="0"/>
    <x v="0"/>
    <n v="1.0325599999999999"/>
    <s v="SISTEMA E"/>
    <n v="0.10162094124"/>
  </r>
  <r>
    <x v="19"/>
    <x v="2"/>
    <s v="RAPEL"/>
    <n v="220"/>
    <n v="2.5479999999999999E-3"/>
    <x v="4"/>
    <n v="49.764000000000003"/>
    <x v="0"/>
    <x v="0"/>
    <n v="1.0325599999999999"/>
    <s v="SISTEMA E"/>
    <n v="0.13092723676032"/>
  </r>
  <r>
    <x v="19"/>
    <x v="2"/>
    <s v="RAPEL"/>
    <n v="220"/>
    <n v="2.5479999999999999E-3"/>
    <x v="5"/>
    <n v="61.481999999999999"/>
    <x v="0"/>
    <x v="0"/>
    <n v="1.0325599999999999"/>
    <s v="SISTEMA E"/>
    <n v="0.16175685978816001"/>
  </r>
  <r>
    <x v="19"/>
    <x v="2"/>
    <s v="RAPEL"/>
    <n v="220"/>
    <n v="2.5479999999999999E-3"/>
    <x v="0"/>
    <n v="70.069000000000003"/>
    <x v="1"/>
    <x v="0"/>
    <n v="1.0325599999999999"/>
    <s v="SISTEMA E"/>
    <n v="0.18434893803871999"/>
  </r>
  <r>
    <x v="19"/>
    <x v="2"/>
    <s v="RAPEL"/>
    <n v="220"/>
    <n v="2.5479999999999999E-3"/>
    <x v="1"/>
    <n v="63.207000000000001"/>
    <x v="1"/>
    <x v="0"/>
    <n v="1.0325599999999999"/>
    <s v="SISTEMA E"/>
    <n v="0.16629527075615999"/>
  </r>
  <r>
    <x v="19"/>
    <x v="2"/>
    <s v="RAPEL"/>
    <n v="220"/>
    <n v="2.5479999999999999E-3"/>
    <x v="2"/>
    <n v="32.453000000000003"/>
    <x v="1"/>
    <x v="0"/>
    <n v="1.0325599999999999"/>
    <s v="SISTEMA E"/>
    <n v="8.5382638344640008E-2"/>
  </r>
  <r>
    <x v="19"/>
    <x v="2"/>
    <s v="RAPEL"/>
    <n v="220"/>
    <n v="2.5479999999999999E-3"/>
    <x v="3"/>
    <n v="30.672000000000001"/>
    <x v="1"/>
    <x v="0"/>
    <n v="1.0325599999999999"/>
    <s v="SISTEMA E"/>
    <n v="8.0696893455359991E-2"/>
  </r>
  <r>
    <x v="19"/>
    <x v="2"/>
    <s v="RAPEL"/>
    <n v="220"/>
    <n v="2.5479999999999999E-3"/>
    <x v="4"/>
    <n v="51.459000000000003"/>
    <x v="1"/>
    <x v="0"/>
    <n v="1.0325599999999999"/>
    <s v="SISTEMA E"/>
    <n v="0.13538671884192"/>
  </r>
  <r>
    <x v="19"/>
    <x v="2"/>
    <s v="RAPEL"/>
    <n v="220"/>
    <n v="2.5479999999999999E-3"/>
    <x v="5"/>
    <n v="87.926000000000002"/>
    <x v="1"/>
    <x v="0"/>
    <n v="1.0325599999999999"/>
    <s v="SISTEMA E"/>
    <n v="0.23133004218688"/>
  </r>
  <r>
    <x v="20"/>
    <x v="2"/>
    <s v="CAUTIN"/>
    <n v="220"/>
    <n v="3.2744000000000002E-2"/>
    <x v="0"/>
    <n v="53.277000000000001"/>
    <x v="0"/>
    <x v="0"/>
    <n v="1.0325599999999999"/>
    <s v="SISTEMA E"/>
    <n v="1.8013030759852799"/>
  </r>
  <r>
    <x v="20"/>
    <x v="2"/>
    <s v="CAUTIN"/>
    <n v="220"/>
    <n v="3.2744000000000002E-2"/>
    <x v="1"/>
    <n v="53.445999999999998"/>
    <x v="0"/>
    <x v="0"/>
    <n v="1.0325599999999999"/>
    <s v="SISTEMA E"/>
    <n v="1.80701699042944"/>
  </r>
  <r>
    <x v="20"/>
    <x v="2"/>
    <s v="CAUTIN"/>
    <n v="220"/>
    <n v="3.2744000000000002E-2"/>
    <x v="2"/>
    <n v="39.104999999999997"/>
    <x v="0"/>
    <x v="0"/>
    <n v="1.0325599999999999"/>
    <s v="SISTEMA E"/>
    <n v="1.3221457061472"/>
  </r>
  <r>
    <x v="20"/>
    <x v="2"/>
    <s v="CAUTIN"/>
    <n v="220"/>
    <n v="3.2744000000000002E-2"/>
    <x v="3"/>
    <n v="38.667000000000002"/>
    <x v="0"/>
    <x v="0"/>
    <n v="1.0325599999999999"/>
    <s v="SISTEMA E"/>
    <n v="1.30733686279488"/>
  </r>
  <r>
    <x v="20"/>
    <x v="2"/>
    <s v="CAUTIN"/>
    <n v="220"/>
    <n v="3.2744000000000002E-2"/>
    <x v="4"/>
    <n v="49.026000000000003"/>
    <x v="0"/>
    <x v="0"/>
    <n v="1.0325599999999999"/>
    <s v="SISTEMA E"/>
    <n v="1.6575761511206399"/>
  </r>
  <r>
    <x v="20"/>
    <x v="2"/>
    <s v="CAUTIN"/>
    <n v="220"/>
    <n v="3.2744000000000002E-2"/>
    <x v="5"/>
    <n v="57.997"/>
    <x v="0"/>
    <x v="0"/>
    <n v="1.0325599999999999"/>
    <s v="SISTEMA E"/>
    <n v="1.96088695868608"/>
  </r>
  <r>
    <x v="20"/>
    <x v="2"/>
    <s v="CAUTIN"/>
    <n v="220"/>
    <n v="3.2744000000000002E-2"/>
    <x v="0"/>
    <n v="63.264000000000003"/>
    <x v="1"/>
    <x v="0"/>
    <n v="1.0325599999999999"/>
    <s v="SISTEMA E"/>
    <n v="2.1389649905049599"/>
  </r>
  <r>
    <x v="20"/>
    <x v="2"/>
    <s v="CAUTIN"/>
    <n v="220"/>
    <n v="3.2744000000000002E-2"/>
    <x v="1"/>
    <n v="58.51"/>
    <x v="1"/>
    <x v="0"/>
    <n v="1.0325599999999999"/>
    <s v="SISTEMA E"/>
    <n v="1.9782315628864"/>
  </r>
  <r>
    <x v="20"/>
    <x v="2"/>
    <s v="CAUTIN"/>
    <n v="220"/>
    <n v="3.2744000000000002E-2"/>
    <x v="2"/>
    <n v="32.847999999999999"/>
    <x v="1"/>
    <x v="0"/>
    <n v="1.0325599999999999"/>
    <s v="SISTEMA E"/>
    <n v="1.11059563113472"/>
  </r>
  <r>
    <x v="20"/>
    <x v="2"/>
    <s v="CAUTIN"/>
    <n v="220"/>
    <n v="3.2744000000000002E-2"/>
    <x v="3"/>
    <n v="32.058"/>
    <x v="1"/>
    <x v="0"/>
    <n v="1.0325599999999999"/>
    <s v="SISTEMA E"/>
    <n v="1.08388561686912"/>
  </r>
  <r>
    <x v="20"/>
    <x v="2"/>
    <s v="CAUTIN"/>
    <n v="220"/>
    <n v="3.2744000000000002E-2"/>
    <x v="4"/>
    <n v="50.432000000000002"/>
    <x v="1"/>
    <x v="0"/>
    <n v="1.0325599999999999"/>
    <s v="SISTEMA E"/>
    <n v="1.7051132144844801"/>
  </r>
  <r>
    <x v="20"/>
    <x v="2"/>
    <s v="CAUTIN"/>
    <n v="220"/>
    <n v="3.2744000000000002E-2"/>
    <x v="5"/>
    <n v="76.081000000000003"/>
    <x v="1"/>
    <x v="0"/>
    <n v="1.0325599999999999"/>
    <s v="SISTEMA E"/>
    <n v="2.5723096143558402"/>
  </r>
  <r>
    <x v="20"/>
    <x v="2"/>
    <s v="CHARRUA"/>
    <n v="220"/>
    <n v="0.95984999999999998"/>
    <x v="0"/>
    <n v="54.328000000000003"/>
    <x v="0"/>
    <x v="0"/>
    <n v="1.0325599999999999"/>
    <s v="SISTEMA E"/>
    <n v="53.844628354847998"/>
  </r>
  <r>
    <x v="20"/>
    <x v="2"/>
    <s v="CHARRUA"/>
    <n v="220"/>
    <n v="0.95984999999999998"/>
    <x v="1"/>
    <n v="54.436999999999998"/>
    <x v="0"/>
    <x v="0"/>
    <n v="1.0325599999999999"/>
    <s v="SISTEMA E"/>
    <n v="53.952658550891989"/>
  </r>
  <r>
    <x v="20"/>
    <x v="2"/>
    <s v="CHARRUA"/>
    <n v="220"/>
    <n v="0.95984999999999998"/>
    <x v="2"/>
    <n v="39.161000000000001"/>
    <x v="0"/>
    <x v="0"/>
    <n v="1.0325599999999999"/>
    <s v="SISTEMA E"/>
    <n v="38.812573461276003"/>
  </r>
  <r>
    <x v="20"/>
    <x v="2"/>
    <s v="CHARRUA"/>
    <n v="220"/>
    <n v="0.95984999999999998"/>
    <x v="3"/>
    <n v="38.674999999999997"/>
    <x v="0"/>
    <x v="0"/>
    <n v="1.0325599999999999"/>
    <s v="SISTEMA E"/>
    <n v="38.33089754129999"/>
  </r>
  <r>
    <x v="20"/>
    <x v="2"/>
    <s v="CHARRUA"/>
    <n v="220"/>
    <n v="0.95984999999999998"/>
    <x v="4"/>
    <n v="49.055"/>
    <x v="0"/>
    <x v="0"/>
    <n v="1.0325599999999999"/>
    <s v="SISTEMA E"/>
    <n v="48.618543733380001"/>
  </r>
  <r>
    <x v="20"/>
    <x v="2"/>
    <s v="CHARRUA"/>
    <n v="220"/>
    <n v="0.95984999999999998"/>
    <x v="5"/>
    <n v="58.87"/>
    <x v="0"/>
    <x v="0"/>
    <n v="1.0325599999999999"/>
    <s v="SISTEMA E"/>
    <n v="58.34621689091999"/>
  </r>
  <r>
    <x v="20"/>
    <x v="2"/>
    <s v="CHARRUA"/>
    <n v="220"/>
    <n v="0.95984999999999998"/>
    <x v="0"/>
    <n v="65.05"/>
    <x v="1"/>
    <x v="0"/>
    <n v="1.0325599999999999"/>
    <s v="SISTEMA E"/>
    <n v="64.471231675799984"/>
  </r>
  <r>
    <x v="20"/>
    <x v="2"/>
    <s v="CHARRUA"/>
    <n v="220"/>
    <n v="0.95984999999999998"/>
    <x v="1"/>
    <n v="60.055999999999997"/>
    <x v="1"/>
    <x v="0"/>
    <n v="1.0325599999999999"/>
    <s v="SISTEMA E"/>
    <n v="59.521664712095998"/>
  </r>
  <r>
    <x v="20"/>
    <x v="2"/>
    <s v="CHARRUA"/>
    <n v="220"/>
    <n v="0.95984999999999998"/>
    <x v="2"/>
    <n v="33.075000000000003"/>
    <x v="1"/>
    <x v="0"/>
    <n v="1.0325599999999999"/>
    <s v="SISTEMA E"/>
    <n v="32.780722331699998"/>
  </r>
  <r>
    <x v="20"/>
    <x v="2"/>
    <s v="CHARRUA"/>
    <n v="220"/>
    <n v="0.95984999999999998"/>
    <x v="3"/>
    <n v="32.075000000000003"/>
    <x v="1"/>
    <x v="0"/>
    <n v="1.0325599999999999"/>
    <s v="SISTEMA E"/>
    <n v="31.789619615700001"/>
  </r>
  <r>
    <x v="20"/>
    <x v="2"/>
    <s v="CHARRUA"/>
    <n v="220"/>
    <n v="0.95984999999999998"/>
    <x v="4"/>
    <n v="50.77"/>
    <x v="1"/>
    <x v="0"/>
    <n v="1.0325599999999999"/>
    <s v="SISTEMA E"/>
    <n v="50.318284891319998"/>
  </r>
  <r>
    <x v="20"/>
    <x v="2"/>
    <s v="CHARRUA"/>
    <n v="220"/>
    <n v="0.95984999999999998"/>
    <x v="5"/>
    <n v="78.662999999999997"/>
    <x v="1"/>
    <x v="0"/>
    <n v="1.0325599999999999"/>
    <s v="SISTEMA E"/>
    <n v="77.963112948707987"/>
  </r>
  <r>
    <x v="20"/>
    <x v="2"/>
    <s v="TEMUCO"/>
    <n v="220"/>
    <n v="7.4060000000000003E-3"/>
    <x v="0"/>
    <n v="53.829000000000001"/>
    <x v="0"/>
    <x v="0"/>
    <n v="1.0325599999999999"/>
    <s v="SISTEMA E"/>
    <n v="0.41163786460944002"/>
  </r>
  <r>
    <x v="20"/>
    <x v="2"/>
    <s v="TEMUCO"/>
    <n v="220"/>
    <n v="7.4060000000000003E-3"/>
    <x v="1"/>
    <n v="53.953000000000003"/>
    <x v="0"/>
    <x v="0"/>
    <n v="1.0325599999999999"/>
    <s v="SISTEMA E"/>
    <n v="0.41258610989007999"/>
  </r>
  <r>
    <x v="20"/>
    <x v="2"/>
    <s v="TEMUCO"/>
    <n v="220"/>
    <n v="7.4060000000000003E-3"/>
    <x v="2"/>
    <n v="39.148000000000003"/>
    <x v="0"/>
    <x v="0"/>
    <n v="1.0325599999999999"/>
    <s v="SISTEMA E"/>
    <n v="0.29937021166527999"/>
  </r>
  <r>
    <x v="20"/>
    <x v="2"/>
    <s v="TEMUCO"/>
    <n v="220"/>
    <n v="7.4060000000000003E-3"/>
    <x v="3"/>
    <n v="38.685000000000002"/>
    <x v="0"/>
    <x v="0"/>
    <n v="1.0325599999999999"/>
    <s v="SISTEMA E"/>
    <n v="0.29582958614159999"/>
  </r>
  <r>
    <x v="20"/>
    <x v="2"/>
    <s v="TEMUCO"/>
    <n v="220"/>
    <n v="7.4060000000000003E-3"/>
    <x v="4"/>
    <n v="48.414000000000001"/>
    <x v="0"/>
    <x v="0"/>
    <n v="1.0325599999999999"/>
    <s v="SISTEMA E"/>
    <n v="0.37022860497504001"/>
  </r>
  <r>
    <x v="20"/>
    <x v="2"/>
    <s v="TEMUCO"/>
    <n v="220"/>
    <n v="7.4060000000000003E-3"/>
    <x v="5"/>
    <n v="58.081000000000003"/>
    <x v="0"/>
    <x v="0"/>
    <n v="1.0325599999999999"/>
    <s v="SISTEMA E"/>
    <n v="0.44415350116815999"/>
  </r>
  <r>
    <x v="20"/>
    <x v="2"/>
    <s v="TEMUCO"/>
    <n v="220"/>
    <n v="7.4060000000000003E-3"/>
    <x v="0"/>
    <n v="63.616"/>
    <x v="1"/>
    <x v="0"/>
    <n v="1.0325599999999999"/>
    <s v="SISTEMA E"/>
    <n v="0.48648041752575999"/>
  </r>
  <r>
    <x v="20"/>
    <x v="2"/>
    <s v="TEMUCO"/>
    <n v="220"/>
    <n v="7.4060000000000003E-3"/>
    <x v="1"/>
    <n v="58.975000000000001"/>
    <x v="1"/>
    <x v="0"/>
    <n v="1.0325599999999999"/>
    <s v="SISTEMA E"/>
    <n v="0.45099004375599999"/>
  </r>
  <r>
    <x v="20"/>
    <x v="2"/>
    <s v="TEMUCO"/>
    <n v="220"/>
    <n v="7.4060000000000003E-3"/>
    <x v="2"/>
    <n v="33.026000000000003"/>
    <x v="1"/>
    <x v="0"/>
    <n v="1.0325599999999999"/>
    <s v="SISTEMA E"/>
    <n v="0.25255442450336002"/>
  </r>
  <r>
    <x v="20"/>
    <x v="2"/>
    <s v="TEMUCO"/>
    <n v="220"/>
    <n v="7.4060000000000003E-3"/>
    <x v="3"/>
    <n v="32.063000000000002"/>
    <x v="1"/>
    <x v="0"/>
    <n v="1.0325599999999999"/>
    <s v="SISTEMA E"/>
    <n v="0.24519022929968001"/>
  </r>
  <r>
    <x v="20"/>
    <x v="2"/>
    <s v="TEMUCO"/>
    <n v="220"/>
    <n v="7.4060000000000003E-3"/>
    <x v="4"/>
    <n v="49.460999999999999"/>
    <x v="1"/>
    <x v="0"/>
    <n v="1.0325599999999999"/>
    <s v="SISTEMA E"/>
    <n v="0.37823515988495998"/>
  </r>
  <r>
    <x v="20"/>
    <x v="2"/>
    <s v="TEMUCO"/>
    <n v="220"/>
    <n v="7.4060000000000003E-3"/>
    <x v="5"/>
    <n v="76.272000000000006"/>
    <x v="1"/>
    <x v="0"/>
    <n v="1.0325599999999999"/>
    <s v="SISTEMA E"/>
    <n v="0.58326261326591999"/>
  </r>
  <r>
    <x v="21"/>
    <x v="1"/>
    <s v="A.JAHUEL"/>
    <n v="220"/>
    <n v="1.273E-3"/>
    <x v="0"/>
    <n v="55.936"/>
    <x v="0"/>
    <x v="0"/>
    <n v="1.0325599999999999"/>
    <s v="SISTEMA E"/>
    <n v="7.3525012551679994E-2"/>
  </r>
  <r>
    <x v="21"/>
    <x v="1"/>
    <s v="A.JAHUEL"/>
    <n v="220"/>
    <n v="1.273E-3"/>
    <x v="1"/>
    <n v="56.033999999999999"/>
    <x v="0"/>
    <x v="0"/>
    <n v="1.0325599999999999"/>
    <s v="SISTEMA E"/>
    <n v="7.3653828541919986E-2"/>
  </r>
  <r>
    <x v="21"/>
    <x v="1"/>
    <s v="A.JAHUEL"/>
    <n v="220"/>
    <n v="1.273E-3"/>
    <x v="2"/>
    <n v="39.116999999999997"/>
    <x v="0"/>
    <x v="0"/>
    <n v="1.0325599999999999"/>
    <s v="SISTEMA E"/>
    <n v="5.1417296838959993E-2"/>
  </r>
  <r>
    <x v="21"/>
    <x v="1"/>
    <s v="A.JAHUEL"/>
    <n v="220"/>
    <n v="1.273E-3"/>
    <x v="3"/>
    <n v="38.668999999999997"/>
    <x v="0"/>
    <x v="0"/>
    <n v="1.0325599999999999"/>
    <s v="SISTEMA E"/>
    <n v="5.082842374071999E-2"/>
  </r>
  <r>
    <x v="21"/>
    <x v="1"/>
    <s v="A.JAHUEL"/>
    <n v="220"/>
    <n v="1.273E-3"/>
    <x v="4"/>
    <n v="51.475999999999999"/>
    <x v="0"/>
    <x v="0"/>
    <n v="1.0325599999999999"/>
    <s v="SISTEMA E"/>
    <n v="6.7662570546880005E-2"/>
  </r>
  <r>
    <x v="21"/>
    <x v="1"/>
    <s v="A.JAHUEL"/>
    <n v="220"/>
    <n v="1.273E-3"/>
    <x v="5"/>
    <n v="62.256999999999998"/>
    <x v="0"/>
    <x v="0"/>
    <n v="1.0325599999999999"/>
    <s v="SISTEMA E"/>
    <n v="8.1833643922159999E-2"/>
  </r>
  <r>
    <x v="21"/>
    <x v="1"/>
    <s v="A.JAHUEL"/>
    <n v="220"/>
    <n v="1.273E-3"/>
    <x v="0"/>
    <n v="69.262"/>
    <x v="1"/>
    <x v="0"/>
    <n v="1.0325599999999999"/>
    <s v="SISTEMA E"/>
    <n v="9.104135832655999E-2"/>
  </r>
  <r>
    <x v="21"/>
    <x v="1"/>
    <s v="A.JAHUEL"/>
    <n v="220"/>
    <n v="1.273E-3"/>
    <x v="1"/>
    <n v="62.783000000000001"/>
    <x v="1"/>
    <x v="0"/>
    <n v="1.0325599999999999"/>
    <s v="SISTEMA E"/>
    <n v="8.2525044033040007E-2"/>
  </r>
  <r>
    <x v="21"/>
    <x v="1"/>
    <s v="A.JAHUEL"/>
    <n v="220"/>
    <n v="1.273E-3"/>
    <x v="2"/>
    <n v="32.915999999999997"/>
    <x v="1"/>
    <x v="0"/>
    <n v="1.0325599999999999"/>
    <s v="SISTEMA E"/>
    <n v="4.3266399334079997E-2"/>
  </r>
  <r>
    <x v="21"/>
    <x v="1"/>
    <s v="A.JAHUEL"/>
    <n v="220"/>
    <n v="1.273E-3"/>
    <x v="3"/>
    <n v="32.179000000000002"/>
    <x v="1"/>
    <x v="0"/>
    <n v="1.0325599999999999"/>
    <s v="SISTEMA E"/>
    <n v="4.2297650509519988E-2"/>
  </r>
  <r>
    <x v="21"/>
    <x v="1"/>
    <s v="A.JAHUEL"/>
    <n v="220"/>
    <n v="1.273E-3"/>
    <x v="4"/>
    <n v="54.389000000000003"/>
    <x v="1"/>
    <x v="0"/>
    <n v="1.0325599999999999"/>
    <s v="SISTEMA E"/>
    <n v="7.1491560134319995E-2"/>
  </r>
  <r>
    <x v="21"/>
    <x v="1"/>
    <s v="A.JAHUEL"/>
    <n v="220"/>
    <n v="1.273E-3"/>
    <x v="5"/>
    <n v="88.427000000000007"/>
    <x v="1"/>
    <x v="0"/>
    <n v="1.0325599999999999"/>
    <s v="SISTEMA E"/>
    <n v="0.11623277111176"/>
  </r>
  <r>
    <x v="21"/>
    <x v="1"/>
    <s v="A.MELIP"/>
    <n v="220"/>
    <n v="0.168714"/>
    <x v="0"/>
    <n v="56.027999999999999"/>
    <x v="0"/>
    <x v="0"/>
    <n v="1.0325599999999999"/>
    <s v="SISTEMA E"/>
    <n v="9.7604881642195203"/>
  </r>
  <r>
    <x v="21"/>
    <x v="1"/>
    <s v="A.MELIP"/>
    <n v="220"/>
    <n v="0.168714"/>
    <x v="1"/>
    <n v="56.122999999999998"/>
    <x v="0"/>
    <x v="0"/>
    <n v="1.0325599999999999"/>
    <s v="SISTEMA E"/>
    <n v="9.7770378603643184"/>
  </r>
  <r>
    <x v="21"/>
    <x v="1"/>
    <s v="A.MELIP"/>
    <n v="220"/>
    <n v="0.168714"/>
    <x v="2"/>
    <n v="39.145000000000003"/>
    <x v="0"/>
    <x v="0"/>
    <n v="1.0325599999999999"/>
    <s v="SISTEMA E"/>
    <n v="6.8193458482968001"/>
  </r>
  <r>
    <x v="21"/>
    <x v="1"/>
    <s v="A.MELIP"/>
    <n v="220"/>
    <n v="0.168714"/>
    <x v="3"/>
    <n v="38.646999999999998"/>
    <x v="0"/>
    <x v="0"/>
    <n v="1.0325599999999999"/>
    <s v="SISTEMA E"/>
    <n v="6.7325905990324797"/>
  </r>
  <r>
    <x v="21"/>
    <x v="1"/>
    <s v="A.MELIP"/>
    <n v="220"/>
    <n v="0.168714"/>
    <x v="4"/>
    <n v="49.831000000000003"/>
    <x v="0"/>
    <x v="0"/>
    <n v="1.0325599999999999"/>
    <s v="SISTEMA E"/>
    <n v="8.6809253535950415"/>
  </r>
  <r>
    <x v="21"/>
    <x v="1"/>
    <s v="A.MELIP"/>
    <n v="220"/>
    <n v="0.168714"/>
    <x v="5"/>
    <n v="61.533000000000001"/>
    <x v="0"/>
    <x v="0"/>
    <n v="1.0325599999999999"/>
    <s v="SISTEMA E"/>
    <n v="10.719499503978721"/>
  </r>
  <r>
    <x v="21"/>
    <x v="1"/>
    <s v="A.MELIP"/>
    <n v="220"/>
    <n v="0.168714"/>
    <x v="0"/>
    <n v="70.548000000000002"/>
    <x v="1"/>
    <x v="0"/>
    <n v="1.0325599999999999"/>
    <s v="SISTEMA E"/>
    <n v="12.28997856445632"/>
  </r>
  <r>
    <x v="21"/>
    <x v="1"/>
    <s v="A.MELIP"/>
    <n v="220"/>
    <n v="0.168714"/>
    <x v="1"/>
    <n v="63.55"/>
    <x v="1"/>
    <x v="0"/>
    <n v="1.0325599999999999"/>
    <s v="SISTEMA E"/>
    <n v="11.070875684232"/>
  </r>
  <r>
    <x v="21"/>
    <x v="1"/>
    <s v="A.MELIP"/>
    <n v="220"/>
    <n v="0.168714"/>
    <x v="2"/>
    <n v="32.978000000000002"/>
    <x v="1"/>
    <x v="0"/>
    <n v="1.0325599999999999"/>
    <s v="SISTEMA E"/>
    <n v="5.7450092575075198"/>
  </r>
  <r>
    <x v="21"/>
    <x v="1"/>
    <s v="A.MELIP"/>
    <n v="220"/>
    <n v="0.168714"/>
    <x v="3"/>
    <n v="31.867000000000001"/>
    <x v="1"/>
    <x v="0"/>
    <n v="1.0325599999999999"/>
    <s v="SISTEMA E"/>
    <n v="5.55146491627728"/>
  </r>
  <r>
    <x v="21"/>
    <x v="1"/>
    <s v="A.MELIP"/>
    <n v="220"/>
    <n v="0.168714"/>
    <x v="4"/>
    <n v="51.658000000000001"/>
    <x v="1"/>
    <x v="0"/>
    <n v="1.0325599999999999"/>
    <s v="SISTEMA E"/>
    <n v="8.9992021415587189"/>
  </r>
  <r>
    <x v="21"/>
    <x v="1"/>
    <s v="A.MELIP"/>
    <n v="220"/>
    <n v="0.168714"/>
    <x v="5"/>
    <n v="88.040999999999997"/>
    <x v="1"/>
    <x v="0"/>
    <n v="1.0325599999999999"/>
    <s v="SISTEMA E"/>
    <n v="15.337387350361441"/>
  </r>
  <r>
    <x v="21"/>
    <x v="1"/>
    <s v="CHARRUA"/>
    <n v="220"/>
    <n v="2.0049999999999998E-3"/>
    <x v="0"/>
    <n v="54.328000000000003"/>
    <x v="0"/>
    <x v="0"/>
    <n v="1.0325599999999999"/>
    <s v="SISTEMA E"/>
    <n v="0.1124743239584"/>
  </r>
  <r>
    <x v="21"/>
    <x v="1"/>
    <s v="CHARRUA"/>
    <n v="220"/>
    <n v="2.0049999999999998E-3"/>
    <x v="1"/>
    <n v="54.436999999999998"/>
    <x v="0"/>
    <x v="0"/>
    <n v="1.0325599999999999"/>
    <s v="SISTEMA E"/>
    <n v="0.11269998478359999"/>
  </r>
  <r>
    <x v="21"/>
    <x v="1"/>
    <s v="CHARRUA"/>
    <n v="220"/>
    <n v="2.0049999999999998E-3"/>
    <x v="2"/>
    <n v="39.161000000000001"/>
    <x v="0"/>
    <x v="0"/>
    <n v="1.0325599999999999"/>
    <s v="SISTEMA E"/>
    <n v="8.1074344730799996E-2"/>
  </r>
  <r>
    <x v="21"/>
    <x v="1"/>
    <s v="CHARRUA"/>
    <n v="220"/>
    <n v="2.0049999999999998E-3"/>
    <x v="3"/>
    <n v="38.674999999999997"/>
    <x v="0"/>
    <x v="0"/>
    <n v="1.0325599999999999"/>
    <s v="SISTEMA E"/>
    <n v="8.0068187289999981E-2"/>
  </r>
  <r>
    <x v="21"/>
    <x v="1"/>
    <s v="CHARRUA"/>
    <n v="220"/>
    <n v="2.0049999999999998E-3"/>
    <x v="4"/>
    <n v="49.055"/>
    <x v="0"/>
    <x v="0"/>
    <n v="1.0325599999999999"/>
    <s v="SISTEMA E"/>
    <n v="0.101557722754"/>
  </r>
  <r>
    <x v="21"/>
    <x v="1"/>
    <s v="CHARRUA"/>
    <n v="220"/>
    <n v="2.0049999999999998E-3"/>
    <x v="5"/>
    <n v="58.87"/>
    <x v="0"/>
    <x v="0"/>
    <n v="1.0325599999999999"/>
    <s v="SISTEMA E"/>
    <n v="0.121877548436"/>
  </r>
  <r>
    <x v="21"/>
    <x v="1"/>
    <s v="CHARRUA"/>
    <n v="220"/>
    <n v="2.0049999999999998E-3"/>
    <x v="0"/>
    <n v="65.05"/>
    <x v="1"/>
    <x v="0"/>
    <n v="1.0325599999999999"/>
    <s v="SISTEMA E"/>
    <n v="0.13467189614"/>
  </r>
  <r>
    <x v="21"/>
    <x v="1"/>
    <s v="CHARRUA"/>
    <n v="220"/>
    <n v="2.0049999999999998E-3"/>
    <x v="1"/>
    <n v="60.055999999999997"/>
    <x v="1"/>
    <x v="0"/>
    <n v="1.0325599999999999"/>
    <s v="SISTEMA E"/>
    <n v="0.1243329038368"/>
  </r>
  <r>
    <x v="21"/>
    <x v="1"/>
    <s v="CHARRUA"/>
    <n v="220"/>
    <n v="2.0049999999999998E-3"/>
    <x v="2"/>
    <n v="33.075000000000003"/>
    <x v="1"/>
    <x v="0"/>
    <n v="1.0325599999999999"/>
    <s v="SISTEMA E"/>
    <n v="6.847460360999999E-2"/>
  </r>
  <r>
    <x v="21"/>
    <x v="1"/>
    <s v="CHARRUA"/>
    <n v="220"/>
    <n v="2.0049999999999998E-3"/>
    <x v="3"/>
    <n v="32.075000000000003"/>
    <x v="1"/>
    <x v="0"/>
    <n v="1.0325599999999999"/>
    <s v="SISTEMA E"/>
    <n v="6.640432081E-2"/>
  </r>
  <r>
    <x v="21"/>
    <x v="1"/>
    <s v="CHARRUA"/>
    <n v="220"/>
    <n v="2.0049999999999998E-3"/>
    <x v="4"/>
    <n v="50.77"/>
    <x v="1"/>
    <x v="0"/>
    <n v="1.0325599999999999"/>
    <s v="SISTEMA E"/>
    <n v="0.105108257756"/>
  </r>
  <r>
    <x v="21"/>
    <x v="1"/>
    <s v="CHARRUA"/>
    <n v="220"/>
    <n v="2.0049999999999998E-3"/>
    <x v="5"/>
    <n v="78.662999999999997"/>
    <x v="1"/>
    <x v="0"/>
    <n v="1.0325599999999999"/>
    <s v="SISTEMA E"/>
    <n v="0.1628546558964"/>
  </r>
  <r>
    <x v="21"/>
    <x v="1"/>
    <s v="ITAHUE"/>
    <n v="220"/>
    <n v="6.3480000000000003E-3"/>
    <x v="0"/>
    <n v="55.128"/>
    <x v="0"/>
    <x v="0"/>
    <n v="1.0325599999999999"/>
    <s v="SISTEMA E"/>
    <n v="0.36134699883263999"/>
  </r>
  <r>
    <x v="21"/>
    <x v="1"/>
    <s v="ITAHUE"/>
    <n v="220"/>
    <n v="6.3480000000000003E-3"/>
    <x v="1"/>
    <n v="55.256999999999998"/>
    <x v="0"/>
    <x v="0"/>
    <n v="1.0325599999999999"/>
    <s v="SISTEMA E"/>
    <n v="0.36219255395616001"/>
  </r>
  <r>
    <x v="21"/>
    <x v="1"/>
    <s v="ITAHUE"/>
    <n v="220"/>
    <n v="6.3480000000000003E-3"/>
    <x v="2"/>
    <n v="39.152000000000001"/>
    <x v="0"/>
    <x v="0"/>
    <n v="1.0325599999999999"/>
    <s v="SISTEMA E"/>
    <n v="0.25662925733376002"/>
  </r>
  <r>
    <x v="21"/>
    <x v="1"/>
    <s v="ITAHUE"/>
    <n v="220"/>
    <n v="6.3480000000000003E-3"/>
    <x v="3"/>
    <n v="38.615000000000002"/>
    <x v="0"/>
    <x v="0"/>
    <n v="1.0325599999999999"/>
    <s v="SISTEMA E"/>
    <n v="0.2531093883312"/>
  </r>
  <r>
    <x v="21"/>
    <x v="1"/>
    <s v="ITAHUE"/>
    <n v="220"/>
    <n v="6.3480000000000003E-3"/>
    <x v="4"/>
    <n v="46.902000000000001"/>
    <x v="0"/>
    <x v="0"/>
    <n v="1.0325599999999999"/>
    <s v="SISTEMA E"/>
    <n v="0.30742811165375999"/>
  </r>
  <r>
    <x v="21"/>
    <x v="1"/>
    <s v="ITAHUE"/>
    <n v="220"/>
    <n v="6.3480000000000003E-3"/>
    <x v="5"/>
    <n v="58.256"/>
    <x v="0"/>
    <x v="0"/>
    <n v="1.0325599999999999"/>
    <s v="SISTEMA E"/>
    <n v="0.38185007190527998"/>
  </r>
  <r>
    <x v="21"/>
    <x v="1"/>
    <s v="ITAHUE"/>
    <n v="220"/>
    <n v="6.3480000000000003E-3"/>
    <x v="0"/>
    <n v="66.899000000000001"/>
    <x v="1"/>
    <x v="0"/>
    <n v="1.0325599999999999"/>
    <s v="SISTEMA E"/>
    <n v="0.43850226518112001"/>
  </r>
  <r>
    <x v="21"/>
    <x v="1"/>
    <s v="ITAHUE"/>
    <n v="220"/>
    <n v="6.3480000000000003E-3"/>
    <x v="1"/>
    <n v="61.454000000000001"/>
    <x v="1"/>
    <x v="0"/>
    <n v="1.0325599999999999"/>
    <s v="SISTEMA E"/>
    <n v="0.40281197333952001"/>
  </r>
  <r>
    <x v="21"/>
    <x v="1"/>
    <s v="ITAHUE"/>
    <n v="220"/>
    <n v="6.3480000000000003E-3"/>
    <x v="2"/>
    <n v="32.872"/>
    <x v="1"/>
    <x v="0"/>
    <n v="1.0325599999999999"/>
    <s v="SISTEMA E"/>
    <n v="0.21546579860736001"/>
  </r>
  <r>
    <x v="21"/>
    <x v="1"/>
    <s v="ITAHUE"/>
    <n v="220"/>
    <n v="6.3480000000000003E-3"/>
    <x v="3"/>
    <n v="31.65"/>
    <x v="1"/>
    <x v="0"/>
    <n v="1.0325599999999999"/>
    <s v="SISTEMA E"/>
    <n v="0.207455966352"/>
  </r>
  <r>
    <x v="21"/>
    <x v="1"/>
    <s v="ITAHUE"/>
    <n v="220"/>
    <n v="6.3480000000000003E-3"/>
    <x v="4"/>
    <n v="46.981999999999999"/>
    <x v="1"/>
    <x v="0"/>
    <n v="1.0325599999999999"/>
    <s v="SISTEMA E"/>
    <n v="0.30795248692416"/>
  </r>
  <r>
    <x v="21"/>
    <x v="1"/>
    <s v="ITAHUE"/>
    <n v="220"/>
    <n v="6.3480000000000003E-3"/>
    <x v="5"/>
    <n v="79.751999999999995"/>
    <x v="1"/>
    <x v="0"/>
    <n v="1.0325599999999999"/>
    <s v="SISTEMA E"/>
    <n v="0.52274970706176005"/>
  </r>
  <r>
    <x v="21"/>
    <x v="1"/>
    <s v="RAPEL"/>
    <n v="220"/>
    <n v="0.82165999999999995"/>
    <x v="0"/>
    <n v="55.825000000000003"/>
    <x v="0"/>
    <x v="0"/>
    <n v="1.0325599999999999"/>
    <s v="SISTEMA E"/>
    <n v="47.362669658919998"/>
  </r>
  <r>
    <x v="21"/>
    <x v="1"/>
    <s v="RAPEL"/>
    <n v="220"/>
    <n v="0.82165999999999995"/>
    <x v="1"/>
    <n v="56.061999999999998"/>
    <x v="0"/>
    <x v="0"/>
    <n v="1.0325599999999999"/>
    <s v="SISTEMA E"/>
    <n v="47.563743599075202"/>
  </r>
  <r>
    <x v="21"/>
    <x v="1"/>
    <s v="RAPEL"/>
    <n v="220"/>
    <n v="0.82165999999999995"/>
    <x v="2"/>
    <n v="39.136000000000003"/>
    <x v="0"/>
    <x v="0"/>
    <n v="1.0325599999999999"/>
    <s v="SISTEMA E"/>
    <n v="33.203500936345598"/>
  </r>
  <r>
    <x v="21"/>
    <x v="1"/>
    <s v="RAPEL"/>
    <n v="220"/>
    <n v="0.82165999999999995"/>
    <x v="3"/>
    <n v="38.625"/>
    <x v="0"/>
    <x v="0"/>
    <n v="1.0325599999999999"/>
    <s v="SISTEMA E"/>
    <n v="32.769961765799998"/>
  </r>
  <r>
    <x v="21"/>
    <x v="1"/>
    <s v="RAPEL"/>
    <n v="220"/>
    <n v="0.82165999999999995"/>
    <x v="4"/>
    <n v="49.764000000000003"/>
    <x v="0"/>
    <x v="0"/>
    <n v="1.0325599999999999"/>
    <s v="SISTEMA E"/>
    <n v="42.220436953094399"/>
  </r>
  <r>
    <x v="21"/>
    <x v="1"/>
    <s v="RAPEL"/>
    <n v="220"/>
    <n v="0.82165999999999995"/>
    <x v="5"/>
    <n v="61.481999999999999"/>
    <x v="0"/>
    <x v="0"/>
    <n v="1.0325599999999999"/>
    <s v="SISTEMA E"/>
    <n v="52.162143411907188"/>
  </r>
  <r>
    <x v="21"/>
    <x v="1"/>
    <s v="RAPEL"/>
    <n v="220"/>
    <n v="0.82165999999999995"/>
    <x v="0"/>
    <n v="70.069000000000003"/>
    <x v="1"/>
    <x v="0"/>
    <n v="1.0325599999999999"/>
    <s v="SISTEMA E"/>
    <n v="59.447467986222392"/>
  </r>
  <r>
    <x v="21"/>
    <x v="1"/>
    <s v="RAPEL"/>
    <n v="220"/>
    <n v="0.82165999999999995"/>
    <x v="1"/>
    <n v="63.207000000000001"/>
    <x v="1"/>
    <x v="0"/>
    <n v="1.0325599999999999"/>
    <s v="SISTEMA E"/>
    <n v="53.625656267467193"/>
  </r>
  <r>
    <x v="21"/>
    <x v="1"/>
    <s v="RAPEL"/>
    <n v="220"/>
    <n v="0.82165999999999995"/>
    <x v="2"/>
    <n v="32.453000000000003"/>
    <x v="1"/>
    <x v="0"/>
    <n v="1.0325599999999999"/>
    <s v="SISTEMA E"/>
    <n v="27.5335551892688"/>
  </r>
  <r>
    <x v="21"/>
    <x v="1"/>
    <s v="RAPEL"/>
    <n v="220"/>
    <n v="0.82165999999999995"/>
    <x v="3"/>
    <n v="30.672000000000001"/>
    <x v="1"/>
    <x v="0"/>
    <n v="1.0325599999999999"/>
    <s v="SISTEMA E"/>
    <n v="26.022531191731201"/>
  </r>
  <r>
    <x v="21"/>
    <x v="1"/>
    <s v="RAPEL"/>
    <n v="220"/>
    <n v="0.82165999999999995"/>
    <x v="4"/>
    <n v="51.459000000000003"/>
    <x v="1"/>
    <x v="0"/>
    <n v="1.0325599999999999"/>
    <s v="SISTEMA E"/>
    <n v="43.658497411166401"/>
  </r>
  <r>
    <x v="21"/>
    <x v="1"/>
    <s v="RAPEL"/>
    <n v="220"/>
    <n v="0.82165999999999995"/>
    <x v="5"/>
    <n v="87.926000000000002"/>
    <x v="1"/>
    <x v="0"/>
    <n v="1.0325599999999999"/>
    <s v="SISTEMA E"/>
    <n v="74.597583384329596"/>
  </r>
  <r>
    <x v="22"/>
    <x v="2"/>
    <s v="A.JAHUEL"/>
    <n v="220"/>
    <n v="0.36537999999999998"/>
    <x v="0"/>
    <n v="55.936"/>
    <x v="0"/>
    <x v="0"/>
    <n v="1.0325599999999999"/>
    <s v="SISTEMA E"/>
    <n v="21.1033535633408"/>
  </r>
  <r>
    <x v="22"/>
    <x v="2"/>
    <s v="A.JAHUEL"/>
    <n v="220"/>
    <n v="0.36537999999999998"/>
    <x v="1"/>
    <n v="56.033999999999999"/>
    <x v="0"/>
    <x v="0"/>
    <n v="1.0325599999999999"/>
    <s v="SISTEMA E"/>
    <n v="21.140326687075191"/>
  </r>
  <r>
    <x v="22"/>
    <x v="2"/>
    <s v="A.JAHUEL"/>
    <n v="220"/>
    <n v="0.36537999999999998"/>
    <x v="2"/>
    <n v="39.116999999999997"/>
    <x v="0"/>
    <x v="0"/>
    <n v="1.0325599999999999"/>
    <s v="SISTEMA E"/>
    <n v="14.7579355216176"/>
  </r>
  <r>
    <x v="22"/>
    <x v="2"/>
    <s v="A.JAHUEL"/>
    <n v="220"/>
    <n v="0.36537999999999998"/>
    <x v="3"/>
    <n v="38.668999999999997"/>
    <x v="0"/>
    <x v="0"/>
    <n v="1.0325599999999999"/>
    <s v="SISTEMA E"/>
    <n v="14.5889155274032"/>
  </r>
  <r>
    <x v="22"/>
    <x v="2"/>
    <s v="A.JAHUEL"/>
    <n v="220"/>
    <n v="0.36537999999999998"/>
    <x v="4"/>
    <n v="51.475999999999999"/>
    <x v="0"/>
    <x v="0"/>
    <n v="1.0325599999999999"/>
    <s v="SISTEMA E"/>
    <n v="19.420699156652791"/>
  </r>
  <r>
    <x v="22"/>
    <x v="2"/>
    <s v="A.JAHUEL"/>
    <n v="220"/>
    <n v="0.36537999999999998"/>
    <x v="5"/>
    <n v="62.256999999999998"/>
    <x v="0"/>
    <x v="0"/>
    <n v="1.0325599999999999"/>
    <s v="SISTEMA E"/>
    <n v="23.488120044209591"/>
  </r>
  <r>
    <x v="22"/>
    <x v="2"/>
    <s v="A.JAHUEL"/>
    <n v="220"/>
    <n v="0.36537999999999998"/>
    <x v="0"/>
    <n v="69.262"/>
    <x v="1"/>
    <x v="0"/>
    <n v="1.0325599999999999"/>
    <s v="SISTEMA E"/>
    <n v="26.130943837673598"/>
  </r>
  <r>
    <x v="22"/>
    <x v="2"/>
    <s v="A.JAHUEL"/>
    <n v="220"/>
    <n v="0.36537999999999998"/>
    <x v="1"/>
    <n v="62.783000000000001"/>
    <x v="1"/>
    <x v="0"/>
    <n v="1.0325599999999999"/>
    <s v="SISTEMA E"/>
    <n v="23.686567626702399"/>
  </r>
  <r>
    <x v="22"/>
    <x v="2"/>
    <s v="A.JAHUEL"/>
    <n v="220"/>
    <n v="0.36537999999999998"/>
    <x v="2"/>
    <n v="32.915999999999997"/>
    <x v="1"/>
    <x v="0"/>
    <n v="1.0325599999999999"/>
    <s v="SISTEMA E"/>
    <n v="12.4184422534848"/>
  </r>
  <r>
    <x v="22"/>
    <x v="2"/>
    <s v="A.JAHUEL"/>
    <n v="220"/>
    <n v="0.36537999999999998"/>
    <x v="3"/>
    <n v="32.179000000000002"/>
    <x v="1"/>
    <x v="0"/>
    <n v="1.0325599999999999"/>
    <s v="SISTEMA E"/>
    <n v="12.1403892719312"/>
  </r>
  <r>
    <x v="22"/>
    <x v="2"/>
    <s v="A.JAHUEL"/>
    <n v="220"/>
    <n v="0.36537999999999998"/>
    <x v="4"/>
    <n v="54.389000000000003"/>
    <x v="1"/>
    <x v="0"/>
    <n v="1.0325599999999999"/>
    <s v="SISTEMA E"/>
    <n v="20.519706395819199"/>
  </r>
  <r>
    <x v="22"/>
    <x v="2"/>
    <s v="A.JAHUEL"/>
    <n v="220"/>
    <n v="0.36537999999999998"/>
    <x v="5"/>
    <n v="88.427000000000007"/>
    <x v="1"/>
    <x v="0"/>
    <n v="1.0325599999999999"/>
    <s v="SISTEMA E"/>
    <n v="33.361453188385603"/>
  </r>
  <r>
    <x v="22"/>
    <x v="2"/>
    <s v="A.MELIP"/>
    <n v="220"/>
    <n v="1.6487999999999999E-2"/>
    <x v="0"/>
    <n v="56.027999999999999"/>
    <x v="0"/>
    <x v="0"/>
    <n v="1.0325599999999999"/>
    <s v="SISTEMA E"/>
    <n v="0.95386825545983989"/>
  </r>
  <r>
    <x v="22"/>
    <x v="2"/>
    <s v="A.MELIP"/>
    <n v="220"/>
    <n v="1.6487999999999999E-2"/>
    <x v="1"/>
    <n v="56.122999999999998"/>
    <x v="0"/>
    <x v="0"/>
    <n v="1.0325599999999999"/>
    <s v="SISTEMA E"/>
    <n v="0.9554856161414399"/>
  </r>
  <r>
    <x v="22"/>
    <x v="2"/>
    <s v="A.MELIP"/>
    <n v="220"/>
    <n v="1.6487999999999999E-2"/>
    <x v="2"/>
    <n v="39.145000000000003"/>
    <x v="0"/>
    <x v="0"/>
    <n v="1.0325599999999999"/>
    <s v="SISTEMA E"/>
    <n v="0.66643772506559995"/>
  </r>
  <r>
    <x v="22"/>
    <x v="2"/>
    <s v="A.MELIP"/>
    <n v="220"/>
    <n v="1.6487999999999999E-2"/>
    <x v="3"/>
    <n v="38.646999999999998"/>
    <x v="0"/>
    <x v="0"/>
    <n v="1.0325599999999999"/>
    <s v="SISTEMA E"/>
    <n v="0.65795935012415985"/>
  </r>
  <r>
    <x v="22"/>
    <x v="2"/>
    <s v="A.MELIP"/>
    <n v="220"/>
    <n v="1.6487999999999999E-2"/>
    <x v="4"/>
    <n v="49.831000000000003"/>
    <x v="0"/>
    <x v="0"/>
    <n v="1.0325599999999999"/>
    <s v="SISTEMA E"/>
    <n v="0.84836526447167993"/>
  </r>
  <r>
    <x v="22"/>
    <x v="2"/>
    <s v="A.MELIP"/>
    <n v="220"/>
    <n v="1.6487999999999999E-2"/>
    <x v="5"/>
    <n v="61.533000000000001"/>
    <x v="0"/>
    <x v="0"/>
    <n v="1.0325599999999999"/>
    <s v="SISTEMA E"/>
    <n v="1.0475900507462399"/>
  </r>
  <r>
    <x v="22"/>
    <x v="2"/>
    <s v="A.MELIP"/>
    <n v="220"/>
    <n v="1.6487999999999999E-2"/>
    <x v="0"/>
    <n v="70.548000000000002"/>
    <x v="1"/>
    <x v="0"/>
    <n v="1.0325599999999999"/>
    <s v="SISTEMA E"/>
    <n v="1.20106906700544"/>
  </r>
  <r>
    <x v="22"/>
    <x v="2"/>
    <s v="A.MELIP"/>
    <n v="220"/>
    <n v="1.6487999999999999E-2"/>
    <x v="1"/>
    <n v="63.55"/>
    <x v="1"/>
    <x v="0"/>
    <n v="1.0325599999999999"/>
    <s v="SISTEMA E"/>
    <n v="1.0819291717440001"/>
  </r>
  <r>
    <x v="22"/>
    <x v="2"/>
    <s v="A.MELIP"/>
    <n v="220"/>
    <n v="1.6487999999999999E-2"/>
    <x v="2"/>
    <n v="32.978000000000002"/>
    <x v="1"/>
    <x v="0"/>
    <n v="1.0325599999999999"/>
    <s v="SISTEMA E"/>
    <n v="0.56144547955584001"/>
  </r>
  <r>
    <x v="22"/>
    <x v="2"/>
    <s v="A.MELIP"/>
    <n v="220"/>
    <n v="1.6487999999999999E-2"/>
    <x v="3"/>
    <n v="31.867000000000001"/>
    <x v="1"/>
    <x v="0"/>
    <n v="1.0325599999999999"/>
    <s v="SISTEMA E"/>
    <n v="0.54253087200576"/>
  </r>
  <r>
    <x v="22"/>
    <x v="2"/>
    <s v="A.MELIP"/>
    <n v="220"/>
    <n v="1.6487999999999999E-2"/>
    <x v="4"/>
    <n v="51.658000000000001"/>
    <x v="1"/>
    <x v="0"/>
    <n v="1.0325599999999999"/>
    <s v="SISTEMA E"/>
    <n v="0.87946966410623995"/>
  </r>
  <r>
    <x v="22"/>
    <x v="2"/>
    <s v="A.MELIP"/>
    <n v="220"/>
    <n v="1.6487999999999999E-2"/>
    <x v="5"/>
    <n v="88.040999999999997"/>
    <x v="1"/>
    <x v="0"/>
    <n v="1.0325599999999999"/>
    <s v="SISTEMA E"/>
    <n v="1.4988847554604801"/>
  </r>
  <r>
    <x v="22"/>
    <x v="2"/>
    <s v="CHARRUA"/>
    <n v="220"/>
    <n v="0.18507299999999999"/>
    <x v="0"/>
    <n v="54.328000000000003"/>
    <x v="0"/>
    <x v="0"/>
    <n v="1.0325599999999999"/>
    <s v="SISTEMA E"/>
    <n v="10.38202521593664"/>
  </r>
  <r>
    <x v="22"/>
    <x v="2"/>
    <s v="CHARRUA"/>
    <n v="220"/>
    <n v="0.18507299999999999"/>
    <x v="1"/>
    <n v="54.436999999999998"/>
    <x v="0"/>
    <x v="0"/>
    <n v="1.0325599999999999"/>
    <s v="SISTEMA E"/>
    <n v="10.40285500441656"/>
  </r>
  <r>
    <x v="22"/>
    <x v="2"/>
    <s v="CHARRUA"/>
    <n v="220"/>
    <n v="0.18507299999999999"/>
    <x v="2"/>
    <n v="39.161000000000001"/>
    <x v="0"/>
    <x v="0"/>
    <n v="1.0325599999999999"/>
    <s v="SISTEMA E"/>
    <n v="7.4836270335976796"/>
  </r>
  <r>
    <x v="22"/>
    <x v="2"/>
    <s v="CHARRUA"/>
    <n v="220"/>
    <n v="0.18507299999999999"/>
    <x v="3"/>
    <n v="38.674999999999997"/>
    <x v="0"/>
    <x v="0"/>
    <n v="1.0325599999999999"/>
    <s v="SISTEMA E"/>
    <n v="7.3907529308339983"/>
  </r>
  <r>
    <x v="22"/>
    <x v="2"/>
    <s v="CHARRUA"/>
    <n v="220"/>
    <n v="0.18507299999999999"/>
    <x v="4"/>
    <n v="49.055"/>
    <x v="0"/>
    <x v="0"/>
    <n v="1.0325599999999999"/>
    <s v="SISTEMA E"/>
    <n v="9.3743603108483988"/>
  </r>
  <r>
    <x v="22"/>
    <x v="2"/>
    <s v="CHARRUA"/>
    <n v="220"/>
    <n v="0.18507299999999999"/>
    <x v="5"/>
    <n v="58.87"/>
    <x v="0"/>
    <x v="0"/>
    <n v="1.0325599999999999"/>
    <s v="SISTEMA E"/>
    <n v="11.2499967689256"/>
  </r>
  <r>
    <x v="22"/>
    <x v="2"/>
    <s v="CHARRUA"/>
    <n v="220"/>
    <n v="0.18507299999999999"/>
    <x v="0"/>
    <n v="65.05"/>
    <x v="1"/>
    <x v="0"/>
    <n v="1.0325599999999999"/>
    <s v="SISTEMA E"/>
    <n v="12.430988446043999"/>
  </r>
  <r>
    <x v="22"/>
    <x v="2"/>
    <s v="CHARRUA"/>
    <n v="220"/>
    <n v="0.18507299999999999"/>
    <x v="1"/>
    <n v="60.055999999999997"/>
    <x v="1"/>
    <x v="0"/>
    <n v="1.0325599999999999"/>
    <s v="SISTEMA E"/>
    <n v="11.476640155505279"/>
  </r>
  <r>
    <x v="22"/>
    <x v="2"/>
    <s v="CHARRUA"/>
    <n v="220"/>
    <n v="0.18507299999999999"/>
    <x v="2"/>
    <n v="33.075000000000003"/>
    <x v="1"/>
    <x v="0"/>
    <n v="1.0325599999999999"/>
    <s v="SISTEMA E"/>
    <n v="6.3205986603059996"/>
  </r>
  <r>
    <x v="22"/>
    <x v="2"/>
    <s v="CHARRUA"/>
    <n v="220"/>
    <n v="0.18507299999999999"/>
    <x v="3"/>
    <n v="32.075000000000003"/>
    <x v="1"/>
    <x v="0"/>
    <n v="1.0325599999999999"/>
    <s v="SISTEMA E"/>
    <n v="6.1294996834259994"/>
  </r>
  <r>
    <x v="22"/>
    <x v="2"/>
    <s v="CHARRUA"/>
    <n v="220"/>
    <n v="0.18507299999999999"/>
    <x v="4"/>
    <n v="50.77"/>
    <x v="1"/>
    <x v="0"/>
    <n v="1.0325599999999999"/>
    <s v="SISTEMA E"/>
    <n v="9.7020950561975976"/>
  </r>
  <r>
    <x v="22"/>
    <x v="2"/>
    <s v="CHARRUA"/>
    <n v="220"/>
    <n v="0.18507299999999999"/>
    <x v="5"/>
    <n v="78.662999999999997"/>
    <x v="1"/>
    <x v="0"/>
    <n v="1.0325599999999999"/>
    <s v="SISTEMA E"/>
    <n v="15.03241881831144"/>
  </r>
  <r>
    <x v="22"/>
    <x v="2"/>
    <s v="ITAHUE"/>
    <n v="220"/>
    <n v="0.42437900000000001"/>
    <x v="0"/>
    <n v="55.128"/>
    <x v="0"/>
    <x v="0"/>
    <n v="1.0325599999999999"/>
    <s v="SISTEMA E"/>
    <n v="24.15691210107072"/>
  </r>
  <r>
    <x v="22"/>
    <x v="2"/>
    <s v="ITAHUE"/>
    <n v="220"/>
    <n v="0.42437900000000001"/>
    <x v="1"/>
    <n v="55.256999999999998"/>
    <x v="0"/>
    <x v="0"/>
    <n v="1.0325599999999999"/>
    <s v="SISTEMA E"/>
    <n v="24.213439485721679"/>
  </r>
  <r>
    <x v="22"/>
    <x v="2"/>
    <s v="ITAHUE"/>
    <n v="220"/>
    <n v="0.42437900000000001"/>
    <x v="2"/>
    <n v="39.152000000000001"/>
    <x v="0"/>
    <x v="0"/>
    <n v="1.0325599999999999"/>
    <s v="SISTEMA E"/>
    <n v="17.156280339956481"/>
  </r>
  <r>
    <x v="22"/>
    <x v="2"/>
    <s v="ITAHUE"/>
    <n v="220"/>
    <n v="0.42437900000000001"/>
    <x v="3"/>
    <n v="38.615000000000002"/>
    <x v="0"/>
    <x v="0"/>
    <n v="1.0325599999999999"/>
    <s v="SISTEMA E"/>
    <n v="16.9209686689676"/>
  </r>
  <r>
    <x v="22"/>
    <x v="2"/>
    <s v="ITAHUE"/>
    <n v="220"/>
    <n v="0.42437900000000001"/>
    <x v="4"/>
    <n v="46.902000000000001"/>
    <x v="0"/>
    <x v="0"/>
    <n v="1.0325599999999999"/>
    <s v="SISTEMA E"/>
    <n v="20.552305386816482"/>
  </r>
  <r>
    <x v="22"/>
    <x v="2"/>
    <s v="ITAHUE"/>
    <n v="220"/>
    <n v="0.42437900000000001"/>
    <x v="5"/>
    <n v="58.256"/>
    <x v="0"/>
    <x v="0"/>
    <n v="1.0325599999999999"/>
    <s v="SISTEMA E"/>
    <n v="25.52759162966144"/>
  </r>
  <r>
    <x v="22"/>
    <x v="2"/>
    <s v="ITAHUE"/>
    <n v="220"/>
    <n v="0.42437900000000001"/>
    <x v="0"/>
    <n v="66.899000000000001"/>
    <x v="1"/>
    <x v="0"/>
    <n v="1.0325599999999999"/>
    <s v="SISTEMA E"/>
    <n v="29.314926401275759"/>
  </r>
  <r>
    <x v="22"/>
    <x v="2"/>
    <s v="ITAHUE"/>
    <n v="220"/>
    <n v="0.42437900000000001"/>
    <x v="1"/>
    <n v="61.454000000000001"/>
    <x v="1"/>
    <x v="0"/>
    <n v="1.0325599999999999"/>
    <s v="SISTEMA E"/>
    <n v="26.928944932868959"/>
  </r>
  <r>
    <x v="22"/>
    <x v="2"/>
    <s v="ITAHUE"/>
    <n v="220"/>
    <n v="0.42437900000000001"/>
    <x v="2"/>
    <n v="32.872"/>
    <x v="1"/>
    <x v="0"/>
    <n v="1.0325599999999999"/>
    <s v="SISTEMA E"/>
    <n v="14.404404560049279"/>
  </r>
  <r>
    <x v="22"/>
    <x v="2"/>
    <s v="ITAHUE"/>
    <n v="220"/>
    <n v="0.42437900000000001"/>
    <x v="3"/>
    <n v="31.65"/>
    <x v="1"/>
    <x v="0"/>
    <n v="1.0325599999999999"/>
    <s v="SISTEMA E"/>
    <n v="13.868928094596001"/>
  </r>
  <r>
    <x v="22"/>
    <x v="2"/>
    <s v="ITAHUE"/>
    <n v="220"/>
    <n v="0.42437900000000001"/>
    <x v="4"/>
    <n v="46.981999999999999"/>
    <x v="1"/>
    <x v="0"/>
    <n v="1.0325599999999999"/>
    <s v="SISTEMA E"/>
    <n v="20.587361129235681"/>
  </r>
  <r>
    <x v="22"/>
    <x v="2"/>
    <s v="ITAHUE"/>
    <n v="220"/>
    <n v="0.42437900000000001"/>
    <x v="5"/>
    <n v="79.751999999999995"/>
    <x v="1"/>
    <x v="0"/>
    <n v="1.0325599999999999"/>
    <s v="SISTEMA E"/>
    <n v="34.947069617700478"/>
  </r>
  <r>
    <x v="22"/>
    <x v="2"/>
    <s v="RAPEL"/>
    <n v="220"/>
    <n v="8.6800000000000002E-3"/>
    <x v="0"/>
    <n v="55.825000000000003"/>
    <x v="0"/>
    <x v="0"/>
    <n v="1.0325599999999999"/>
    <s v="SISTEMA E"/>
    <n v="0.50033830615999997"/>
  </r>
  <r>
    <x v="22"/>
    <x v="2"/>
    <s v="RAPEL"/>
    <n v="220"/>
    <n v="8.6800000000000002E-3"/>
    <x v="1"/>
    <n v="56.061999999999998"/>
    <x v="0"/>
    <x v="0"/>
    <n v="1.0325599999999999"/>
    <s v="SISTEMA E"/>
    <n v="0.50246244728959988"/>
  </r>
  <r>
    <x v="22"/>
    <x v="2"/>
    <s v="RAPEL"/>
    <n v="220"/>
    <n v="8.6800000000000002E-3"/>
    <x v="2"/>
    <n v="39.136000000000003"/>
    <x v="0"/>
    <x v="0"/>
    <n v="1.0325599999999999"/>
    <s v="SISTEMA E"/>
    <n v="0.35076112762880002"/>
  </r>
  <r>
    <x v="22"/>
    <x v="2"/>
    <s v="RAPEL"/>
    <n v="220"/>
    <n v="8.6800000000000002E-3"/>
    <x v="3"/>
    <n v="38.625"/>
    <x v="0"/>
    <x v="0"/>
    <n v="1.0325599999999999"/>
    <s v="SISTEMA E"/>
    <n v="0.34618122839999999"/>
  </r>
  <r>
    <x v="22"/>
    <x v="2"/>
    <s v="RAPEL"/>
    <n v="220"/>
    <n v="8.6800000000000002E-3"/>
    <x v="4"/>
    <n v="49.764000000000003"/>
    <x v="0"/>
    <x v="0"/>
    <n v="1.0325599999999999"/>
    <s v="SISTEMA E"/>
    <n v="0.44601586149119998"/>
  </r>
  <r>
    <x v="22"/>
    <x v="2"/>
    <s v="RAPEL"/>
    <n v="220"/>
    <n v="8.6800000000000002E-3"/>
    <x v="5"/>
    <n v="61.481999999999999"/>
    <x v="0"/>
    <x v="0"/>
    <n v="1.0325599999999999"/>
    <s v="SISTEMA E"/>
    <n v="0.55103985202560002"/>
  </r>
  <r>
    <x v="22"/>
    <x v="2"/>
    <s v="RAPEL"/>
    <n v="220"/>
    <n v="8.6800000000000002E-3"/>
    <x v="0"/>
    <n v="70.069000000000003"/>
    <x v="1"/>
    <x v="0"/>
    <n v="1.0325599999999999"/>
    <s v="SISTEMA E"/>
    <n v="0.62800187683520003"/>
  </r>
  <r>
    <x v="22"/>
    <x v="2"/>
    <s v="RAPEL"/>
    <n v="220"/>
    <n v="8.6800000000000002E-3"/>
    <x v="1"/>
    <n v="63.207000000000001"/>
    <x v="1"/>
    <x v="0"/>
    <n v="1.0325599999999999"/>
    <s v="SISTEMA E"/>
    <n v="0.56650037290560007"/>
  </r>
  <r>
    <x v="22"/>
    <x v="2"/>
    <s v="RAPEL"/>
    <n v="220"/>
    <n v="8.6800000000000002E-3"/>
    <x v="2"/>
    <n v="32.453000000000003"/>
    <x v="1"/>
    <x v="0"/>
    <n v="1.0325599999999999"/>
    <s v="SISTEMA E"/>
    <n v="0.29086393282239997"/>
  </r>
  <r>
    <x v="22"/>
    <x v="2"/>
    <s v="RAPEL"/>
    <n v="220"/>
    <n v="8.6800000000000002E-3"/>
    <x v="3"/>
    <n v="30.672000000000001"/>
    <x v="1"/>
    <x v="0"/>
    <n v="1.0325599999999999"/>
    <s v="SISTEMA E"/>
    <n v="0.27490150517759998"/>
  </r>
  <r>
    <x v="22"/>
    <x v="2"/>
    <s v="RAPEL"/>
    <n v="220"/>
    <n v="8.6800000000000002E-3"/>
    <x v="4"/>
    <n v="51.459000000000003"/>
    <x v="1"/>
    <x v="0"/>
    <n v="1.0325599999999999"/>
    <s v="SISTEMA E"/>
    <n v="0.46120750374719999"/>
  </r>
  <r>
    <x v="22"/>
    <x v="2"/>
    <s v="RAPEL"/>
    <n v="220"/>
    <n v="8.6800000000000002E-3"/>
    <x v="5"/>
    <n v="87.926000000000002"/>
    <x v="1"/>
    <x v="0"/>
    <n v="1.0325599999999999"/>
    <s v="SISTEMA E"/>
    <n v="0.78804739646079991"/>
  </r>
  <r>
    <x v="23"/>
    <x v="3"/>
    <s v="A.JAHUEL"/>
    <n v="220"/>
    <n v="3.1331999999999999E-2"/>
    <x v="0"/>
    <n v="55.936"/>
    <x v="0"/>
    <x v="0"/>
    <n v="1.0325599999999999"/>
    <s v="SISTEMA E"/>
    <n v="1.8096509766451201"/>
  </r>
  <r>
    <x v="23"/>
    <x v="3"/>
    <s v="A.JAHUEL"/>
    <n v="220"/>
    <n v="3.1331999999999999E-2"/>
    <x v="1"/>
    <n v="56.033999999999999"/>
    <x v="0"/>
    <x v="0"/>
    <n v="1.0325599999999999"/>
    <s v="SISTEMA E"/>
    <n v="1.81282148929728"/>
  </r>
  <r>
    <x v="23"/>
    <x v="3"/>
    <s v="A.JAHUEL"/>
    <n v="220"/>
    <n v="3.1331999999999999E-2"/>
    <x v="2"/>
    <n v="39.116999999999997"/>
    <x v="0"/>
    <x v="0"/>
    <n v="1.0325599999999999"/>
    <s v="SISTEMA E"/>
    <n v="1.2655198307606399"/>
  </r>
  <r>
    <x v="23"/>
    <x v="3"/>
    <s v="A.JAHUEL"/>
    <n v="220"/>
    <n v="3.1331999999999999E-2"/>
    <x v="3"/>
    <n v="38.668999999999997"/>
    <x v="0"/>
    <x v="0"/>
    <n v="1.0325599999999999"/>
    <s v="SISTEMA E"/>
    <n v="1.2510260586364801"/>
  </r>
  <r>
    <x v="23"/>
    <x v="3"/>
    <s v="A.JAHUEL"/>
    <n v="220"/>
    <n v="3.1331999999999999E-2"/>
    <x v="4"/>
    <n v="51.475999999999999"/>
    <x v="0"/>
    <x v="0"/>
    <n v="1.0325599999999999"/>
    <s v="SISTEMA E"/>
    <n v="1.66536029880192"/>
  </r>
  <r>
    <x v="23"/>
    <x v="3"/>
    <s v="A.JAHUEL"/>
    <n v="220"/>
    <n v="3.1331999999999999E-2"/>
    <x v="5"/>
    <n v="62.256999999999998"/>
    <x v="0"/>
    <x v="0"/>
    <n v="1.0325599999999999"/>
    <s v="SISTEMA E"/>
    <n v="2.0141490427094402"/>
  </r>
  <r>
    <x v="23"/>
    <x v="3"/>
    <s v="A.JAHUEL"/>
    <n v="220"/>
    <n v="3.1331999999999999E-2"/>
    <x v="0"/>
    <n v="69.262"/>
    <x v="1"/>
    <x v="0"/>
    <n v="1.0325599999999999"/>
    <s v="SISTEMA E"/>
    <n v="2.2407759929990401"/>
  </r>
  <r>
    <x v="23"/>
    <x v="3"/>
    <s v="A.JAHUEL"/>
    <n v="220"/>
    <n v="3.1331999999999999E-2"/>
    <x v="1"/>
    <n v="62.783000000000001"/>
    <x v="1"/>
    <x v="0"/>
    <n v="1.0325599999999999"/>
    <s v="SISTEMA E"/>
    <n v="2.0311662840873601"/>
  </r>
  <r>
    <x v="23"/>
    <x v="3"/>
    <s v="A.JAHUEL"/>
    <n v="220"/>
    <n v="3.1331999999999999E-2"/>
    <x v="2"/>
    <n v="32.915999999999997"/>
    <x v="1"/>
    <x v="0"/>
    <n v="1.0325599999999999"/>
    <s v="SISTEMA E"/>
    <n v="1.0649040250867201"/>
  </r>
  <r>
    <x v="23"/>
    <x v="3"/>
    <s v="A.JAHUEL"/>
    <n v="220"/>
    <n v="3.1331999999999999E-2"/>
    <x v="3"/>
    <n v="32.179000000000002"/>
    <x v="1"/>
    <x v="0"/>
    <n v="1.0325599999999999"/>
    <s v="SISTEMA E"/>
    <n v="1.0410604758556801"/>
  </r>
  <r>
    <x v="23"/>
    <x v="3"/>
    <s v="A.JAHUEL"/>
    <n v="220"/>
    <n v="3.1331999999999999E-2"/>
    <x v="4"/>
    <n v="54.389000000000003"/>
    <x v="1"/>
    <x v="0"/>
    <n v="1.0325599999999999"/>
    <s v="SISTEMA E"/>
    <n v="1.75960216977888"/>
  </r>
  <r>
    <x v="23"/>
    <x v="3"/>
    <s v="A.JAHUEL"/>
    <n v="220"/>
    <n v="3.1331999999999999E-2"/>
    <x v="5"/>
    <n v="88.427000000000007"/>
    <x v="1"/>
    <x v="0"/>
    <n v="1.0325599999999999"/>
    <s v="SISTEMA E"/>
    <n v="2.86080532951584"/>
  </r>
  <r>
    <x v="23"/>
    <x v="3"/>
    <s v="A.MELIP"/>
    <n v="220"/>
    <n v="6.0600000000000003E-3"/>
    <x v="0"/>
    <n v="56.027999999999999"/>
    <x v="0"/>
    <x v="0"/>
    <n v="1.0325599999999999"/>
    <s v="SISTEMA E"/>
    <n v="0.35058476638079999"/>
  </r>
  <r>
    <x v="23"/>
    <x v="3"/>
    <s v="A.MELIP"/>
    <n v="220"/>
    <n v="6.0600000000000003E-3"/>
    <x v="1"/>
    <n v="56.122999999999998"/>
    <x v="0"/>
    <x v="0"/>
    <n v="1.0325599999999999"/>
    <s v="SISTEMA E"/>
    <n v="0.35117921117279999"/>
  </r>
  <r>
    <x v="23"/>
    <x v="3"/>
    <s v="A.MELIP"/>
    <n v="220"/>
    <n v="6.0600000000000003E-3"/>
    <x v="2"/>
    <n v="39.145000000000003"/>
    <x v="0"/>
    <x v="0"/>
    <n v="1.0325599999999999"/>
    <s v="SISTEMA E"/>
    <n v="0.24494254087199999"/>
  </r>
  <r>
    <x v="23"/>
    <x v="3"/>
    <s v="A.MELIP"/>
    <n v="220"/>
    <n v="6.0600000000000003E-3"/>
    <x v="3"/>
    <n v="38.646999999999998"/>
    <x v="0"/>
    <x v="0"/>
    <n v="1.0325599999999999"/>
    <s v="SISTEMA E"/>
    <n v="0.2418263986992"/>
  </r>
  <r>
    <x v="23"/>
    <x v="3"/>
    <s v="A.MELIP"/>
    <n v="220"/>
    <n v="6.0600000000000003E-3"/>
    <x v="4"/>
    <n v="49.831000000000003"/>
    <x v="0"/>
    <x v="0"/>
    <n v="1.0325599999999999"/>
    <s v="SISTEMA E"/>
    <n v="0.31180819400159998"/>
  </r>
  <r>
    <x v="23"/>
    <x v="3"/>
    <s v="A.MELIP"/>
    <n v="220"/>
    <n v="6.0600000000000003E-3"/>
    <x v="5"/>
    <n v="61.533000000000001"/>
    <x v="0"/>
    <x v="0"/>
    <n v="1.0325599999999999"/>
    <s v="SISTEMA E"/>
    <n v="0.38503127774880003"/>
  </r>
  <r>
    <x v="23"/>
    <x v="3"/>
    <s v="A.MELIP"/>
    <n v="220"/>
    <n v="6.0600000000000003E-3"/>
    <x v="0"/>
    <n v="70.548000000000002"/>
    <x v="1"/>
    <x v="0"/>
    <n v="1.0325599999999999"/>
    <s v="SISTEMA E"/>
    <n v="0.44144095985280002"/>
  </r>
  <r>
    <x v="23"/>
    <x v="3"/>
    <s v="A.MELIP"/>
    <n v="220"/>
    <n v="6.0600000000000003E-3"/>
    <x v="1"/>
    <n v="63.55"/>
    <x v="1"/>
    <x v="0"/>
    <n v="1.0325599999999999"/>
    <s v="SISTEMA E"/>
    <n v="0.39765227928000002"/>
  </r>
  <r>
    <x v="23"/>
    <x v="3"/>
    <s v="A.MELIP"/>
    <n v="220"/>
    <n v="6.0600000000000003E-3"/>
    <x v="2"/>
    <n v="32.978000000000002"/>
    <x v="1"/>
    <x v="0"/>
    <n v="1.0325599999999999"/>
    <s v="SISTEMA E"/>
    <n v="0.2063536879008"/>
  </r>
  <r>
    <x v="23"/>
    <x v="3"/>
    <s v="A.MELIP"/>
    <n v="220"/>
    <n v="6.0600000000000003E-3"/>
    <x v="3"/>
    <n v="31.867000000000001"/>
    <x v="1"/>
    <x v="0"/>
    <n v="1.0325599999999999"/>
    <s v="SISTEMA E"/>
    <n v="0.19940181249120001"/>
  </r>
  <r>
    <x v="23"/>
    <x v="3"/>
    <s v="A.MELIP"/>
    <n v="220"/>
    <n v="6.0600000000000003E-3"/>
    <x v="4"/>
    <n v="51.658000000000001"/>
    <x v="1"/>
    <x v="0"/>
    <n v="1.0325599999999999"/>
    <s v="SISTEMA E"/>
    <n v="0.32324030594879999"/>
  </r>
  <r>
    <x v="23"/>
    <x v="3"/>
    <s v="A.MELIP"/>
    <n v="220"/>
    <n v="6.0600000000000003E-3"/>
    <x v="5"/>
    <n v="88.040999999999997"/>
    <x v="1"/>
    <x v="0"/>
    <n v="1.0325599999999999"/>
    <s v="SISTEMA E"/>
    <n v="0.5509001466575999"/>
  </r>
  <r>
    <x v="23"/>
    <x v="3"/>
    <s v="CHARRUA"/>
    <n v="220"/>
    <n v="0.94890799999999997"/>
    <x v="0"/>
    <n v="54.328000000000003"/>
    <x v="0"/>
    <x v="0"/>
    <n v="1.0325599999999999"/>
    <s v="SISTEMA E"/>
    <n v="53.230815859709438"/>
  </r>
  <r>
    <x v="23"/>
    <x v="3"/>
    <s v="CHARRUA"/>
    <n v="220"/>
    <n v="0.94890799999999997"/>
    <x v="1"/>
    <n v="54.436999999999998"/>
    <x v="0"/>
    <x v="0"/>
    <n v="1.0325599999999999"/>
    <s v="SISTEMA E"/>
    <n v="53.337614544157752"/>
  </r>
  <r>
    <x v="23"/>
    <x v="3"/>
    <s v="CHARRUA"/>
    <n v="220"/>
    <n v="0.94890799999999997"/>
    <x v="2"/>
    <n v="39.161000000000001"/>
    <x v="0"/>
    <x v="0"/>
    <n v="1.0325599999999999"/>
    <s v="SISTEMA E"/>
    <n v="38.370121850281272"/>
  </r>
  <r>
    <x v="23"/>
    <x v="3"/>
    <s v="CHARRUA"/>
    <n v="220"/>
    <n v="0.94890799999999997"/>
    <x v="3"/>
    <n v="38.674999999999997"/>
    <x v="0"/>
    <x v="0"/>
    <n v="1.0325599999999999"/>
    <s v="SISTEMA E"/>
    <n v="37.893936890263987"/>
  </r>
  <r>
    <x v="23"/>
    <x v="3"/>
    <s v="CHARRUA"/>
    <n v="220"/>
    <n v="0.94890799999999997"/>
    <x v="4"/>
    <n v="49.055"/>
    <x v="0"/>
    <x v="0"/>
    <n v="1.0325599999999999"/>
    <s v="SISTEMA E"/>
    <n v="48.0643070239664"/>
  </r>
  <r>
    <x v="23"/>
    <x v="3"/>
    <s v="CHARRUA"/>
    <n v="220"/>
    <n v="0.94890799999999997"/>
    <x v="5"/>
    <n v="58.87"/>
    <x v="0"/>
    <x v="0"/>
    <n v="1.0325599999999999"/>
    <s v="SISTEMA E"/>
    <n v="57.681087646537591"/>
  </r>
  <r>
    <x v="23"/>
    <x v="3"/>
    <s v="CHARRUA"/>
    <n v="220"/>
    <n v="0.94890799999999997"/>
    <x v="0"/>
    <n v="65.05"/>
    <x v="1"/>
    <x v="0"/>
    <n v="1.0325599999999999"/>
    <s v="SISTEMA E"/>
    <n v="63.73627911342399"/>
  </r>
  <r>
    <x v="23"/>
    <x v="3"/>
    <s v="CHARRUA"/>
    <n v="220"/>
    <n v="0.94890799999999997"/>
    <x v="1"/>
    <n v="60.055999999999997"/>
    <x v="1"/>
    <x v="0"/>
    <n v="1.0325599999999999"/>
    <s v="SISTEMA E"/>
    <n v="58.84313571769087"/>
  </r>
  <r>
    <x v="23"/>
    <x v="3"/>
    <s v="CHARRUA"/>
    <n v="220"/>
    <n v="0.94890799999999997"/>
    <x v="2"/>
    <n v="33.075000000000003"/>
    <x v="1"/>
    <x v="0"/>
    <n v="1.0325599999999999"/>
    <s v="SISTEMA E"/>
    <n v="32.407032001175999"/>
  </r>
  <r>
    <x v="23"/>
    <x v="3"/>
    <s v="CHARRUA"/>
    <n v="220"/>
    <n v="0.94890799999999997"/>
    <x v="3"/>
    <n v="32.075000000000003"/>
    <x v="1"/>
    <x v="0"/>
    <n v="1.0325599999999999"/>
    <s v="SISTEMA E"/>
    <n v="31.427227556696"/>
  </r>
  <r>
    <x v="23"/>
    <x v="3"/>
    <s v="CHARRUA"/>
    <n v="220"/>
    <n v="0.94890799999999997"/>
    <x v="4"/>
    <n v="50.77"/>
    <x v="1"/>
    <x v="0"/>
    <n v="1.0325599999999999"/>
    <s v="SISTEMA E"/>
    <n v="49.7446716462496"/>
  </r>
  <r>
    <x v="23"/>
    <x v="3"/>
    <s v="CHARRUA"/>
    <n v="220"/>
    <n v="0.94890799999999997"/>
    <x v="5"/>
    <n v="78.662999999999997"/>
    <x v="1"/>
    <x v="0"/>
    <n v="1.0325599999999999"/>
    <s v="SISTEMA E"/>
    <n v="77.074357016130222"/>
  </r>
  <r>
    <x v="23"/>
    <x v="3"/>
    <s v="ITAHUE"/>
    <n v="220"/>
    <n v="1.0462000000000001E-2"/>
    <x v="0"/>
    <n v="55.128"/>
    <x v="0"/>
    <x v="0"/>
    <n v="1.0325599999999999"/>
    <s v="SISTEMA E"/>
    <n v="0.59552808786815992"/>
  </r>
  <r>
    <x v="23"/>
    <x v="3"/>
    <s v="ITAHUE"/>
    <n v="220"/>
    <n v="1.0462000000000001E-2"/>
    <x v="1"/>
    <n v="55.256999999999998"/>
    <x v="0"/>
    <x v="0"/>
    <n v="1.0325599999999999"/>
    <s v="SISTEMA E"/>
    <n v="0.59692162877903998"/>
  </r>
  <r>
    <x v="23"/>
    <x v="3"/>
    <s v="ITAHUE"/>
    <n v="220"/>
    <n v="1.0462000000000001E-2"/>
    <x v="2"/>
    <n v="39.152000000000001"/>
    <x v="0"/>
    <x v="0"/>
    <n v="1.0325599999999999"/>
    <s v="SISTEMA E"/>
    <n v="0.42294506777343999"/>
  </r>
  <r>
    <x v="23"/>
    <x v="3"/>
    <s v="ITAHUE"/>
    <n v="220"/>
    <n v="1.0462000000000001E-2"/>
    <x v="3"/>
    <n v="38.615000000000002"/>
    <x v="0"/>
    <x v="0"/>
    <n v="1.0325599999999999"/>
    <s v="SISTEMA E"/>
    <n v="0.41714404863280002"/>
  </r>
  <r>
    <x v="23"/>
    <x v="3"/>
    <s v="ITAHUE"/>
    <n v="220"/>
    <n v="1.0462000000000001E-2"/>
    <x v="4"/>
    <n v="46.902000000000001"/>
    <x v="0"/>
    <x v="0"/>
    <n v="1.0325599999999999"/>
    <s v="SISTEMA E"/>
    <n v="0.50666554885344006"/>
  </r>
  <r>
    <x v="23"/>
    <x v="3"/>
    <s v="ITAHUE"/>
    <n v="220"/>
    <n v="1.0462000000000001E-2"/>
    <x v="5"/>
    <n v="58.256"/>
    <x v="0"/>
    <x v="0"/>
    <n v="1.0325599999999999"/>
    <s v="SISTEMA E"/>
    <n v="0.62931875429632"/>
  </r>
  <r>
    <x v="23"/>
    <x v="3"/>
    <s v="ITAHUE"/>
    <n v="220"/>
    <n v="1.0462000000000001E-2"/>
    <x v="0"/>
    <n v="66.899000000000001"/>
    <x v="1"/>
    <x v="0"/>
    <n v="1.0325599999999999"/>
    <s v="SISTEMA E"/>
    <n v="0.72268599532528"/>
  </r>
  <r>
    <x v="23"/>
    <x v="3"/>
    <s v="ITAHUE"/>
    <n v="220"/>
    <n v="1.0462000000000001E-2"/>
    <x v="1"/>
    <n v="61.454000000000001"/>
    <x v="1"/>
    <x v="0"/>
    <n v="1.0325599999999999"/>
    <s v="SISTEMA E"/>
    <n v="0.66386560571488007"/>
  </r>
  <r>
    <x v="23"/>
    <x v="3"/>
    <s v="ITAHUE"/>
    <n v="220"/>
    <n v="1.0462000000000001E-2"/>
    <x v="2"/>
    <n v="32.872"/>
    <x v="1"/>
    <x v="0"/>
    <n v="1.0325599999999999"/>
    <s v="SISTEMA E"/>
    <n v="0.35510447149183999"/>
  </r>
  <r>
    <x v="23"/>
    <x v="3"/>
    <s v="ITAHUE"/>
    <n v="220"/>
    <n v="1.0462000000000001E-2"/>
    <x v="3"/>
    <n v="31.65"/>
    <x v="1"/>
    <x v="0"/>
    <n v="1.0325599999999999"/>
    <s v="SISTEMA E"/>
    <n v="0.341903642088"/>
  </r>
  <r>
    <x v="23"/>
    <x v="3"/>
    <s v="ITAHUE"/>
    <n v="220"/>
    <n v="1.0462000000000001E-2"/>
    <x v="4"/>
    <n v="46.981999999999999"/>
    <x v="1"/>
    <x v="0"/>
    <n v="1.0325599999999999"/>
    <s v="SISTEMA E"/>
    <n v="0.50752976027104002"/>
  </r>
  <r>
    <x v="23"/>
    <x v="3"/>
    <s v="ITAHUE"/>
    <n v="220"/>
    <n v="1.0462000000000001E-2"/>
    <x v="5"/>
    <n v="79.751999999999995"/>
    <x v="1"/>
    <x v="0"/>
    <n v="1.0325599999999999"/>
    <s v="SISTEMA E"/>
    <n v="0.86153236220543994"/>
  </r>
  <r>
    <x v="23"/>
    <x v="3"/>
    <s v="RAPEL"/>
    <n v="220"/>
    <n v="3.238E-3"/>
    <x v="0"/>
    <n v="55.825000000000003"/>
    <x v="0"/>
    <x v="0"/>
    <n v="1.0325599999999999"/>
    <s v="SISTEMA E"/>
    <n v="0.18664693955600001"/>
  </r>
  <r>
    <x v="23"/>
    <x v="3"/>
    <s v="RAPEL"/>
    <n v="220"/>
    <n v="3.238E-3"/>
    <x v="1"/>
    <n v="56.061999999999998"/>
    <x v="0"/>
    <x v="0"/>
    <n v="1.0325599999999999"/>
    <s v="SISTEMA E"/>
    <n v="0.18743933229536"/>
  </r>
  <r>
    <x v="23"/>
    <x v="3"/>
    <s v="RAPEL"/>
    <n v="220"/>
    <n v="3.238E-3"/>
    <x v="2"/>
    <n v="39.136000000000003"/>
    <x v="0"/>
    <x v="0"/>
    <n v="1.0325599999999999"/>
    <s v="SISTEMA E"/>
    <n v="0.13084844830208001"/>
  </r>
  <r>
    <x v="23"/>
    <x v="3"/>
    <s v="RAPEL"/>
    <n v="220"/>
    <n v="3.238E-3"/>
    <x v="3"/>
    <n v="38.625"/>
    <x v="0"/>
    <x v="0"/>
    <n v="1.0325599999999999"/>
    <s v="SISTEMA E"/>
    <n v="0.12913995594"/>
  </r>
  <r>
    <x v="23"/>
    <x v="3"/>
    <s v="RAPEL"/>
    <n v="220"/>
    <n v="3.238E-3"/>
    <x v="4"/>
    <n v="49.764000000000003"/>
    <x v="0"/>
    <x v="0"/>
    <n v="1.0325599999999999"/>
    <s v="SISTEMA E"/>
    <n v="0.16638241468991999"/>
  </r>
  <r>
    <x v="23"/>
    <x v="3"/>
    <s v="RAPEL"/>
    <n v="220"/>
    <n v="3.238E-3"/>
    <x v="5"/>
    <n v="61.481999999999999"/>
    <x v="0"/>
    <x v="0"/>
    <n v="1.0325599999999999"/>
    <s v="SISTEMA E"/>
    <n v="0.20556071899296"/>
  </r>
  <r>
    <x v="23"/>
    <x v="3"/>
    <s v="RAPEL"/>
    <n v="220"/>
    <n v="3.238E-3"/>
    <x v="0"/>
    <n v="70.069000000000003"/>
    <x v="1"/>
    <x v="0"/>
    <n v="1.0325599999999999"/>
    <s v="SISTEMA E"/>
    <n v="0.23427074622031999"/>
  </r>
  <r>
    <x v="23"/>
    <x v="3"/>
    <s v="RAPEL"/>
    <n v="220"/>
    <n v="3.238E-3"/>
    <x v="1"/>
    <n v="63.207000000000001"/>
    <x v="1"/>
    <x v="0"/>
    <n v="1.0325599999999999"/>
    <s v="SISTEMA E"/>
    <n v="0.21132813450096"/>
  </r>
  <r>
    <x v="23"/>
    <x v="3"/>
    <s v="RAPEL"/>
    <n v="220"/>
    <n v="3.238E-3"/>
    <x v="2"/>
    <n v="32.453000000000003"/>
    <x v="1"/>
    <x v="0"/>
    <n v="1.0325599999999999"/>
    <s v="SISTEMA E"/>
    <n v="0.10850431042384"/>
  </r>
  <r>
    <x v="23"/>
    <x v="3"/>
    <s v="RAPEL"/>
    <n v="220"/>
    <n v="3.238E-3"/>
    <x v="3"/>
    <n v="30.672000000000001"/>
    <x v="1"/>
    <x v="0"/>
    <n v="1.0325599999999999"/>
    <s v="SISTEMA E"/>
    <n v="0.10254966287616001"/>
  </r>
  <r>
    <x v="23"/>
    <x v="3"/>
    <s v="RAPEL"/>
    <n v="220"/>
    <n v="3.238E-3"/>
    <x v="4"/>
    <n v="51.459000000000003"/>
    <x v="1"/>
    <x v="0"/>
    <n v="1.0325599999999999"/>
    <s v="SISTEMA E"/>
    <n v="0.17204952731952"/>
  </r>
  <r>
    <x v="23"/>
    <x v="3"/>
    <s v="RAPEL"/>
    <n v="220"/>
    <n v="3.238E-3"/>
    <x v="5"/>
    <n v="87.926000000000002"/>
    <x v="1"/>
    <x v="0"/>
    <n v="1.0325599999999999"/>
    <s v="SISTEMA E"/>
    <n v="0.29397436287327999"/>
  </r>
  <r>
    <x v="24"/>
    <x v="2"/>
    <s v="A.JAHUEL"/>
    <n v="220"/>
    <n v="0.37229899999999999"/>
    <x v="0"/>
    <n v="55.936"/>
    <x v="0"/>
    <x v="0"/>
    <n v="1.0325599999999999"/>
    <s v="SISTEMA E"/>
    <n v="21.50297615709184"/>
  </r>
  <r>
    <x v="24"/>
    <x v="2"/>
    <s v="A.JAHUEL"/>
    <n v="220"/>
    <n v="0.37229899999999999"/>
    <x v="1"/>
    <n v="56.033999999999999"/>
    <x v="0"/>
    <x v="0"/>
    <n v="1.0325599999999999"/>
    <s v="SISTEMA E"/>
    <n v="21.540649420524961"/>
  </r>
  <r>
    <x v="24"/>
    <x v="2"/>
    <s v="A.JAHUEL"/>
    <n v="220"/>
    <n v="0.37229899999999999"/>
    <x v="2"/>
    <n v="39.116999999999997"/>
    <x v="0"/>
    <x v="0"/>
    <n v="1.0325599999999999"/>
    <s v="SISTEMA E"/>
    <n v="15.037398425646479"/>
  </r>
  <r>
    <x v="24"/>
    <x v="2"/>
    <s v="A.JAHUEL"/>
    <n v="220"/>
    <n v="0.37229899999999999"/>
    <x v="3"/>
    <n v="38.668999999999997"/>
    <x v="0"/>
    <x v="0"/>
    <n v="1.0325599999999999"/>
    <s v="SISTEMA E"/>
    <n v="14.86517779280936"/>
  </r>
  <r>
    <x v="24"/>
    <x v="2"/>
    <s v="A.JAHUEL"/>
    <n v="220"/>
    <n v="0.37229899999999999"/>
    <x v="4"/>
    <n v="51.475999999999999"/>
    <x v="0"/>
    <x v="0"/>
    <n v="1.0325599999999999"/>
    <s v="SISTEMA E"/>
    <n v="19.788458249829439"/>
  </r>
  <r>
    <x v="24"/>
    <x v="2"/>
    <s v="A.JAHUEL"/>
    <n v="220"/>
    <n v="0.37229899999999999"/>
    <x v="5"/>
    <n v="62.256999999999998"/>
    <x v="0"/>
    <x v="0"/>
    <n v="1.0325599999999999"/>
    <s v="SISTEMA E"/>
    <n v="23.93290164852808"/>
  </r>
  <r>
    <x v="24"/>
    <x v="2"/>
    <s v="A.JAHUEL"/>
    <n v="220"/>
    <n v="0.37229899999999999"/>
    <x v="0"/>
    <n v="69.262"/>
    <x v="1"/>
    <x v="0"/>
    <n v="1.0325599999999999"/>
    <s v="SISTEMA E"/>
    <n v="26.625771141885281"/>
  </r>
  <r>
    <x v="24"/>
    <x v="2"/>
    <s v="A.JAHUEL"/>
    <n v="220"/>
    <n v="0.37229899999999999"/>
    <x v="1"/>
    <n v="62.783000000000001"/>
    <x v="1"/>
    <x v="0"/>
    <n v="1.0325599999999999"/>
    <s v="SISTEMA E"/>
    <n v="24.135107123689519"/>
  </r>
  <r>
    <x v="24"/>
    <x v="2"/>
    <s v="A.JAHUEL"/>
    <n v="220"/>
    <n v="0.37229899999999999"/>
    <x v="2"/>
    <n v="32.915999999999997"/>
    <x v="1"/>
    <x v="0"/>
    <n v="1.0325599999999999"/>
    <s v="SISTEMA E"/>
    <n v="12.653603460863041"/>
  </r>
  <r>
    <x v="24"/>
    <x v="2"/>
    <s v="A.JAHUEL"/>
    <n v="220"/>
    <n v="0.37229899999999999"/>
    <x v="3"/>
    <n v="32.179000000000002"/>
    <x v="1"/>
    <x v="0"/>
    <n v="1.0325599999999999"/>
    <s v="SISTEMA E"/>
    <n v="12.370285143003761"/>
  </r>
  <r>
    <x v="24"/>
    <x v="2"/>
    <s v="A.JAHUEL"/>
    <n v="220"/>
    <n v="0.37229899999999999"/>
    <x v="4"/>
    <n v="54.389000000000003"/>
    <x v="1"/>
    <x v="0"/>
    <n v="1.0325599999999999"/>
    <s v="SISTEMA E"/>
    <n v="20.908276784326159"/>
  </r>
  <r>
    <x v="24"/>
    <x v="2"/>
    <s v="A.JAHUEL"/>
    <n v="220"/>
    <n v="0.37229899999999999"/>
    <x v="5"/>
    <n v="88.427000000000007"/>
    <x v="1"/>
    <x v="0"/>
    <n v="1.0325599999999999"/>
    <s v="SISTEMA E"/>
    <n v="33.993200669392877"/>
  </r>
  <r>
    <x v="24"/>
    <x v="2"/>
    <s v="A.MELIP"/>
    <n v="220"/>
    <n v="4.8929999999999998E-3"/>
    <x v="0"/>
    <n v="56.027999999999999"/>
    <x v="0"/>
    <x v="0"/>
    <n v="1.0325599999999999"/>
    <s v="SISTEMA E"/>
    <n v="0.28307116533024002"/>
  </r>
  <r>
    <x v="24"/>
    <x v="2"/>
    <s v="A.MELIP"/>
    <n v="220"/>
    <n v="4.8929999999999998E-3"/>
    <x v="1"/>
    <n v="56.122999999999998"/>
    <x v="0"/>
    <x v="0"/>
    <n v="1.0325599999999999"/>
    <s v="SISTEMA E"/>
    <n v="0.28355113535783988"/>
  </r>
  <r>
    <x v="24"/>
    <x v="2"/>
    <s v="A.MELIP"/>
    <n v="220"/>
    <n v="4.8929999999999998E-3"/>
    <x v="2"/>
    <n v="39.145000000000003"/>
    <x v="0"/>
    <x v="0"/>
    <n v="1.0325599999999999"/>
    <s v="SISTEMA E"/>
    <n v="0.19777291295159999"/>
  </r>
  <r>
    <x v="24"/>
    <x v="2"/>
    <s v="A.MELIP"/>
    <n v="220"/>
    <n v="4.8929999999999998E-3"/>
    <x v="3"/>
    <n v="38.646999999999998"/>
    <x v="0"/>
    <x v="0"/>
    <n v="1.0325599999999999"/>
    <s v="SISTEMA E"/>
    <n v="0.19525685954375999"/>
  </r>
  <r>
    <x v="24"/>
    <x v="2"/>
    <s v="A.MELIP"/>
    <n v="220"/>
    <n v="4.8929999999999998E-3"/>
    <x v="4"/>
    <n v="49.831000000000003"/>
    <x v="0"/>
    <x v="0"/>
    <n v="1.0325599999999999"/>
    <s v="SISTEMA E"/>
    <n v="0.25176196258248001"/>
  </r>
  <r>
    <x v="24"/>
    <x v="2"/>
    <s v="A.MELIP"/>
    <n v="220"/>
    <n v="4.8929999999999998E-3"/>
    <x v="5"/>
    <n v="61.533000000000001"/>
    <x v="0"/>
    <x v="0"/>
    <n v="1.0325599999999999"/>
    <s v="SISTEMA E"/>
    <n v="0.31088416535064001"/>
  </r>
  <r>
    <x v="24"/>
    <x v="2"/>
    <s v="A.MELIP"/>
    <n v="220"/>
    <n v="4.8929999999999998E-3"/>
    <x v="0"/>
    <n v="70.548000000000002"/>
    <x v="1"/>
    <x v="0"/>
    <n v="1.0325599999999999"/>
    <s v="SISTEMA E"/>
    <n v="0.35643079481183998"/>
  </r>
  <r>
    <x v="24"/>
    <x v="2"/>
    <s v="A.MELIP"/>
    <n v="220"/>
    <n v="4.8929999999999998E-3"/>
    <x v="1"/>
    <n v="63.55"/>
    <x v="1"/>
    <x v="0"/>
    <n v="1.0325599999999999"/>
    <s v="SISTEMA E"/>
    <n v="0.32107468688399998"/>
  </r>
  <r>
    <x v="24"/>
    <x v="2"/>
    <s v="A.MELIP"/>
    <n v="220"/>
    <n v="4.8929999999999998E-3"/>
    <x v="2"/>
    <n v="32.978000000000002"/>
    <x v="1"/>
    <x v="0"/>
    <n v="1.0325599999999999"/>
    <s v="SISTEMA E"/>
    <n v="0.16661527968623999"/>
  </r>
  <r>
    <x v="24"/>
    <x v="2"/>
    <s v="A.MELIP"/>
    <n v="220"/>
    <n v="4.8929999999999998E-3"/>
    <x v="3"/>
    <n v="31.867000000000001"/>
    <x v="1"/>
    <x v="0"/>
    <n v="1.0325599999999999"/>
    <s v="SISTEMA E"/>
    <n v="0.16100215652135999"/>
  </r>
  <r>
    <x v="24"/>
    <x v="2"/>
    <s v="A.MELIP"/>
    <n v="220"/>
    <n v="4.8929999999999998E-3"/>
    <x v="4"/>
    <n v="51.658000000000001"/>
    <x v="1"/>
    <x v="0"/>
    <n v="1.0325599999999999"/>
    <s v="SISTEMA E"/>
    <n v="0.26099254406063999"/>
  </r>
  <r>
    <x v="24"/>
    <x v="2"/>
    <s v="A.MELIP"/>
    <n v="220"/>
    <n v="4.8929999999999998E-3"/>
    <x v="5"/>
    <n v="88.040999999999997"/>
    <x v="1"/>
    <x v="0"/>
    <n v="1.0325599999999999"/>
    <s v="SISTEMA E"/>
    <n v="0.44481095999927989"/>
  </r>
  <r>
    <x v="24"/>
    <x v="2"/>
    <s v="CHARRUA"/>
    <n v="220"/>
    <n v="2.3195E-2"/>
    <x v="0"/>
    <n v="54.328000000000003"/>
    <x v="0"/>
    <x v="0"/>
    <n v="1.0325599999999999"/>
    <s v="SISTEMA E"/>
    <n v="1.3011680519776001"/>
  </r>
  <r>
    <x v="24"/>
    <x v="2"/>
    <s v="CHARRUA"/>
    <n v="220"/>
    <n v="2.3195E-2"/>
    <x v="1"/>
    <n v="54.436999999999998"/>
    <x v="0"/>
    <x v="0"/>
    <n v="1.0325599999999999"/>
    <s v="SISTEMA E"/>
    <n v="1.3037786269603999"/>
  </r>
  <r>
    <x v="24"/>
    <x v="2"/>
    <s v="CHARRUA"/>
    <n v="220"/>
    <n v="2.3195E-2"/>
    <x v="2"/>
    <n v="39.161000000000001"/>
    <x v="0"/>
    <x v="0"/>
    <n v="1.0325599999999999"/>
    <s v="SISTEMA E"/>
    <n v="0.93791492570119994"/>
  </r>
  <r>
    <x v="24"/>
    <x v="2"/>
    <s v="CHARRUA"/>
    <n v="220"/>
    <n v="2.3195E-2"/>
    <x v="3"/>
    <n v="38.674999999999997"/>
    <x v="0"/>
    <x v="0"/>
    <n v="1.0325599999999999"/>
    <s v="SISTEMA E"/>
    <n v="0.92627511430999987"/>
  </r>
  <r>
    <x v="24"/>
    <x v="2"/>
    <s v="CHARRUA"/>
    <n v="220"/>
    <n v="2.3195E-2"/>
    <x v="4"/>
    <n v="49.055"/>
    <x v="0"/>
    <x v="0"/>
    <n v="1.0325599999999999"/>
    <s v="SISTEMA E"/>
    <n v="1.1748784934059999"/>
  </r>
  <r>
    <x v="24"/>
    <x v="2"/>
    <s v="CHARRUA"/>
    <n v="220"/>
    <n v="2.3195E-2"/>
    <x v="5"/>
    <n v="58.87"/>
    <x v="0"/>
    <x v="0"/>
    <n v="1.0325599999999999"/>
    <s v="SISTEMA E"/>
    <n v="1.409949993004"/>
  </r>
  <r>
    <x v="24"/>
    <x v="2"/>
    <s v="CHARRUA"/>
    <n v="220"/>
    <n v="2.3195E-2"/>
    <x v="0"/>
    <n v="65.05"/>
    <x v="1"/>
    <x v="0"/>
    <n v="1.0325599999999999"/>
    <s v="SISTEMA E"/>
    <n v="1.55796240946"/>
  </r>
  <r>
    <x v="24"/>
    <x v="2"/>
    <s v="CHARRUA"/>
    <n v="220"/>
    <n v="2.3195E-2"/>
    <x v="1"/>
    <n v="60.055999999999997"/>
    <x v="1"/>
    <x v="0"/>
    <n v="1.0325599999999999"/>
    <s v="SISTEMA E"/>
    <n v="1.4383549648352001"/>
  </r>
  <r>
    <x v="24"/>
    <x v="2"/>
    <s v="CHARRUA"/>
    <n v="220"/>
    <n v="2.3195E-2"/>
    <x v="2"/>
    <n v="33.075000000000003"/>
    <x v="1"/>
    <x v="0"/>
    <n v="1.0325599999999999"/>
    <s v="SISTEMA E"/>
    <n v="0.79215383079000001"/>
  </r>
  <r>
    <x v="24"/>
    <x v="2"/>
    <s v="CHARRUA"/>
    <n v="220"/>
    <n v="2.3195E-2"/>
    <x v="3"/>
    <n v="32.075000000000003"/>
    <x v="1"/>
    <x v="0"/>
    <n v="1.0325599999999999"/>
    <s v="SISTEMA E"/>
    <n v="0.76820360159000001"/>
  </r>
  <r>
    <x v="24"/>
    <x v="2"/>
    <s v="CHARRUA"/>
    <n v="220"/>
    <n v="2.3195E-2"/>
    <x v="4"/>
    <n v="50.77"/>
    <x v="1"/>
    <x v="0"/>
    <n v="1.0325599999999999"/>
    <s v="SISTEMA E"/>
    <n v="1.2159531364839999"/>
  </r>
  <r>
    <x v="24"/>
    <x v="2"/>
    <s v="CHARRUA"/>
    <n v="220"/>
    <n v="2.3195E-2"/>
    <x v="5"/>
    <n v="78.662999999999997"/>
    <x v="1"/>
    <x v="0"/>
    <n v="1.0325599999999999"/>
    <s v="SISTEMA E"/>
    <n v="1.8839968795596"/>
  </r>
  <r>
    <x v="24"/>
    <x v="2"/>
    <s v="ITAHUE"/>
    <n v="220"/>
    <n v="0.59764799999999996"/>
    <x v="0"/>
    <n v="55.128"/>
    <x v="0"/>
    <x v="0"/>
    <n v="1.0325599999999999"/>
    <s v="SISTEMA E"/>
    <n v="34.019897788016642"/>
  </r>
  <r>
    <x v="24"/>
    <x v="2"/>
    <s v="ITAHUE"/>
    <n v="220"/>
    <n v="0.59764799999999996"/>
    <x v="1"/>
    <n v="55.256999999999998"/>
    <x v="0"/>
    <x v="0"/>
    <n v="1.0325599999999999"/>
    <s v="SISTEMA E"/>
    <n v="34.099504645052157"/>
  </r>
  <r>
    <x v="24"/>
    <x v="2"/>
    <s v="ITAHUE"/>
    <n v="220"/>
    <n v="0.59764799999999996"/>
    <x v="2"/>
    <n v="39.152000000000001"/>
    <x v="0"/>
    <x v="0"/>
    <n v="1.0325599999999999"/>
    <s v="SISTEMA E"/>
    <n v="24.16098966398976"/>
  </r>
  <r>
    <x v="24"/>
    <x v="2"/>
    <s v="ITAHUE"/>
    <n v="220"/>
    <n v="0.59764799999999996"/>
    <x v="3"/>
    <n v="38.615000000000002"/>
    <x v="0"/>
    <x v="0"/>
    <n v="1.0325599999999999"/>
    <s v="SISTEMA E"/>
    <n v="23.829602980051199"/>
  </r>
  <r>
    <x v="24"/>
    <x v="2"/>
    <s v="ITAHUE"/>
    <n v="220"/>
    <n v="0.59764799999999996"/>
    <x v="4"/>
    <n v="46.902000000000001"/>
    <x v="0"/>
    <x v="0"/>
    <n v="1.0325599999999999"/>
    <s v="SISTEMA E"/>
    <n v="28.94357216030976"/>
  </r>
  <r>
    <x v="24"/>
    <x v="2"/>
    <s v="ITAHUE"/>
    <n v="220"/>
    <n v="0.59764799999999996"/>
    <x v="5"/>
    <n v="58.256"/>
    <x v="0"/>
    <x v="0"/>
    <n v="1.0325599999999999"/>
    <s v="SISTEMA E"/>
    <n v="35.95020979427327"/>
  </r>
  <r>
    <x v="24"/>
    <x v="2"/>
    <s v="ITAHUE"/>
    <n v="220"/>
    <n v="0.59764799999999996"/>
    <x v="0"/>
    <n v="66.899000000000001"/>
    <x v="1"/>
    <x v="0"/>
    <n v="1.0325599999999999"/>
    <s v="SISTEMA E"/>
    <n v="41.283869215653112"/>
  </r>
  <r>
    <x v="24"/>
    <x v="2"/>
    <s v="ITAHUE"/>
    <n v="220"/>
    <n v="0.59764799999999996"/>
    <x v="1"/>
    <n v="61.454000000000001"/>
    <x v="1"/>
    <x v="0"/>
    <n v="1.0325599999999999"/>
    <s v="SISTEMA E"/>
    <n v="37.923719319851507"/>
  </r>
  <r>
    <x v="24"/>
    <x v="2"/>
    <s v="ITAHUE"/>
    <n v="220"/>
    <n v="0.59764799999999996"/>
    <x v="2"/>
    <n v="32.872"/>
    <x v="1"/>
    <x v="0"/>
    <n v="1.0325599999999999"/>
    <s v="SISTEMA E"/>
    <n v="20.28555507342336"/>
  </r>
  <r>
    <x v="24"/>
    <x v="2"/>
    <s v="ITAHUE"/>
    <n v="220"/>
    <n v="0.59764799999999996"/>
    <x v="3"/>
    <n v="31.65"/>
    <x v="1"/>
    <x v="0"/>
    <n v="1.0325599999999999"/>
    <s v="SISTEMA E"/>
    <n v="19.531449807552001"/>
  </r>
  <r>
    <x v="24"/>
    <x v="2"/>
    <s v="ITAHUE"/>
    <n v="220"/>
    <n v="0.59764799999999996"/>
    <x v="4"/>
    <n v="46.981999999999999"/>
    <x v="1"/>
    <x v="0"/>
    <n v="1.0325599999999999"/>
    <s v="SISTEMA E"/>
    <n v="28.992940753820161"/>
  </r>
  <r>
    <x v="24"/>
    <x v="2"/>
    <s v="ITAHUE"/>
    <n v="220"/>
    <n v="0.59764799999999996"/>
    <x v="5"/>
    <n v="79.751999999999995"/>
    <x v="1"/>
    <x v="0"/>
    <n v="1.0325599999999999"/>
    <s v="SISTEMA E"/>
    <n v="49.215550870517752"/>
  </r>
  <r>
    <x v="24"/>
    <x v="2"/>
    <s v="RAPEL"/>
    <n v="220"/>
    <n v="1.9650000000000002E-3"/>
    <x v="0"/>
    <n v="55.825000000000003"/>
    <x v="0"/>
    <x v="0"/>
    <n v="1.0325599999999999"/>
    <s v="SISTEMA E"/>
    <n v="0.11326783083"/>
  </r>
  <r>
    <x v="24"/>
    <x v="2"/>
    <s v="RAPEL"/>
    <n v="220"/>
    <n v="1.9650000000000002E-3"/>
    <x v="1"/>
    <n v="56.061999999999998"/>
    <x v="0"/>
    <x v="0"/>
    <n v="1.0325599999999999"/>
    <s v="SISTEMA E"/>
    <n v="0.1137486991848"/>
  </r>
  <r>
    <x v="24"/>
    <x v="2"/>
    <s v="RAPEL"/>
    <n v="220"/>
    <n v="1.9650000000000002E-3"/>
    <x v="2"/>
    <n v="39.136000000000003"/>
    <x v="0"/>
    <x v="0"/>
    <n v="1.0325599999999999"/>
    <s v="SISTEMA E"/>
    <n v="7.9406176934400011E-2"/>
  </r>
  <r>
    <x v="24"/>
    <x v="2"/>
    <s v="RAPEL"/>
    <n v="220"/>
    <n v="1.9650000000000002E-3"/>
    <x v="3"/>
    <n v="38.625"/>
    <x v="0"/>
    <x v="0"/>
    <n v="1.0325599999999999"/>
    <s v="SISTEMA E"/>
    <n v="7.8369367950000005E-2"/>
  </r>
  <r>
    <x v="24"/>
    <x v="2"/>
    <s v="RAPEL"/>
    <n v="220"/>
    <n v="1.9650000000000002E-3"/>
    <x v="4"/>
    <n v="49.764000000000003"/>
    <x v="0"/>
    <x v="0"/>
    <n v="1.0325599999999999"/>
    <s v="SISTEMA E"/>
    <n v="0.1009701806256"/>
  </r>
  <r>
    <x v="24"/>
    <x v="2"/>
    <s v="RAPEL"/>
    <n v="220"/>
    <n v="1.9650000000000002E-3"/>
    <x v="5"/>
    <n v="61.481999999999999"/>
    <x v="0"/>
    <x v="0"/>
    <n v="1.0325599999999999"/>
    <s v="SISTEMA E"/>
    <n v="0.1247457729528"/>
  </r>
  <r>
    <x v="24"/>
    <x v="2"/>
    <s v="RAPEL"/>
    <n v="220"/>
    <n v="1.9650000000000002E-3"/>
    <x v="0"/>
    <n v="70.069000000000003"/>
    <x v="1"/>
    <x v="0"/>
    <n v="1.0325599999999999"/>
    <s v="SISTEMA E"/>
    <n v="0.14216862764759999"/>
  </r>
  <r>
    <x v="24"/>
    <x v="2"/>
    <s v="RAPEL"/>
    <n v="220"/>
    <n v="1.9650000000000002E-3"/>
    <x v="1"/>
    <n v="63.207000000000001"/>
    <x v="1"/>
    <x v="0"/>
    <n v="1.0325599999999999"/>
    <s v="SISTEMA E"/>
    <n v="0.12824576414280001"/>
  </r>
  <r>
    <x v="24"/>
    <x v="2"/>
    <s v="RAPEL"/>
    <n v="220"/>
    <n v="1.9650000000000002E-3"/>
    <x v="2"/>
    <n v="32.453000000000003"/>
    <x v="1"/>
    <x v="0"/>
    <n v="1.0325599999999999"/>
    <s v="SISTEMA E"/>
    <n v="6.5846500921200007E-2"/>
  </r>
  <r>
    <x v="24"/>
    <x v="2"/>
    <s v="RAPEL"/>
    <n v="220"/>
    <n v="1.9650000000000002E-3"/>
    <x v="3"/>
    <n v="30.672000000000001"/>
    <x v="1"/>
    <x v="0"/>
    <n v="1.0325599999999999"/>
    <s v="SISTEMA E"/>
    <n v="6.2232886828800002E-2"/>
  </r>
  <r>
    <x v="24"/>
    <x v="2"/>
    <s v="RAPEL"/>
    <n v="220"/>
    <n v="1.9650000000000002E-3"/>
    <x v="4"/>
    <n v="51.459000000000003"/>
    <x v="1"/>
    <x v="0"/>
    <n v="1.0325599999999999"/>
    <s v="SISTEMA E"/>
    <n v="0.1044093024036"/>
  </r>
  <r>
    <x v="24"/>
    <x v="2"/>
    <s v="RAPEL"/>
    <n v="220"/>
    <n v="1.9650000000000002E-3"/>
    <x v="5"/>
    <n v="87.926000000000002"/>
    <x v="1"/>
    <x v="0"/>
    <n v="1.0325599999999999"/>
    <s v="SISTEMA E"/>
    <n v="0.1784001306504"/>
  </r>
  <r>
    <x v="25"/>
    <x v="2"/>
    <s v="CAUTIN"/>
    <n v="220"/>
    <n v="1.1440000000000001E-3"/>
    <x v="0"/>
    <n v="53.277000000000001"/>
    <x v="0"/>
    <x v="0"/>
    <n v="1.0325599999999999"/>
    <s v="SISTEMA E"/>
    <n v="6.2933383793280007E-2"/>
  </r>
  <r>
    <x v="25"/>
    <x v="2"/>
    <s v="CAUTIN"/>
    <n v="220"/>
    <n v="1.1440000000000001E-3"/>
    <x v="1"/>
    <n v="53.445999999999998"/>
    <x v="0"/>
    <x v="0"/>
    <n v="1.0325599999999999"/>
    <s v="SISTEMA E"/>
    <n v="6.3133014813439997E-2"/>
  </r>
  <r>
    <x v="25"/>
    <x v="2"/>
    <s v="CAUTIN"/>
    <n v="220"/>
    <n v="1.1440000000000001E-3"/>
    <x v="2"/>
    <n v="39.104999999999997"/>
    <x v="0"/>
    <x v="0"/>
    <n v="1.0325599999999999"/>
    <s v="SISTEMA E"/>
    <n v="4.6192728067199991E-2"/>
  </r>
  <r>
    <x v="25"/>
    <x v="2"/>
    <s v="CAUTIN"/>
    <n v="220"/>
    <n v="1.1440000000000001E-3"/>
    <x v="3"/>
    <n v="38.667000000000002"/>
    <x v="0"/>
    <x v="0"/>
    <n v="1.0325599999999999"/>
    <s v="SISTEMA E"/>
    <n v="4.5675341162880002E-2"/>
  </r>
  <r>
    <x v="25"/>
    <x v="2"/>
    <s v="CAUTIN"/>
    <n v="220"/>
    <n v="1.1440000000000001E-3"/>
    <x v="4"/>
    <n v="49.026000000000003"/>
    <x v="0"/>
    <x v="0"/>
    <n v="1.0325599999999999"/>
    <s v="SISTEMA E"/>
    <n v="5.791189582464E-2"/>
  </r>
  <r>
    <x v="25"/>
    <x v="2"/>
    <s v="CAUTIN"/>
    <n v="220"/>
    <n v="1.1440000000000001E-3"/>
    <x v="5"/>
    <n v="57.997"/>
    <x v="0"/>
    <x v="0"/>
    <n v="1.0325599999999999"/>
    <s v="SISTEMA E"/>
    <n v="6.8508877374079985E-2"/>
  </r>
  <r>
    <x v="25"/>
    <x v="2"/>
    <s v="CAUTIN"/>
    <n v="220"/>
    <n v="1.1440000000000001E-3"/>
    <x v="0"/>
    <n v="63.264000000000003"/>
    <x v="1"/>
    <x v="0"/>
    <n v="1.0325599999999999"/>
    <s v="SISTEMA E"/>
    <n v="7.4730513960960004E-2"/>
  </r>
  <r>
    <x v="25"/>
    <x v="2"/>
    <s v="CAUTIN"/>
    <n v="220"/>
    <n v="1.1440000000000001E-3"/>
    <x v="1"/>
    <n v="58.51"/>
    <x v="1"/>
    <x v="0"/>
    <n v="1.0325599999999999"/>
    <s v="SISTEMA E"/>
    <n v="6.91148579264E-2"/>
  </r>
  <r>
    <x v="25"/>
    <x v="2"/>
    <s v="CAUTIN"/>
    <n v="220"/>
    <n v="1.1440000000000001E-3"/>
    <x v="2"/>
    <n v="32.847999999999999"/>
    <x v="1"/>
    <x v="0"/>
    <n v="1.0325599999999999"/>
    <s v="SISTEMA E"/>
    <n v="3.8801655326720003E-2"/>
  </r>
  <r>
    <x v="25"/>
    <x v="2"/>
    <s v="CAUTIN"/>
    <n v="220"/>
    <n v="1.1440000000000001E-3"/>
    <x v="3"/>
    <n v="32.058"/>
    <x v="1"/>
    <x v="0"/>
    <n v="1.0325599999999999"/>
    <s v="SISTEMA E"/>
    <n v="3.786846890112E-2"/>
  </r>
  <r>
    <x v="25"/>
    <x v="2"/>
    <s v="CAUTIN"/>
    <n v="220"/>
    <n v="1.1440000000000001E-3"/>
    <x v="4"/>
    <n v="50.432000000000002"/>
    <x v="1"/>
    <x v="0"/>
    <n v="1.0325599999999999"/>
    <s v="SISTEMA E"/>
    <n v="5.9572731412479998E-2"/>
  </r>
  <r>
    <x v="25"/>
    <x v="2"/>
    <s v="CAUTIN"/>
    <n v="220"/>
    <n v="1.1440000000000001E-3"/>
    <x v="5"/>
    <n v="76.081000000000003"/>
    <x v="1"/>
    <x v="0"/>
    <n v="1.0325599999999999"/>
    <s v="SISTEMA E"/>
    <n v="8.9870577779840005E-2"/>
  </r>
  <r>
    <x v="25"/>
    <x v="2"/>
    <s v="CHARRUA"/>
    <n v="220"/>
    <n v="4.8458000000000001E-2"/>
    <x v="0"/>
    <n v="54.328000000000003"/>
    <x v="0"/>
    <x v="0"/>
    <n v="1.0325599999999999"/>
    <s v="SISTEMA E"/>
    <n v="2.7183445338534402"/>
  </r>
  <r>
    <x v="25"/>
    <x v="2"/>
    <s v="CHARRUA"/>
    <n v="220"/>
    <n v="4.8458000000000001E-2"/>
    <x v="1"/>
    <n v="54.436999999999998"/>
    <x v="0"/>
    <x v="0"/>
    <n v="1.0325599999999999"/>
    <s v="SISTEMA E"/>
    <n v="2.7237984352337601"/>
  </r>
  <r>
    <x v="25"/>
    <x v="2"/>
    <s v="CHARRUA"/>
    <n v="220"/>
    <n v="4.8458000000000001E-2"/>
    <x v="2"/>
    <n v="39.161000000000001"/>
    <x v="0"/>
    <x v="0"/>
    <n v="1.0325599999999999"/>
    <s v="SISTEMA E"/>
    <n v="1.9594516693092801"/>
  </r>
  <r>
    <x v="25"/>
    <x v="2"/>
    <s v="CHARRUA"/>
    <n v="220"/>
    <n v="4.8458000000000001E-2"/>
    <x v="3"/>
    <n v="38.674999999999997"/>
    <x v="0"/>
    <x v="0"/>
    <n v="1.0325599999999999"/>
    <s v="SISTEMA E"/>
    <n v="1.9351342741640001"/>
  </r>
  <r>
    <x v="25"/>
    <x v="2"/>
    <s v="CHARRUA"/>
    <n v="220"/>
    <n v="4.8458000000000001E-2"/>
    <x v="4"/>
    <n v="49.055"/>
    <x v="0"/>
    <x v="0"/>
    <n v="1.0325599999999999"/>
    <s v="SISTEMA E"/>
    <n v="2.4545058001064"/>
  </r>
  <r>
    <x v="25"/>
    <x v="2"/>
    <s v="CHARRUA"/>
    <n v="220"/>
    <n v="4.8458000000000001E-2"/>
    <x v="5"/>
    <n v="58.87"/>
    <x v="0"/>
    <x v="0"/>
    <n v="1.0325599999999999"/>
    <s v="SISTEMA E"/>
    <n v="2.9456071032976001"/>
  </r>
  <r>
    <x v="25"/>
    <x v="2"/>
    <s v="CHARRUA"/>
    <n v="220"/>
    <n v="4.8458000000000001E-2"/>
    <x v="0"/>
    <n v="65.05"/>
    <x v="1"/>
    <x v="0"/>
    <n v="1.0325599999999999"/>
    <s v="SISTEMA E"/>
    <n v="3.2548283008239989"/>
  </r>
  <r>
    <x v="25"/>
    <x v="2"/>
    <s v="CHARRUA"/>
    <n v="220"/>
    <n v="4.8458000000000001E-2"/>
    <x v="1"/>
    <n v="60.055999999999997"/>
    <x v="1"/>
    <x v="0"/>
    <n v="1.0325599999999999"/>
    <s v="SISTEMA E"/>
    <n v="3.004949553178879"/>
  </r>
  <r>
    <x v="25"/>
    <x v="2"/>
    <s v="CHARRUA"/>
    <n v="220"/>
    <n v="4.8458000000000001E-2"/>
    <x v="2"/>
    <n v="33.075000000000003"/>
    <x v="1"/>
    <x v="0"/>
    <n v="1.0325599999999999"/>
    <s v="SISTEMA E"/>
    <n v="1.654933836276"/>
  </r>
  <r>
    <x v="25"/>
    <x v="2"/>
    <s v="CHARRUA"/>
    <n v="220"/>
    <n v="4.8458000000000001E-2"/>
    <x v="3"/>
    <n v="32.075000000000003"/>
    <x v="1"/>
    <x v="0"/>
    <n v="1.0325599999999999"/>
    <s v="SISTEMA E"/>
    <n v="1.6048980437960001"/>
  </r>
  <r>
    <x v="25"/>
    <x v="2"/>
    <s v="CHARRUA"/>
    <n v="220"/>
    <n v="4.8458000000000001E-2"/>
    <x v="4"/>
    <n v="50.77"/>
    <x v="1"/>
    <x v="0"/>
    <n v="1.0325599999999999"/>
    <s v="SISTEMA E"/>
    <n v="2.5403171842096"/>
  </r>
  <r>
    <x v="25"/>
    <x v="2"/>
    <s v="CHARRUA"/>
    <n v="220"/>
    <n v="4.8458000000000001E-2"/>
    <x v="5"/>
    <n v="78.662999999999997"/>
    <x v="1"/>
    <x v="0"/>
    <n v="1.0325599999999999"/>
    <s v="SISTEMA E"/>
    <n v="3.9359655438542389"/>
  </r>
  <r>
    <x v="25"/>
    <x v="2"/>
    <s v="TEMUCO"/>
    <n v="220"/>
    <n v="0.95039799999999997"/>
    <x v="0"/>
    <n v="53.829000000000001"/>
    <x v="0"/>
    <x v="0"/>
    <n v="1.0325599999999999"/>
    <s v="SISTEMA E"/>
    <n v="52.824710133551513"/>
  </r>
  <r>
    <x v="25"/>
    <x v="2"/>
    <s v="TEMUCO"/>
    <n v="220"/>
    <n v="0.95039799999999997"/>
    <x v="1"/>
    <n v="53.953000000000003"/>
    <x v="0"/>
    <x v="0"/>
    <n v="1.0325599999999999"/>
    <s v="SISTEMA E"/>
    <n v="52.946396660452642"/>
  </r>
  <r>
    <x v="25"/>
    <x v="2"/>
    <s v="TEMUCO"/>
    <n v="220"/>
    <n v="0.95039799999999997"/>
    <x v="2"/>
    <n v="39.148000000000003"/>
    <x v="0"/>
    <x v="0"/>
    <n v="1.0325599999999999"/>
    <s v="SISTEMA E"/>
    <n v="38.417614154234244"/>
  </r>
  <r>
    <x v="25"/>
    <x v="2"/>
    <s v="TEMUCO"/>
    <n v="220"/>
    <n v="0.95039799999999997"/>
    <x v="3"/>
    <n v="38.685000000000002"/>
    <x v="0"/>
    <x v="0"/>
    <n v="1.0325599999999999"/>
    <s v="SISTEMA E"/>
    <n v="37.963252364272797"/>
  </r>
  <r>
    <x v="25"/>
    <x v="2"/>
    <s v="TEMUCO"/>
    <n v="220"/>
    <n v="0.95039799999999997"/>
    <x v="4"/>
    <n v="48.414000000000001"/>
    <x v="0"/>
    <x v="0"/>
    <n v="1.0325599999999999"/>
    <s v="SISTEMA E"/>
    <n v="47.510738011216318"/>
  </r>
  <r>
    <x v="25"/>
    <x v="2"/>
    <s v="TEMUCO"/>
    <n v="220"/>
    <n v="0.95039799999999997"/>
    <x v="5"/>
    <n v="58.081000000000003"/>
    <x v="0"/>
    <x v="0"/>
    <n v="1.0325599999999999"/>
    <s v="SISTEMA E"/>
    <n v="56.997380394709268"/>
  </r>
  <r>
    <x v="25"/>
    <x v="2"/>
    <s v="TEMUCO"/>
    <n v="220"/>
    <n v="0.95039799999999997"/>
    <x v="0"/>
    <n v="63.616"/>
    <x v="1"/>
    <x v="0"/>
    <n v="1.0325599999999999"/>
    <s v="SISTEMA E"/>
    <n v="62.42911367211007"/>
  </r>
  <r>
    <x v="25"/>
    <x v="2"/>
    <s v="TEMUCO"/>
    <n v="220"/>
    <n v="0.95039799999999997"/>
    <x v="1"/>
    <n v="58.975000000000001"/>
    <x v="1"/>
    <x v="0"/>
    <n v="1.0325599999999999"/>
    <s v="SISTEMA E"/>
    <n v="57.874700999947997"/>
  </r>
  <r>
    <x v="25"/>
    <x v="2"/>
    <s v="TEMUCO"/>
    <n v="220"/>
    <n v="0.95039799999999997"/>
    <x v="2"/>
    <n v="33.026000000000003"/>
    <x v="1"/>
    <x v="0"/>
    <n v="1.0325599999999999"/>
    <s v="SISTEMA E"/>
    <n v="32.40983255997088"/>
  </r>
  <r>
    <x v="25"/>
    <x v="2"/>
    <s v="TEMUCO"/>
    <n v="220"/>
    <n v="0.95039799999999997"/>
    <x v="3"/>
    <n v="32.063000000000002"/>
    <x v="1"/>
    <x v="0"/>
    <n v="1.0325599999999999"/>
    <s v="SISTEMA E"/>
    <n v="31.464799290569442"/>
  </r>
  <r>
    <x v="25"/>
    <x v="2"/>
    <s v="TEMUCO"/>
    <n v="220"/>
    <n v="0.95039799999999997"/>
    <x v="4"/>
    <n v="49.460999999999999"/>
    <x v="1"/>
    <x v="0"/>
    <n v="1.0325599999999999"/>
    <s v="SISTEMA E"/>
    <n v="48.538204089163671"/>
  </r>
  <r>
    <x v="25"/>
    <x v="2"/>
    <s v="TEMUCO"/>
    <n v="220"/>
    <n v="0.95039799999999997"/>
    <x v="5"/>
    <n v="76.272000000000006"/>
    <x v="1"/>
    <x v="0"/>
    <n v="1.0325599999999999"/>
    <s v="SISTEMA E"/>
    <n v="74.8489901596953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8D285E-580C-4C58-BF1F-96BC5FC5B056}" name="TablaDinámica1" cacheId="1" applyNumberFormats="0" applyBorderFormats="0" applyFontFormats="0" applyPatternFormats="0" applyAlignmentFormats="0" applyWidthHeightFormats="1" dataCaption="Valores" updatedVersion="8" minRefreshableVersion="3" showDrill="0" rowGrandTotals="0" colGrandTotals="0" itemPrintTitles="1" createdVersion="8" indent="0" compact="0" compactData="0" multipleFieldFilters="0">
  <location ref="A3:F315" firstHeaderRow="1" firstDataRow="1" firstDataCol="5"/>
  <pivotFields count="12">
    <pivotField axis="axisRow" compact="0" outline="0" showAll="0" sortType="ascending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2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1"/>
    <field x="5"/>
    <field x="7"/>
    <field x="8"/>
  </rowFields>
  <rowItems count="312">
    <i>
      <x/>
      <x v="1"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1"/>
      <x v="2"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2"/>
      <x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3"/>
      <x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4"/>
      <x v="2"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5"/>
      <x v="2"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6"/>
      <x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7"/>
      <x v="1"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8"/>
      <x v="2"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9"/>
      <x v="2"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10"/>
      <x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11"/>
      <x v="3"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12"/>
      <x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13"/>
      <x v="2"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14"/>
      <x v="2"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15"/>
      <x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16"/>
      <x v="2"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17"/>
      <x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18"/>
      <x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19"/>
      <x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20"/>
      <x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21"/>
      <x v="2"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22"/>
      <x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23"/>
      <x v="3"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24"/>
      <x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  <i>
      <x v="25"/>
      <x/>
      <x/>
      <x/>
      <x/>
    </i>
    <i r="3">
      <x v="1"/>
      <x/>
    </i>
    <i r="2">
      <x v="1"/>
      <x/>
      <x/>
    </i>
    <i r="3">
      <x v="1"/>
      <x/>
    </i>
    <i r="2">
      <x v="2"/>
      <x/>
      <x/>
    </i>
    <i r="3">
      <x v="1"/>
      <x/>
    </i>
    <i r="2">
      <x v="3"/>
      <x/>
      <x/>
    </i>
    <i r="3">
      <x v="1"/>
      <x/>
    </i>
    <i r="2">
      <x v="4"/>
      <x/>
      <x/>
    </i>
    <i r="3">
      <x v="1"/>
      <x/>
    </i>
    <i r="2">
      <x v="5"/>
      <x/>
      <x/>
    </i>
    <i r="3">
      <x v="1"/>
      <x/>
    </i>
  </rowItems>
  <colItems count="1">
    <i/>
  </colItems>
  <dataFields count="1">
    <dataField name="Precio estabilizado" fld="11" baseField="0" baseItem="0" numFmtId="4"/>
  </dataFields>
  <formats count="769">
    <format dxfId="780">
      <pivotArea outline="0" collapsedLevelsAreSubtotals="1" fieldPosition="0"/>
    </format>
    <format dxfId="779">
      <pivotArea dataOnly="0" labelOnly="1" outline="0" fieldPosition="0">
        <references count="1">
          <reference field="0" count="0"/>
        </references>
      </pivotArea>
    </format>
    <format dxfId="778">
      <pivotArea dataOnly="0" labelOnly="1" outline="0" fieldPosition="0">
        <references count="2">
          <reference field="0" count="1" selected="0">
            <x v="1"/>
          </reference>
          <reference field="1" count="1">
            <x v="2"/>
          </reference>
        </references>
      </pivotArea>
    </format>
    <format dxfId="777">
      <pivotArea dataOnly="0" labelOnly="1" outline="0" fieldPosition="0">
        <references count="2">
          <reference field="0" count="1" selected="0">
            <x v="2"/>
          </reference>
          <reference field="1" count="1">
            <x v="0"/>
          </reference>
        </references>
      </pivotArea>
    </format>
    <format dxfId="776">
      <pivotArea dataOnly="0" labelOnly="1" outline="0" fieldPosition="0">
        <references count="2">
          <reference field="0" count="1" selected="0">
            <x v="4"/>
          </reference>
          <reference field="1" count="1">
            <x v="2"/>
          </reference>
        </references>
      </pivotArea>
    </format>
    <format dxfId="775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774">
      <pivotArea dataOnly="0" labelOnly="1" outline="0" fieldPosition="0">
        <references count="2">
          <reference field="0" count="1" selected="0">
            <x v="7"/>
          </reference>
          <reference field="1" count="1">
            <x v="1"/>
          </reference>
        </references>
      </pivotArea>
    </format>
    <format dxfId="773">
      <pivotArea dataOnly="0" labelOnly="1" outline="0" fieldPosition="0">
        <references count="2">
          <reference field="0" count="1" selected="0">
            <x v="8"/>
          </reference>
          <reference field="1" count="1">
            <x v="2"/>
          </reference>
        </references>
      </pivotArea>
    </format>
    <format dxfId="772">
      <pivotArea dataOnly="0" labelOnly="1" outline="0" fieldPosition="0">
        <references count="2">
          <reference field="0" count="1" selected="0">
            <x v="10"/>
          </reference>
          <reference field="1" count="1">
            <x v="0"/>
          </reference>
        </references>
      </pivotArea>
    </format>
    <format dxfId="771">
      <pivotArea dataOnly="0" labelOnly="1" outline="0" fieldPosition="0">
        <references count="2">
          <reference field="0" count="1" selected="0">
            <x v="11"/>
          </reference>
          <reference field="1" count="1">
            <x v="3"/>
          </reference>
        </references>
      </pivotArea>
    </format>
    <format dxfId="770">
      <pivotArea dataOnly="0" labelOnly="1" outline="0" fieldPosition="0">
        <references count="2">
          <reference field="0" count="1" selected="0">
            <x v="12"/>
          </reference>
          <reference field="1" count="1">
            <x v="0"/>
          </reference>
        </references>
      </pivotArea>
    </format>
    <format dxfId="769">
      <pivotArea dataOnly="0" labelOnly="1" outline="0" fieldPosition="0">
        <references count="2">
          <reference field="0" count="1" selected="0">
            <x v="13"/>
          </reference>
          <reference field="1" count="1">
            <x v="2"/>
          </reference>
        </references>
      </pivotArea>
    </format>
    <format dxfId="768">
      <pivotArea dataOnly="0" labelOnly="1" outline="0" fieldPosition="0">
        <references count="2">
          <reference field="0" count="1" selected="0">
            <x v="15"/>
          </reference>
          <reference field="1" count="1">
            <x v="0"/>
          </reference>
        </references>
      </pivotArea>
    </format>
    <format dxfId="767">
      <pivotArea dataOnly="0" labelOnly="1" outline="0" fieldPosition="0">
        <references count="2">
          <reference field="0" count="1" selected="0">
            <x v="16"/>
          </reference>
          <reference field="1" count="1">
            <x v="2"/>
          </reference>
        </references>
      </pivotArea>
    </format>
    <format dxfId="766">
      <pivotArea dataOnly="0" labelOnly="1" outline="0" fieldPosition="0">
        <references count="2">
          <reference field="0" count="1" selected="0">
            <x v="18"/>
          </reference>
          <reference field="1" count="1">
            <x v="0"/>
          </reference>
        </references>
      </pivotArea>
    </format>
    <format dxfId="765">
      <pivotArea dataOnly="0" labelOnly="1" outline="0" fieldPosition="0">
        <references count="2">
          <reference field="0" count="1" selected="0">
            <x v="21"/>
          </reference>
          <reference field="1" count="1">
            <x v="2"/>
          </reference>
        </references>
      </pivotArea>
    </format>
    <format dxfId="764">
      <pivotArea dataOnly="0" labelOnly="1" outline="0" fieldPosition="0">
        <references count="2">
          <reference field="0" count="1" selected="0">
            <x v="22"/>
          </reference>
          <reference field="1" count="1">
            <x v="0"/>
          </reference>
        </references>
      </pivotArea>
    </format>
    <format dxfId="76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5" count="0"/>
        </references>
      </pivotArea>
    </format>
    <format dxfId="762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5" count="0"/>
        </references>
      </pivotArea>
    </format>
    <format dxfId="76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0"/>
          </reference>
          <reference field="5" count="0"/>
        </references>
      </pivotArea>
    </format>
    <format dxfId="760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"/>
          </reference>
          <reference field="5" count="0"/>
        </references>
      </pivotArea>
    </format>
    <format dxfId="75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5" count="0"/>
        </references>
      </pivotArea>
    </format>
    <format dxfId="758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0"/>
          </reference>
          <reference field="5" count="0"/>
        </references>
      </pivotArea>
    </format>
    <format dxfId="757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1"/>
          </reference>
          <reference field="5" count="0"/>
        </references>
      </pivotArea>
    </format>
    <format dxfId="756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5" count="0"/>
        </references>
      </pivotArea>
    </format>
    <format dxfId="755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2"/>
          </reference>
          <reference field="5" count="0"/>
        </references>
      </pivotArea>
    </format>
    <format dxfId="754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0"/>
          </reference>
          <reference field="5" count="0"/>
        </references>
      </pivotArea>
    </format>
    <format dxfId="753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3"/>
          </reference>
          <reference field="5" count="0"/>
        </references>
      </pivotArea>
    </format>
    <format dxfId="752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0"/>
          </reference>
          <reference field="5" count="0"/>
        </references>
      </pivotArea>
    </format>
    <format dxfId="751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2"/>
          </reference>
          <reference field="5" count="0"/>
        </references>
      </pivotArea>
    </format>
    <format dxfId="750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2"/>
          </reference>
          <reference field="5" count="0"/>
        </references>
      </pivotArea>
    </format>
    <format dxfId="749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0"/>
          </reference>
          <reference field="5" count="0"/>
        </references>
      </pivotArea>
    </format>
    <format dxfId="748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2"/>
          </reference>
          <reference field="5" count="0"/>
        </references>
      </pivotArea>
    </format>
    <format dxfId="747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0"/>
          </reference>
          <reference field="5" count="0"/>
        </references>
      </pivotArea>
    </format>
    <format dxfId="74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0"/>
          </reference>
          <reference field="5" count="0"/>
        </references>
      </pivotArea>
    </format>
    <format dxfId="745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0"/>
          </reference>
          <reference field="5" count="0"/>
        </references>
      </pivotArea>
    </format>
    <format dxfId="744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"/>
          </reference>
          <reference field="5" count="0"/>
        </references>
      </pivotArea>
    </format>
    <format dxfId="743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0"/>
          </reference>
          <reference field="5" count="0"/>
        </references>
      </pivotArea>
    </format>
    <format dxfId="742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0"/>
          </reference>
          <reference field="5" count="0"/>
        </references>
      </pivotArea>
    </format>
    <format dxfId="74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0"/>
          </reference>
          <reference field="5" count="0"/>
        </references>
      </pivotArea>
    </format>
    <format dxfId="74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5" count="1" selected="0">
            <x v="0"/>
          </reference>
          <reference field="8" count="0"/>
        </references>
      </pivotArea>
    </format>
    <format dxfId="73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738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737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736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735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73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733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732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731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730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729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728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727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726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725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724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723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722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721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720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719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718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717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716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715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714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713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712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711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710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709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708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707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706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705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704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703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702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701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700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99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98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97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96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95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94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93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92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91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90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89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88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87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86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85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84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83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82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81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80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79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78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77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76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75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74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73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72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71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70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69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68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67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66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65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64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63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62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61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60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59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58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57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56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55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54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53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52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51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50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49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48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47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46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45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44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43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42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41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40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39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38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37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36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35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34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33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32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31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30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29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28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27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26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25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24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23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22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21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20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19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18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17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16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15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14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13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12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11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10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09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08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07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06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05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04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03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02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01">
      <pivotArea outline="0" collapsedLevelsAreSubtotals="1" fieldPosition="0"/>
    </format>
    <format dxfId="600">
      <pivotArea dataOnly="0" labelOnly="1" outline="0" fieldPosition="0">
        <references count="1">
          <reference field="0" count="0"/>
        </references>
      </pivotArea>
    </format>
    <format dxfId="599">
      <pivotArea dataOnly="0" labelOnly="1" outline="0" fieldPosition="0">
        <references count="2">
          <reference field="0" count="1" selected="0">
            <x v="1"/>
          </reference>
          <reference field="1" count="1">
            <x v="2"/>
          </reference>
        </references>
      </pivotArea>
    </format>
    <format dxfId="598">
      <pivotArea dataOnly="0" labelOnly="1" outline="0" fieldPosition="0">
        <references count="2">
          <reference field="0" count="1" selected="0">
            <x v="2"/>
          </reference>
          <reference field="1" count="1">
            <x v="0"/>
          </reference>
        </references>
      </pivotArea>
    </format>
    <format dxfId="597">
      <pivotArea dataOnly="0" labelOnly="1" outline="0" fieldPosition="0">
        <references count="2">
          <reference field="0" count="1" selected="0">
            <x v="4"/>
          </reference>
          <reference field="1" count="1">
            <x v="2"/>
          </reference>
        </references>
      </pivotArea>
    </format>
    <format dxfId="596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595">
      <pivotArea dataOnly="0" labelOnly="1" outline="0" fieldPosition="0">
        <references count="2">
          <reference field="0" count="1" selected="0">
            <x v="7"/>
          </reference>
          <reference field="1" count="1">
            <x v="1"/>
          </reference>
        </references>
      </pivotArea>
    </format>
    <format dxfId="594">
      <pivotArea dataOnly="0" labelOnly="1" outline="0" fieldPosition="0">
        <references count="2">
          <reference field="0" count="1" selected="0">
            <x v="8"/>
          </reference>
          <reference field="1" count="1">
            <x v="2"/>
          </reference>
        </references>
      </pivotArea>
    </format>
    <format dxfId="593">
      <pivotArea dataOnly="0" labelOnly="1" outline="0" fieldPosition="0">
        <references count="2">
          <reference field="0" count="1" selected="0">
            <x v="10"/>
          </reference>
          <reference field="1" count="1">
            <x v="0"/>
          </reference>
        </references>
      </pivotArea>
    </format>
    <format dxfId="592">
      <pivotArea dataOnly="0" labelOnly="1" outline="0" fieldPosition="0">
        <references count="2">
          <reference field="0" count="1" selected="0">
            <x v="11"/>
          </reference>
          <reference field="1" count="1">
            <x v="3"/>
          </reference>
        </references>
      </pivotArea>
    </format>
    <format dxfId="591">
      <pivotArea dataOnly="0" labelOnly="1" outline="0" fieldPosition="0">
        <references count="2">
          <reference field="0" count="1" selected="0">
            <x v="12"/>
          </reference>
          <reference field="1" count="1">
            <x v="0"/>
          </reference>
        </references>
      </pivotArea>
    </format>
    <format dxfId="590">
      <pivotArea dataOnly="0" labelOnly="1" outline="0" fieldPosition="0">
        <references count="2">
          <reference field="0" count="1" selected="0">
            <x v="13"/>
          </reference>
          <reference field="1" count="1">
            <x v="2"/>
          </reference>
        </references>
      </pivotArea>
    </format>
    <format dxfId="589">
      <pivotArea dataOnly="0" labelOnly="1" outline="0" fieldPosition="0">
        <references count="2">
          <reference field="0" count="1" selected="0">
            <x v="15"/>
          </reference>
          <reference field="1" count="1">
            <x v="0"/>
          </reference>
        </references>
      </pivotArea>
    </format>
    <format dxfId="588">
      <pivotArea dataOnly="0" labelOnly="1" outline="0" fieldPosition="0">
        <references count="2">
          <reference field="0" count="1" selected="0">
            <x v="16"/>
          </reference>
          <reference field="1" count="1">
            <x v="2"/>
          </reference>
        </references>
      </pivotArea>
    </format>
    <format dxfId="587">
      <pivotArea dataOnly="0" labelOnly="1" outline="0" fieldPosition="0">
        <references count="2">
          <reference field="0" count="1" selected="0">
            <x v="18"/>
          </reference>
          <reference field="1" count="1">
            <x v="0"/>
          </reference>
        </references>
      </pivotArea>
    </format>
    <format dxfId="586">
      <pivotArea dataOnly="0" labelOnly="1" outline="0" fieldPosition="0">
        <references count="2">
          <reference field="0" count="1" selected="0">
            <x v="21"/>
          </reference>
          <reference field="1" count="1">
            <x v="2"/>
          </reference>
        </references>
      </pivotArea>
    </format>
    <format dxfId="585">
      <pivotArea dataOnly="0" labelOnly="1" outline="0" fieldPosition="0">
        <references count="2">
          <reference field="0" count="1" selected="0">
            <x v="22"/>
          </reference>
          <reference field="1" count="1">
            <x v="0"/>
          </reference>
        </references>
      </pivotArea>
    </format>
    <format dxfId="58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5" count="0"/>
        </references>
      </pivotArea>
    </format>
    <format dxfId="583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5" count="0"/>
        </references>
      </pivotArea>
    </format>
    <format dxfId="58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0"/>
          </reference>
          <reference field="5" count="0"/>
        </references>
      </pivotArea>
    </format>
    <format dxfId="581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"/>
          </reference>
          <reference field="5" count="0"/>
        </references>
      </pivotArea>
    </format>
    <format dxfId="58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5" count="0"/>
        </references>
      </pivotArea>
    </format>
    <format dxfId="579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0"/>
          </reference>
          <reference field="5" count="0"/>
        </references>
      </pivotArea>
    </format>
    <format dxfId="578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1"/>
          </reference>
          <reference field="5" count="0"/>
        </references>
      </pivotArea>
    </format>
    <format dxfId="577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5" count="0"/>
        </references>
      </pivotArea>
    </format>
    <format dxfId="576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2"/>
          </reference>
          <reference field="5" count="0"/>
        </references>
      </pivotArea>
    </format>
    <format dxfId="575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0"/>
          </reference>
          <reference field="5" count="0"/>
        </references>
      </pivotArea>
    </format>
    <format dxfId="574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3"/>
          </reference>
          <reference field="5" count="0"/>
        </references>
      </pivotArea>
    </format>
    <format dxfId="573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0"/>
          </reference>
          <reference field="5" count="0"/>
        </references>
      </pivotArea>
    </format>
    <format dxfId="572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2"/>
          </reference>
          <reference field="5" count="0"/>
        </references>
      </pivotArea>
    </format>
    <format dxfId="571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2"/>
          </reference>
          <reference field="5" count="0"/>
        </references>
      </pivotArea>
    </format>
    <format dxfId="570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0"/>
          </reference>
          <reference field="5" count="0"/>
        </references>
      </pivotArea>
    </format>
    <format dxfId="569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2"/>
          </reference>
          <reference field="5" count="0"/>
        </references>
      </pivotArea>
    </format>
    <format dxfId="568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0"/>
          </reference>
          <reference field="5" count="0"/>
        </references>
      </pivotArea>
    </format>
    <format dxfId="567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0"/>
          </reference>
          <reference field="5" count="0"/>
        </references>
      </pivotArea>
    </format>
    <format dxfId="56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0"/>
          </reference>
          <reference field="5" count="0"/>
        </references>
      </pivotArea>
    </format>
    <format dxfId="565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"/>
          </reference>
          <reference field="5" count="0"/>
        </references>
      </pivotArea>
    </format>
    <format dxfId="564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0"/>
          </reference>
          <reference field="5" count="0"/>
        </references>
      </pivotArea>
    </format>
    <format dxfId="563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0"/>
          </reference>
          <reference field="5" count="0"/>
        </references>
      </pivotArea>
    </format>
    <format dxfId="562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0"/>
          </reference>
          <reference field="5" count="0"/>
        </references>
      </pivotArea>
    </format>
    <format dxfId="56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5" count="1" selected="0">
            <x v="0"/>
          </reference>
          <reference field="8" count="0"/>
        </references>
      </pivotArea>
    </format>
    <format dxfId="560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55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558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557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556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555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554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553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552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551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550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549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548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547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546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545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544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543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542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541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540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539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538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537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536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535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534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533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532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531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530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529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528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527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526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525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524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523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522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521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520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519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518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517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516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515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514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513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512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511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510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509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508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507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506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505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504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503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502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501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500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499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498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497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496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495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494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493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492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491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490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489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488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487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486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485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484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483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482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481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480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479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478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477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476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475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474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473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472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471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470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469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468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467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466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465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464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463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462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461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460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459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458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457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456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455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454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453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452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451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450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449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448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447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446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445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444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443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442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441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440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439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438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437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436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435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434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433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432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431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430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429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428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427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426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425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424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423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422">
      <pivotArea type="all" dataOnly="0" outline="0" fieldPosition="0"/>
    </format>
    <format dxfId="421">
      <pivotArea outline="0" collapsedLevelsAreSubtotals="1" fieldPosition="0"/>
    </format>
    <format dxfId="420">
      <pivotArea field="0" type="button" dataOnly="0" labelOnly="1" outline="0" axis="axisRow" fieldPosition="0"/>
    </format>
    <format dxfId="419">
      <pivotArea field="1" type="button" dataOnly="0" labelOnly="1" outline="0" axis="axisRow" fieldPosition="1"/>
    </format>
    <format dxfId="418">
      <pivotArea field="5" type="button" dataOnly="0" labelOnly="1" outline="0" axis="axisRow" fieldPosition="2"/>
    </format>
    <format dxfId="417">
      <pivotArea field="8" type="button" dataOnly="0" labelOnly="1" outline="0" axis="axisRow" fieldPosition="4"/>
    </format>
    <format dxfId="416">
      <pivotArea field="7" type="button" dataOnly="0" labelOnly="1" outline="0" axis="axisRow" fieldPosition="3"/>
    </format>
    <format dxfId="415">
      <pivotArea dataOnly="0" labelOnly="1" outline="0" fieldPosition="0">
        <references count="1">
          <reference field="0" count="0"/>
        </references>
      </pivotArea>
    </format>
    <format dxfId="414">
      <pivotArea dataOnly="0" labelOnly="1" outline="0" fieldPosition="0">
        <references count="2">
          <reference field="0" count="1" selected="0">
            <x v="1"/>
          </reference>
          <reference field="1" count="1">
            <x v="2"/>
          </reference>
        </references>
      </pivotArea>
    </format>
    <format dxfId="413">
      <pivotArea dataOnly="0" labelOnly="1" outline="0" fieldPosition="0">
        <references count="2">
          <reference field="0" count="1" selected="0">
            <x v="2"/>
          </reference>
          <reference field="1" count="1">
            <x v="0"/>
          </reference>
        </references>
      </pivotArea>
    </format>
    <format dxfId="412">
      <pivotArea dataOnly="0" labelOnly="1" outline="0" fieldPosition="0">
        <references count="2">
          <reference field="0" count="1" selected="0">
            <x v="4"/>
          </reference>
          <reference field="1" count="1">
            <x v="2"/>
          </reference>
        </references>
      </pivotArea>
    </format>
    <format dxfId="411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410">
      <pivotArea dataOnly="0" labelOnly="1" outline="0" fieldPosition="0">
        <references count="2">
          <reference field="0" count="1" selected="0">
            <x v="7"/>
          </reference>
          <reference field="1" count="1">
            <x v="1"/>
          </reference>
        </references>
      </pivotArea>
    </format>
    <format dxfId="409">
      <pivotArea dataOnly="0" labelOnly="1" outline="0" fieldPosition="0">
        <references count="2">
          <reference field="0" count="1" selected="0">
            <x v="8"/>
          </reference>
          <reference field="1" count="1">
            <x v="2"/>
          </reference>
        </references>
      </pivotArea>
    </format>
    <format dxfId="408">
      <pivotArea dataOnly="0" labelOnly="1" outline="0" fieldPosition="0">
        <references count="2">
          <reference field="0" count="1" selected="0">
            <x v="10"/>
          </reference>
          <reference field="1" count="1">
            <x v="0"/>
          </reference>
        </references>
      </pivotArea>
    </format>
    <format dxfId="407">
      <pivotArea dataOnly="0" labelOnly="1" outline="0" fieldPosition="0">
        <references count="2">
          <reference field="0" count="1" selected="0">
            <x v="11"/>
          </reference>
          <reference field="1" count="1">
            <x v="3"/>
          </reference>
        </references>
      </pivotArea>
    </format>
    <format dxfId="406">
      <pivotArea dataOnly="0" labelOnly="1" outline="0" fieldPosition="0">
        <references count="2">
          <reference field="0" count="1" selected="0">
            <x v="12"/>
          </reference>
          <reference field="1" count="1">
            <x v="0"/>
          </reference>
        </references>
      </pivotArea>
    </format>
    <format dxfId="405">
      <pivotArea dataOnly="0" labelOnly="1" outline="0" fieldPosition="0">
        <references count="2">
          <reference field="0" count="1" selected="0">
            <x v="13"/>
          </reference>
          <reference field="1" count="1">
            <x v="2"/>
          </reference>
        </references>
      </pivotArea>
    </format>
    <format dxfId="404">
      <pivotArea dataOnly="0" labelOnly="1" outline="0" fieldPosition="0">
        <references count="2">
          <reference field="0" count="1" selected="0">
            <x v="15"/>
          </reference>
          <reference field="1" count="1">
            <x v="0"/>
          </reference>
        </references>
      </pivotArea>
    </format>
    <format dxfId="403">
      <pivotArea dataOnly="0" labelOnly="1" outline="0" fieldPosition="0">
        <references count="2">
          <reference field="0" count="1" selected="0">
            <x v="16"/>
          </reference>
          <reference field="1" count="1">
            <x v="2"/>
          </reference>
        </references>
      </pivotArea>
    </format>
    <format dxfId="402">
      <pivotArea dataOnly="0" labelOnly="1" outline="0" fieldPosition="0">
        <references count="2">
          <reference field="0" count="1" selected="0">
            <x v="18"/>
          </reference>
          <reference field="1" count="1">
            <x v="0"/>
          </reference>
        </references>
      </pivotArea>
    </format>
    <format dxfId="401">
      <pivotArea dataOnly="0" labelOnly="1" outline="0" fieldPosition="0">
        <references count="2">
          <reference field="0" count="1" selected="0">
            <x v="21"/>
          </reference>
          <reference field="1" count="1">
            <x v="2"/>
          </reference>
        </references>
      </pivotArea>
    </format>
    <format dxfId="400">
      <pivotArea dataOnly="0" labelOnly="1" outline="0" fieldPosition="0">
        <references count="2">
          <reference field="0" count="1" selected="0">
            <x v="22"/>
          </reference>
          <reference field="1" count="1">
            <x v="0"/>
          </reference>
        </references>
      </pivotArea>
    </format>
    <format dxfId="39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5" count="0"/>
        </references>
      </pivotArea>
    </format>
    <format dxfId="39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5" count="0"/>
        </references>
      </pivotArea>
    </format>
    <format dxfId="397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0"/>
          </reference>
          <reference field="5" count="0"/>
        </references>
      </pivotArea>
    </format>
    <format dxfId="39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"/>
          </reference>
          <reference field="5" count="0"/>
        </references>
      </pivotArea>
    </format>
    <format dxfId="39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5" count="0"/>
        </references>
      </pivotArea>
    </format>
    <format dxfId="394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0"/>
          </reference>
          <reference field="5" count="0"/>
        </references>
      </pivotArea>
    </format>
    <format dxfId="393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1"/>
          </reference>
          <reference field="5" count="0"/>
        </references>
      </pivotArea>
    </format>
    <format dxfId="392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5" count="0"/>
        </references>
      </pivotArea>
    </format>
    <format dxfId="391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2"/>
          </reference>
          <reference field="5" count="0"/>
        </references>
      </pivotArea>
    </format>
    <format dxfId="390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0"/>
          </reference>
          <reference field="5" count="0"/>
        </references>
      </pivotArea>
    </format>
    <format dxfId="389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3"/>
          </reference>
          <reference field="5" count="0"/>
        </references>
      </pivotArea>
    </format>
    <format dxfId="388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0"/>
          </reference>
          <reference field="5" count="0"/>
        </references>
      </pivotArea>
    </format>
    <format dxfId="387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2"/>
          </reference>
          <reference field="5" count="0"/>
        </references>
      </pivotArea>
    </format>
    <format dxfId="386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2"/>
          </reference>
          <reference field="5" count="0"/>
        </references>
      </pivotArea>
    </format>
    <format dxfId="385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0"/>
          </reference>
          <reference field="5" count="0"/>
        </references>
      </pivotArea>
    </format>
    <format dxfId="384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2"/>
          </reference>
          <reference field="5" count="0"/>
        </references>
      </pivotArea>
    </format>
    <format dxfId="383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0"/>
          </reference>
          <reference field="5" count="0"/>
        </references>
      </pivotArea>
    </format>
    <format dxfId="382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0"/>
          </reference>
          <reference field="5" count="0"/>
        </references>
      </pivotArea>
    </format>
    <format dxfId="381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0"/>
          </reference>
          <reference field="5" count="0"/>
        </references>
      </pivotArea>
    </format>
    <format dxfId="38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"/>
          </reference>
          <reference field="5" count="0"/>
        </references>
      </pivotArea>
    </format>
    <format dxfId="379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0"/>
          </reference>
          <reference field="5" count="0"/>
        </references>
      </pivotArea>
    </format>
    <format dxfId="378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0"/>
          </reference>
          <reference field="5" count="0"/>
        </references>
      </pivotArea>
    </format>
    <format dxfId="377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0"/>
          </reference>
          <reference field="5" count="0"/>
        </references>
      </pivotArea>
    </format>
    <format dxfId="37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5" count="1" selected="0">
            <x v="0"/>
          </reference>
          <reference field="8" count="0"/>
        </references>
      </pivotArea>
    </format>
    <format dxfId="375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37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373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372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371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370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369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368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367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366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365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364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363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362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361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360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359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358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357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356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355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354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353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352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351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350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349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348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347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346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345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344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343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342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341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340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339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338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337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336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335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334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333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332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331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330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329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328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327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326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325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324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323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322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321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320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319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318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317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316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315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314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313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312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311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310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309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308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307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306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305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304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303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302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301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300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299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298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297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296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295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294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293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292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291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290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289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288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287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286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285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284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283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282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281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280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279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278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277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276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275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274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273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272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271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270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269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268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267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266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265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264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263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262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261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260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259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258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257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256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255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254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253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252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251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250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249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248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247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246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245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244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243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242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241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240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239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238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237">
      <pivotArea dataOnly="0" labelOnly="1" outline="0" axis="axisValues" fieldPosition="0"/>
    </format>
    <format dxfId="236">
      <pivotArea type="all" dataOnly="0" outline="0" fieldPosition="0"/>
    </format>
    <format dxfId="235">
      <pivotArea outline="0" collapsedLevelsAreSubtotals="1" fieldPosition="0"/>
    </format>
    <format dxfId="234">
      <pivotArea field="0" type="button" dataOnly="0" labelOnly="1" outline="0" axis="axisRow" fieldPosition="0"/>
    </format>
    <format dxfId="233">
      <pivotArea field="1" type="button" dataOnly="0" labelOnly="1" outline="0" axis="axisRow" fieldPosition="1"/>
    </format>
    <format dxfId="232">
      <pivotArea field="5" type="button" dataOnly="0" labelOnly="1" outline="0" axis="axisRow" fieldPosition="2"/>
    </format>
    <format dxfId="231">
      <pivotArea field="8" type="button" dataOnly="0" labelOnly="1" outline="0" axis="axisRow" fieldPosition="4"/>
    </format>
    <format dxfId="230">
      <pivotArea field="7" type="button" dataOnly="0" labelOnly="1" outline="0" axis="axisRow" fieldPosition="3"/>
    </format>
    <format dxfId="229">
      <pivotArea dataOnly="0" labelOnly="1" outline="0" fieldPosition="0">
        <references count="1">
          <reference field="0" count="0"/>
        </references>
      </pivotArea>
    </format>
    <format dxfId="228">
      <pivotArea dataOnly="0" labelOnly="1" outline="0" fieldPosition="0">
        <references count="2">
          <reference field="0" count="1" selected="0">
            <x v="1"/>
          </reference>
          <reference field="1" count="1">
            <x v="2"/>
          </reference>
        </references>
      </pivotArea>
    </format>
    <format dxfId="227">
      <pivotArea dataOnly="0" labelOnly="1" outline="0" fieldPosition="0">
        <references count="2">
          <reference field="0" count="1" selected="0">
            <x v="2"/>
          </reference>
          <reference field="1" count="1">
            <x v="0"/>
          </reference>
        </references>
      </pivotArea>
    </format>
    <format dxfId="226">
      <pivotArea dataOnly="0" labelOnly="1" outline="0" fieldPosition="0">
        <references count="2">
          <reference field="0" count="1" selected="0">
            <x v="4"/>
          </reference>
          <reference field="1" count="1">
            <x v="2"/>
          </reference>
        </references>
      </pivotArea>
    </format>
    <format dxfId="225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224">
      <pivotArea dataOnly="0" labelOnly="1" outline="0" fieldPosition="0">
        <references count="2">
          <reference field="0" count="1" selected="0">
            <x v="7"/>
          </reference>
          <reference field="1" count="1">
            <x v="1"/>
          </reference>
        </references>
      </pivotArea>
    </format>
    <format dxfId="223">
      <pivotArea dataOnly="0" labelOnly="1" outline="0" fieldPosition="0">
        <references count="2">
          <reference field="0" count="1" selected="0">
            <x v="8"/>
          </reference>
          <reference field="1" count="1">
            <x v="2"/>
          </reference>
        </references>
      </pivotArea>
    </format>
    <format dxfId="222">
      <pivotArea dataOnly="0" labelOnly="1" outline="0" fieldPosition="0">
        <references count="2">
          <reference field="0" count="1" selected="0">
            <x v="10"/>
          </reference>
          <reference field="1" count="1">
            <x v="0"/>
          </reference>
        </references>
      </pivotArea>
    </format>
    <format dxfId="221">
      <pivotArea dataOnly="0" labelOnly="1" outline="0" fieldPosition="0">
        <references count="2">
          <reference field="0" count="1" selected="0">
            <x v="11"/>
          </reference>
          <reference field="1" count="1">
            <x v="3"/>
          </reference>
        </references>
      </pivotArea>
    </format>
    <format dxfId="220">
      <pivotArea dataOnly="0" labelOnly="1" outline="0" fieldPosition="0">
        <references count="2">
          <reference field="0" count="1" selected="0">
            <x v="12"/>
          </reference>
          <reference field="1" count="1">
            <x v="0"/>
          </reference>
        </references>
      </pivotArea>
    </format>
    <format dxfId="219">
      <pivotArea dataOnly="0" labelOnly="1" outline="0" fieldPosition="0">
        <references count="2">
          <reference field="0" count="1" selected="0">
            <x v="13"/>
          </reference>
          <reference field="1" count="1">
            <x v="2"/>
          </reference>
        </references>
      </pivotArea>
    </format>
    <format dxfId="218">
      <pivotArea dataOnly="0" labelOnly="1" outline="0" fieldPosition="0">
        <references count="2">
          <reference field="0" count="1" selected="0">
            <x v="15"/>
          </reference>
          <reference field="1" count="1">
            <x v="0"/>
          </reference>
        </references>
      </pivotArea>
    </format>
    <format dxfId="217">
      <pivotArea dataOnly="0" labelOnly="1" outline="0" fieldPosition="0">
        <references count="2">
          <reference field="0" count="1" selected="0">
            <x v="16"/>
          </reference>
          <reference field="1" count="1">
            <x v="2"/>
          </reference>
        </references>
      </pivotArea>
    </format>
    <format dxfId="216">
      <pivotArea dataOnly="0" labelOnly="1" outline="0" fieldPosition="0">
        <references count="2">
          <reference field="0" count="1" selected="0">
            <x v="18"/>
          </reference>
          <reference field="1" count="1">
            <x v="0"/>
          </reference>
        </references>
      </pivotArea>
    </format>
    <format dxfId="215">
      <pivotArea dataOnly="0" labelOnly="1" outline="0" fieldPosition="0">
        <references count="2">
          <reference field="0" count="1" selected="0">
            <x v="21"/>
          </reference>
          <reference field="1" count="1">
            <x v="2"/>
          </reference>
        </references>
      </pivotArea>
    </format>
    <format dxfId="214">
      <pivotArea dataOnly="0" labelOnly="1" outline="0" fieldPosition="0">
        <references count="2">
          <reference field="0" count="1" selected="0">
            <x v="22"/>
          </reference>
          <reference field="1" count="1">
            <x v="0"/>
          </reference>
        </references>
      </pivotArea>
    </format>
    <format dxfId="21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5" count="0"/>
        </references>
      </pivotArea>
    </format>
    <format dxfId="212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5" count="0"/>
        </references>
      </pivotArea>
    </format>
    <format dxfId="21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0"/>
          </reference>
          <reference field="5" count="0"/>
        </references>
      </pivotArea>
    </format>
    <format dxfId="210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"/>
          </reference>
          <reference field="5" count="0"/>
        </references>
      </pivotArea>
    </format>
    <format dxfId="209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5" count="0"/>
        </references>
      </pivotArea>
    </format>
    <format dxfId="208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0"/>
          </reference>
          <reference field="5" count="0"/>
        </references>
      </pivotArea>
    </format>
    <format dxfId="207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1"/>
          </reference>
          <reference field="5" count="0"/>
        </references>
      </pivotArea>
    </format>
    <format dxfId="206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5" count="0"/>
        </references>
      </pivotArea>
    </format>
    <format dxfId="205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2"/>
          </reference>
          <reference field="5" count="0"/>
        </references>
      </pivotArea>
    </format>
    <format dxfId="204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0"/>
          </reference>
          <reference field="5" count="0"/>
        </references>
      </pivotArea>
    </format>
    <format dxfId="203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3"/>
          </reference>
          <reference field="5" count="0"/>
        </references>
      </pivotArea>
    </format>
    <format dxfId="202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0"/>
          </reference>
          <reference field="5" count="0"/>
        </references>
      </pivotArea>
    </format>
    <format dxfId="201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2"/>
          </reference>
          <reference field="5" count="0"/>
        </references>
      </pivotArea>
    </format>
    <format dxfId="200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2"/>
          </reference>
          <reference field="5" count="0"/>
        </references>
      </pivotArea>
    </format>
    <format dxfId="199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0"/>
          </reference>
          <reference field="5" count="0"/>
        </references>
      </pivotArea>
    </format>
    <format dxfId="198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2"/>
          </reference>
          <reference field="5" count="0"/>
        </references>
      </pivotArea>
    </format>
    <format dxfId="197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0"/>
          </reference>
          <reference field="5" count="0"/>
        </references>
      </pivotArea>
    </format>
    <format dxfId="19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0"/>
          </reference>
          <reference field="5" count="0"/>
        </references>
      </pivotArea>
    </format>
    <format dxfId="195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0"/>
          </reference>
          <reference field="5" count="0"/>
        </references>
      </pivotArea>
    </format>
    <format dxfId="194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"/>
          </reference>
          <reference field="5" count="0"/>
        </references>
      </pivotArea>
    </format>
    <format dxfId="193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0"/>
          </reference>
          <reference field="5" count="0"/>
        </references>
      </pivotArea>
    </format>
    <format dxfId="192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0"/>
          </reference>
          <reference field="5" count="0"/>
        </references>
      </pivotArea>
    </format>
    <format dxfId="19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0"/>
          </reference>
          <reference field="5" count="0"/>
        </references>
      </pivotArea>
    </format>
    <format dxfId="19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5" count="1" selected="0">
            <x v="0"/>
          </reference>
          <reference field="8" count="0"/>
        </references>
      </pivotArea>
    </format>
    <format dxfId="18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88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87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86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85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84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183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82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81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80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79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78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177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76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75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74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73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72">
      <pivotArea dataOnly="0" labelOnly="1" outline="0" fieldPosition="0">
        <references count="5">
          <reference field="0" count="1" selected="0">
            <x v="3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171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70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69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68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67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66">
      <pivotArea dataOnly="0" labelOnly="1" outline="0" fieldPosition="0">
        <references count="5">
          <reference field="0" count="1" selected="0">
            <x v="4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165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64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63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62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61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60">
      <pivotArea dataOnly="0" labelOnly="1" outline="0" fieldPosition="0">
        <references count="5">
          <reference field="0" count="1" selected="0">
            <x v="5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159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58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57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56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55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54">
      <pivotArea dataOnly="0" labelOnly="1" outline="0" fieldPosition="0">
        <references count="5">
          <reference field="0" count="1" selected="0">
            <x v="6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153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52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51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50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49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48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1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147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46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45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44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43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42">
      <pivotArea dataOnly="0" labelOnly="1" outline="0" fieldPosition="0">
        <references count="5">
          <reference field="0" count="1" selected="0">
            <x v="8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141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40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39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38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37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36">
      <pivotArea dataOnly="0" labelOnly="1" outline="0" fieldPosition="0">
        <references count="5">
          <reference field="0" count="1" selected="0">
            <x v="9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135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34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33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32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31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30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129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28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27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26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25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24">
      <pivotArea dataOnly="0" labelOnly="1" outline="0" fieldPosition="0">
        <references count="5">
          <reference field="0" count="1" selected="0">
            <x v="11"/>
          </reference>
          <reference field="1" count="1" selected="0">
            <x v="3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123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22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21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20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19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18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117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16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15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14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13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12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111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10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09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08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07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06">
      <pivotArea dataOnly="0" labelOnly="1" outline="0" fieldPosition="0">
        <references count="5">
          <reference field="0" count="1" selected="0">
            <x v="14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105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104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103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102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101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100">
      <pivotArea dataOnly="0" labelOnly="1" outline="0" fieldPosition="0">
        <references count="5">
          <reference field="0" count="1" selected="0">
            <x v="15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99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98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97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96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95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94">
      <pivotArea dataOnly="0" labelOnly="1" outline="0" fieldPosition="0">
        <references count="5">
          <reference field="0" count="1" selected="0">
            <x v="16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93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92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91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90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89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88">
      <pivotArea dataOnly="0" labelOnly="1" outline="0" fieldPosition="0">
        <references count="5">
          <reference field="0" count="1" selected="0">
            <x v="18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87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86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85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84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83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82">
      <pivotArea dataOnly="0" labelOnly="1" outline="0" fieldPosition="0">
        <references count="5">
          <reference field="0" count="1" selected="0">
            <x v="19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81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80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79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78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77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76">
      <pivotArea dataOnly="0" labelOnly="1" outline="0" fieldPosition="0">
        <references count="5">
          <reference field="0" count="1" selected="0">
            <x v="20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75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74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73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72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71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70">
      <pivotArea dataOnly="0" labelOnly="1" outline="0" fieldPosition="0">
        <references count="5">
          <reference field="0" count="1" selected="0">
            <x v="21"/>
          </reference>
          <reference field="1" count="1" selected="0">
            <x v="2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9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8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7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6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65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64">
      <pivotArea dataOnly="0" labelOnly="1" outline="0" fieldPosition="0">
        <references count="5">
          <reference field="0" count="1" selected="0">
            <x v="22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63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62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61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60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59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58">
      <pivotArea dataOnly="0" labelOnly="1" outline="0" fieldPosition="0">
        <references count="5">
          <reference field="0" count="1" selected="0">
            <x v="24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57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0"/>
          </reference>
          <reference field="7" count="0"/>
          <reference field="8" count="0" selected="0"/>
        </references>
      </pivotArea>
    </format>
    <format dxfId="56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1"/>
          </reference>
          <reference field="7" count="0"/>
          <reference field="8" count="0" selected="0"/>
        </references>
      </pivotArea>
    </format>
    <format dxfId="55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2"/>
          </reference>
          <reference field="7" count="0"/>
          <reference field="8" count="0" selected="0"/>
        </references>
      </pivotArea>
    </format>
    <format dxfId="54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3"/>
          </reference>
          <reference field="7" count="0"/>
          <reference field="8" count="0" selected="0"/>
        </references>
      </pivotArea>
    </format>
    <format dxfId="53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4"/>
          </reference>
          <reference field="7" count="0"/>
          <reference field="8" count="0" selected="0"/>
        </references>
      </pivotArea>
    </format>
    <format dxfId="52">
      <pivotArea dataOnly="0" labelOnly="1" outline="0" fieldPosition="0">
        <references count="5">
          <reference field="0" count="1" selected="0">
            <x v="25"/>
          </reference>
          <reference field="1" count="1" selected="0">
            <x v="0"/>
          </reference>
          <reference field="5" count="1" selected="0">
            <x v="5"/>
          </reference>
          <reference field="7" count="0"/>
          <reference field="8" count="0" selected="0"/>
        </references>
      </pivotArea>
    </format>
    <format dxfId="51">
      <pivotArea dataOnly="0" labelOnly="1" outline="0" axis="axisValues" fieldPosition="0"/>
    </format>
    <format dxfId="50">
      <pivotArea field="5" type="button" dataOnly="0" labelOnly="1" outline="0" axis="axisRow" fieldPosition="2"/>
    </format>
    <format dxfId="4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5" count="0"/>
        </references>
      </pivotArea>
    </format>
    <format dxfId="4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5" count="0"/>
        </references>
      </pivotArea>
    </format>
    <format dxfId="47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0"/>
          </reference>
          <reference field="5" count="0"/>
        </references>
      </pivotArea>
    </format>
    <format dxfId="4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"/>
          </reference>
          <reference field="5" count="0"/>
        </references>
      </pivotArea>
    </format>
    <format dxfId="4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5" count="0"/>
        </references>
      </pivotArea>
    </format>
    <format dxfId="44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0"/>
          </reference>
          <reference field="5" count="0"/>
        </references>
      </pivotArea>
    </format>
    <format dxfId="43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1"/>
          </reference>
          <reference field="5" count="0"/>
        </references>
      </pivotArea>
    </format>
    <format dxfId="42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5" count="0"/>
        </references>
      </pivotArea>
    </format>
    <format dxfId="41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2"/>
          </reference>
          <reference field="5" count="0"/>
        </references>
      </pivotArea>
    </format>
    <format dxfId="40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0"/>
          </reference>
          <reference field="5" count="0"/>
        </references>
      </pivotArea>
    </format>
    <format dxfId="39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3"/>
          </reference>
          <reference field="5" count="0"/>
        </references>
      </pivotArea>
    </format>
    <format dxfId="38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0"/>
          </reference>
          <reference field="5" count="0"/>
        </references>
      </pivotArea>
    </format>
    <format dxfId="37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2"/>
          </reference>
          <reference field="5" count="0"/>
        </references>
      </pivotArea>
    </format>
    <format dxfId="36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2"/>
          </reference>
          <reference field="5" count="0"/>
        </references>
      </pivotArea>
    </format>
    <format dxfId="35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0"/>
          </reference>
          <reference field="5" count="0"/>
        </references>
      </pivotArea>
    </format>
    <format dxfId="34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2"/>
          </reference>
          <reference field="5" count="0"/>
        </references>
      </pivotArea>
    </format>
    <format dxfId="33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0"/>
          </reference>
          <reference field="5" count="0"/>
        </references>
      </pivotArea>
    </format>
    <format dxfId="32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0"/>
          </reference>
          <reference field="5" count="0"/>
        </references>
      </pivotArea>
    </format>
    <format dxfId="31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0"/>
          </reference>
          <reference field="5" count="0"/>
        </references>
      </pivotArea>
    </format>
    <format dxfId="3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"/>
          </reference>
          <reference field="5" count="0"/>
        </references>
      </pivotArea>
    </format>
    <format dxfId="29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0"/>
          </reference>
          <reference field="5" count="0"/>
        </references>
      </pivotArea>
    </format>
    <format dxfId="28">
      <pivotArea dataOnly="0" labelOnly="1" outline="0" fieldPosition="0">
        <references count="3">
          <reference field="0" count="1" selected="0">
            <x v="24"/>
          </reference>
          <reference field="1" count="1" selected="0">
            <x v="0"/>
          </reference>
          <reference field="5" count="0"/>
        </references>
      </pivotArea>
    </format>
    <format dxfId="27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0"/>
          </reference>
          <reference field="5" count="0"/>
        </references>
      </pivotArea>
    </format>
    <format dxfId="26">
      <pivotArea dataOnly="0" labelOnly="1" outline="0" fieldPosition="0">
        <references count="2">
          <reference field="0" count="1" selected="0">
            <x v="1"/>
          </reference>
          <reference field="1" count="1">
            <x v="2"/>
          </reference>
        </references>
      </pivotArea>
    </format>
    <format dxfId="25">
      <pivotArea dataOnly="0" labelOnly="1" outline="0" fieldPosition="0">
        <references count="2">
          <reference field="0" count="1" selected="0">
            <x v="2"/>
          </reference>
          <reference field="1" count="1">
            <x v="0"/>
          </reference>
        </references>
      </pivotArea>
    </format>
    <format dxfId="24">
      <pivotArea dataOnly="0" labelOnly="1" outline="0" fieldPosition="0">
        <references count="2">
          <reference field="0" count="1" selected="0">
            <x v="4"/>
          </reference>
          <reference field="1" count="1">
            <x v="2"/>
          </reference>
        </references>
      </pivotArea>
    </format>
    <format dxfId="23">
      <pivotArea dataOnly="0" labelOnly="1" outline="0" fieldPosition="0">
        <references count="2">
          <reference field="0" count="1" selected="0">
            <x v="6"/>
          </reference>
          <reference field="1" count="1">
            <x v="0"/>
          </reference>
        </references>
      </pivotArea>
    </format>
    <format dxfId="22">
      <pivotArea dataOnly="0" labelOnly="1" outline="0" fieldPosition="0">
        <references count="2">
          <reference field="0" count="1" selected="0">
            <x v="7"/>
          </reference>
          <reference field="1" count="1">
            <x v="1"/>
          </reference>
        </references>
      </pivotArea>
    </format>
    <format dxfId="21">
      <pivotArea dataOnly="0" labelOnly="1" outline="0" fieldPosition="0">
        <references count="2">
          <reference field="0" count="1" selected="0">
            <x v="8"/>
          </reference>
          <reference field="1" count="1">
            <x v="2"/>
          </reference>
        </references>
      </pivotArea>
    </format>
    <format dxfId="20">
      <pivotArea dataOnly="0" labelOnly="1" outline="0" fieldPosition="0">
        <references count="2">
          <reference field="0" count="1" selected="0">
            <x v="10"/>
          </reference>
          <reference field="1" count="1">
            <x v="0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11"/>
          </reference>
          <reference field="1" count="1">
            <x v="3"/>
          </reference>
        </references>
      </pivotArea>
    </format>
    <format dxfId="18">
      <pivotArea dataOnly="0" labelOnly="1" outline="0" fieldPosition="0">
        <references count="2">
          <reference field="0" count="1" selected="0">
            <x v="12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3"/>
          </reference>
          <reference field="1" count="1">
            <x v="2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15"/>
          </reference>
          <reference field="1" count="1">
            <x v="0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16"/>
          </reference>
          <reference field="1" count="1">
            <x v="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18"/>
          </reference>
          <reference field="1" count="1">
            <x v="0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21"/>
          </reference>
          <reference field="1" count="1">
            <x v="2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22"/>
          </reference>
          <reference field="1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8CBA4CA-F30B-4A1D-8630-4B701016C6CD}" autoFormatId="16" applyNumberFormats="0" applyBorderFormats="0" applyFontFormats="0" applyPatternFormats="0" applyAlignmentFormats="0" applyWidthHeightFormats="0">
  <queryTableRefresh nextId="15" unboundColumnsRight="2">
    <queryTableFields count="8">
      <queryTableField id="1" name="Clave Medidor" tableColumnId="1"/>
      <queryTableField id="2" name="Descripción" tableColumnId="2"/>
      <queryTableField id="3" name="Barra" tableColumnId="3"/>
      <queryTableField id="4" name="Tensión" tableColumnId="4"/>
      <queryTableField id="5" name="Empresa Balance" tableColumnId="5"/>
      <queryTableField id="6" name="Precio Valorizado" tableColumnId="6"/>
      <queryTableField id="13" dataBound="0" tableColumnId="7"/>
      <queryTableField id="14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33858654-3E00-47A5-B3B9-5437B7EA1596}" autoFormatId="16" applyNumberFormats="0" applyBorderFormats="0" applyFontFormats="0" applyPatternFormats="0" applyAlignmentFormats="0" applyWidthHeightFormats="0">
  <queryTableRefresh nextId="17" unboundColumnsRight="1">
    <queryTableFields count="16">
      <queryTableField id="1" name="Barra" tableColumnId="1"/>
      <queryTableField id="2" name="Nivel de tensión" tableColumnId="2"/>
      <queryTableField id="3" name="Barra infotécnica" tableColumnId="3"/>
      <queryTableField id="4" name="Código barra CNE" tableColumnId="4"/>
      <queryTableField id="5" name="Nombre barra CNE" tableColumnId="5"/>
      <queryTableField id="6" name="Subestación" tableColumnId="6"/>
      <queryTableField id="7" name="Comuna" tableColumnId="7"/>
      <queryTableField id="8" name="Calificación" tableColumnId="8"/>
      <queryTableField id="9" name="Zona concesión" tableColumnId="9"/>
      <queryTableField id="10" name="Empresa Propietaria" tableColumnId="10"/>
      <queryTableField id="11" name="Zona Transmisión" tableColumnId="11"/>
      <queryTableField id="12" name="Fecha Inicio vigencia" tableColumnId="12"/>
      <queryTableField id="13" name="Fecha Fin vigencia" tableColumnId="13"/>
      <queryTableField id="14" name="Clasificación" tableColumnId="14"/>
      <queryTableField id="15" name="Version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E604A4-F56A-41B2-BDCE-4FE53124C3F3}" name="PMG_D__Remuneracion" displayName="PMG_D__Remuneracion" ref="A1:H706" tableType="queryTable" totalsRowShown="0">
  <autoFilter ref="A1:H706" xr:uid="{00E604A4-F56A-41B2-BDCE-4FE53124C3F3}"/>
  <tableColumns count="8">
    <tableColumn id="1" xr3:uid="{FFE9DD7E-3290-4A94-A4B8-D6F9B4D7E942}" uniqueName="1" name="Clave Medidor" queryTableFieldId="1" dataDxfId="804"/>
    <tableColumn id="2" xr3:uid="{3F78237B-60C6-47B9-AACE-2C3E5269ECF0}" uniqueName="2" name="Descripción" queryTableFieldId="2" dataDxfId="803"/>
    <tableColumn id="3" xr3:uid="{3227E3B7-18A2-44DF-95AE-5509A8B967FF}" uniqueName="3" name="Barra" queryTableFieldId="3" dataDxfId="802"/>
    <tableColumn id="4" xr3:uid="{24BBDD42-E3E8-43A8-9DB3-3CB8B45D5835}" uniqueName="4" name="Tensión" queryTableFieldId="4" dataDxfId="801"/>
    <tableColumn id="5" xr3:uid="{551C53BF-5D84-4388-B538-DF76519BC222}" uniqueName="5" name="Empresa Balance" queryTableFieldId="5" dataDxfId="800"/>
    <tableColumn id="6" xr3:uid="{D83AFEA6-A845-42B5-BD47-4F922B505C5E}" uniqueName="6" name="Precio Valorizado" queryTableFieldId="6" dataDxfId="799"/>
    <tableColumn id="7" xr3:uid="{3CCC28B3-B39F-4F3D-B2CA-831D889113CF}" uniqueName="7" name="Check Homol Nudo" queryTableFieldId="13" dataDxfId="798">
      <calculatedColumnFormula>+IF(PMG_D__Remuneracion[[#This Row],[Precio Valorizado]]="Nudo",VLOOKUP(PMG_D__Remuneracion[[#This Row],[Barra]]&amp;"_"&amp;PMG_D__Remuneracion[[#This Row],[Tensión]],Tabla3[aux],1,0),"-")</calculatedColumnFormula>
    </tableColumn>
    <tableColumn id="8" xr3:uid="{02A5A1C1-B004-4B7B-BDFF-60C7D18383CB}" uniqueName="8" name="Check Homol Estabilizado" queryTableFieldId="14" dataDxfId="797">
      <calculatedColumnFormula>+IF(PMG_D__Remuneracion[[#This Row],[Precio Valorizado]]="Estabilizado",VLOOKUP(PMG_D__Remuneracion[[#This Row],[Barra]]&amp;"_"&amp;PMG_D__Remuneracion[[#This Row],[Tensión]],'FACTORES DE REFERENCIACION'!N:N,1,0),"-")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7D4EC-FAEB-4ACA-8655-3E5155A2D8C2}" name="Tabla3" displayName="Tabla3" ref="A1:N257" totalsRowShown="0" headerRowDxfId="796" dataDxfId="795">
  <autoFilter ref="A1:N257" xr:uid="{3187D4EC-FAEB-4ACA-8655-3E5155A2D8C2}"/>
  <tableColumns count="14">
    <tableColumn id="1" xr3:uid="{98C932DD-ED86-47BA-9AA0-844B34B0DD35}" name="Periodo" dataDxfId="794"/>
    <tableColumn id="2" xr3:uid="{945C166B-6371-410C-9FC5-BFA6685EB78D}" name="Barra Decreto" dataDxfId="793"/>
    <tableColumn id="3" xr3:uid="{BB040992-2E68-4C3D-B5CF-EBDC48FE4545}" name="Tensión Decreto" dataDxfId="792"/>
    <tableColumn id="4" xr3:uid="{FD6F73B7-CECF-48AC-A4D2-2F6BD7BFCCA1}" name="Precio" dataDxfId="791">
      <calculatedColumnFormula>+VLOOKUP(B2&amp;"_"&amp;C2,'DECRETOS PNCP'!A:F,5,0)</calculatedColumnFormula>
    </tableColumn>
    <tableColumn id="5" xr3:uid="{4FB1BAD2-2C62-46E9-A33A-CCF115ED4781}" name="Barra Balance" dataDxfId="790"/>
    <tableColumn id="6" xr3:uid="{A7E3AEC3-1E54-40B6-9C9F-571C0CD19D5D}" name="Tensión Balance" dataDxfId="789"/>
    <tableColumn id="7" xr3:uid="{E417A327-69FA-44A5-88C4-7006DDA77BB7}" name="Decreto" dataDxfId="788">
      <calculatedColumnFormula>+'DECRETOS PNCP'!$B$2</calculatedColumnFormula>
    </tableColumn>
    <tableColumn id="8" xr3:uid="{F4A69B7F-6125-4AC4-BD7C-4BD117E32685}" name="Indexación" dataDxfId="787"/>
    <tableColumn id="9" xr3:uid="{1C858383-2C6C-4845-99C5-20A292B43996}" name="Fecha Inicio Vigencia" dataDxfId="786">
      <calculatedColumnFormula>+'PMG(D) segun remuneracion'!$K$1</calculatedColumnFormula>
    </tableColumn>
    <tableColumn id="10" xr3:uid="{D35CB254-7716-4AA5-93CB-689C99ADA16F}" name="Fecha Fin Vigencia" dataDxfId="785">
      <calculatedColumnFormula>+'PMG(D) segun remuneracion'!$K$2</calculatedColumnFormula>
    </tableColumn>
    <tableColumn id="11" xr3:uid="{36F717F9-3F08-4274-8DD9-ED8ABBEF94B5}" name="Clasificación" dataDxfId="784">
      <calculatedColumnFormula>+'PMG(D) segun remuneracion'!$K$3</calculatedColumnFormula>
    </tableColumn>
    <tableColumn id="12" xr3:uid="{A188FAAC-DD7E-45F4-8669-FBBBCE1C410F}" name="Versión" dataDxfId="783">
      <calculatedColumnFormula>+'PMG(D) segun remuneracion'!$K$4</calculatedColumnFormula>
    </tableColumn>
    <tableColumn id="13" xr3:uid="{FB75D17C-638C-458E-8071-4D24D86C3258}" name="rep" dataDxfId="782">
      <calculatedColumnFormula>+COUNTIFS(E:E,E2,F:F,F2)</calculatedColumnFormula>
    </tableColumn>
    <tableColumn id="15" xr3:uid="{FF50243B-087A-4756-B5CD-EE9B4635E63D}" name="aux" dataDxfId="781">
      <calculatedColumnFormula>+Tabla3[[#This Row],[Barra Balance]]&amp;"_"&amp;Tabla3[[#This Row],[Tensión Balance]]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3CB98C-FF83-4628-8D07-6E874FF91767}" name="BARRAS" displayName="BARRAS" ref="A1:P1449" tableType="queryTable" totalsRowShown="0">
  <tableColumns count="16">
    <tableColumn id="1" xr3:uid="{62519955-2A15-4B92-9F47-150BF1D89D14}" uniqueName="1" name="Barra" queryTableFieldId="1" dataDxfId="11"/>
    <tableColumn id="2" xr3:uid="{B64E3421-248F-4A1D-9633-658DECB2E291}" uniqueName="2" name="Nivel de tensión" queryTableFieldId="2"/>
    <tableColumn id="3" xr3:uid="{6A7D3172-CDC9-4B7F-97F2-0D6F2BC1545F}" uniqueName="3" name="Barra infotécnica" queryTableFieldId="3"/>
    <tableColumn id="4" xr3:uid="{F16DB39C-9030-460D-B6C1-44914305B01B}" uniqueName="4" name="Código barra CNE" queryTableFieldId="4" dataDxfId="10"/>
    <tableColumn id="5" xr3:uid="{D4830F22-3FA5-4D45-93DA-165A5A2B9BC9}" uniqueName="5" name="Nombre barra CNE" queryTableFieldId="5" dataDxfId="9"/>
    <tableColumn id="6" xr3:uid="{C35E6773-DA69-4716-8431-6A4BD0D719E1}" uniqueName="6" name="Subestación" queryTableFieldId="6" dataDxfId="8"/>
    <tableColumn id="7" xr3:uid="{F0922B35-8B76-4985-8DE0-E2DD4086EAD8}" uniqueName="7" name="Comuna" queryTableFieldId="7"/>
    <tableColumn id="8" xr3:uid="{C88E98C7-CC8B-414F-8E49-3520F4EB1A7B}" uniqueName="8" name="Calificación" queryTableFieldId="8" dataDxfId="7"/>
    <tableColumn id="9" xr3:uid="{AB702E40-BC25-42AA-BB57-1D66E75B7663}" uniqueName="9" name="Zona concesión" queryTableFieldId="9" dataDxfId="6"/>
    <tableColumn id="10" xr3:uid="{BE9928B9-4AC2-42B8-852E-CCBFB228E573}" uniqueName="10" name="Empresa Propietaria" queryTableFieldId="10" dataDxfId="5"/>
    <tableColumn id="11" xr3:uid="{0AEC46B0-7BEA-421E-9514-A05CBD1E0A22}" uniqueName="11" name="Zona Transmisión" queryTableFieldId="11" dataDxfId="4"/>
    <tableColumn id="12" xr3:uid="{88E91EEE-BE5C-476C-9F65-BF496ED1999B}" uniqueName="12" name="Fecha Inicio vigencia" queryTableFieldId="12" dataDxfId="3"/>
    <tableColumn id="13" xr3:uid="{A5DFA26B-8D15-406C-ACA7-D3988DBAD616}" uniqueName="13" name="Fecha Fin vigencia" queryTableFieldId="13" dataDxfId="2"/>
    <tableColumn id="14" xr3:uid="{A20179FD-9389-42F5-9346-00C107FD685D}" uniqueName="14" name="Clasificación" queryTableFieldId="14" dataDxfId="1"/>
    <tableColumn id="15" xr3:uid="{9DCDEB80-B7E2-4402-A9B4-108335A4E1AB}" uniqueName="15" name="Version" queryTableFieldId="15"/>
    <tableColumn id="16" xr3:uid="{679EFFF5-FF6C-4348-8BC2-950B01976FA8}" uniqueName="16" name="Aux" queryTableFieldId="16" dataDxfId="0">
      <calculatedColumnFormula>+BARRAS[[#This Row],[Barra]]&amp;"_"&amp;BARRAS[[#This Row],[Nivel de tensión]]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0F090-5D91-4C41-80B3-E9935BDFD609}">
  <sheetPr codeName="Hoja1"/>
  <dimension ref="A1:K706"/>
  <sheetViews>
    <sheetView tabSelected="1" zoomScale="90" zoomScaleNormal="90" workbookViewId="0">
      <selection activeCell="H1" sqref="H1"/>
    </sheetView>
  </sheetViews>
  <sheetFormatPr baseColWidth="10" defaultRowHeight="15"/>
  <cols>
    <col min="1" max="1" width="34.140625" bestFit="1" customWidth="1"/>
    <col min="2" max="2" width="49.42578125" bestFit="1" customWidth="1"/>
    <col min="3" max="3" width="16.5703125" bestFit="1" customWidth="1"/>
    <col min="4" max="4" width="10.28515625" bestFit="1" customWidth="1"/>
    <col min="5" max="5" width="43.28515625" bestFit="1" customWidth="1"/>
    <col min="6" max="6" width="18.85546875" bestFit="1" customWidth="1"/>
    <col min="7" max="7" width="22.7109375" style="9" bestFit="1" customWidth="1"/>
    <col min="8" max="8" width="28.42578125" style="9" bestFit="1" customWidth="1"/>
    <col min="9" max="9" width="20.28515625" style="9" customWidth="1"/>
    <col min="10" max="10" width="20.85546875" bestFit="1" customWidth="1"/>
    <col min="11" max="11" width="16.5703125" customWidth="1"/>
  </cols>
  <sheetData>
    <row r="1" spans="1:11">
      <c r="A1" t="s">
        <v>1762</v>
      </c>
      <c r="B1" t="s">
        <v>1763</v>
      </c>
      <c r="C1" t="s">
        <v>1580</v>
      </c>
      <c r="D1" t="s">
        <v>1581</v>
      </c>
      <c r="E1" t="s">
        <v>1764</v>
      </c>
      <c r="F1" t="s">
        <v>1582</v>
      </c>
      <c r="G1" s="21" t="s">
        <v>3306</v>
      </c>
      <c r="H1" s="21" t="s">
        <v>3307</v>
      </c>
      <c r="J1" s="22" t="s">
        <v>1563</v>
      </c>
      <c r="K1" s="23" t="s">
        <v>6776</v>
      </c>
    </row>
    <row r="2" spans="1:11">
      <c r="A2" t="s">
        <v>1765</v>
      </c>
      <c r="B2" t="s">
        <v>1766</v>
      </c>
      <c r="C2" t="s">
        <v>29</v>
      </c>
      <c r="D2" t="s">
        <v>1753</v>
      </c>
      <c r="E2" t="s">
        <v>1767</v>
      </c>
      <c r="F2" t="s">
        <v>1583</v>
      </c>
      <c r="G2" s="9" t="str">
        <f>+IF(PMG_D__Remuneracion[[#This Row],[Precio Valorizado]]="Nudo",VLOOKUP(PMG_D__Remuneracion[[#This Row],[Barra]]&amp;"_"&amp;PMG_D__Remuneracion[[#This Row],[Tensión]],Tabla3[aux],1,0),"-")</f>
        <v>AGUILA_66</v>
      </c>
      <c r="H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  <c r="J2" s="22" t="s">
        <v>1564</v>
      </c>
      <c r="K2" s="23" t="s">
        <v>6777</v>
      </c>
    </row>
    <row r="3" spans="1:11">
      <c r="A3" t="s">
        <v>1768</v>
      </c>
      <c r="B3" t="s">
        <v>1769</v>
      </c>
      <c r="C3" t="s">
        <v>74</v>
      </c>
      <c r="D3" t="s">
        <v>1757</v>
      </c>
      <c r="E3" t="s">
        <v>1770</v>
      </c>
      <c r="F3" t="s">
        <v>1583</v>
      </c>
      <c r="G3" s="9" t="str">
        <f>+IF(PMG_D__Remuneracion[[#This Row],[Precio Valorizado]]="Nudo",VLOOKUP(PMG_D__Remuneracion[[#This Row],[Barra]]&amp;"_"&amp;PMG_D__Remuneracion[[#This Row],[Tensión]],Tabla3[aux],1,0),"-")</f>
        <v>ANDES_SNG_220</v>
      </c>
      <c r="H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  <c r="J3" s="22" t="s">
        <v>1565</v>
      </c>
      <c r="K3" s="24">
        <v>2</v>
      </c>
    </row>
    <row r="4" spans="1:11">
      <c r="A4" t="s">
        <v>1771</v>
      </c>
      <c r="B4" t="s">
        <v>1772</v>
      </c>
      <c r="C4" t="s">
        <v>74</v>
      </c>
      <c r="D4" t="s">
        <v>1757</v>
      </c>
      <c r="E4" t="s">
        <v>1773</v>
      </c>
      <c r="F4" t="s">
        <v>1583</v>
      </c>
      <c r="G4" s="9" t="str">
        <f>+IF(PMG_D__Remuneracion[[#This Row],[Precio Valorizado]]="Nudo",VLOOKUP(PMG_D__Remuneracion[[#This Row],[Barra]]&amp;"_"&amp;PMG_D__Remuneracion[[#This Row],[Tensión]],Tabla3[aux],1,0),"-")</f>
        <v>ANDES_SNG_220</v>
      </c>
      <c r="H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  <c r="J4" s="22" t="s">
        <v>1566</v>
      </c>
      <c r="K4" s="24">
        <v>1</v>
      </c>
    </row>
    <row r="5" spans="1:11">
      <c r="A5" t="s">
        <v>1774</v>
      </c>
      <c r="B5" t="s">
        <v>1775</v>
      </c>
      <c r="C5" t="s">
        <v>74</v>
      </c>
      <c r="D5" t="s">
        <v>1757</v>
      </c>
      <c r="E5" t="s">
        <v>1776</v>
      </c>
      <c r="F5" t="s">
        <v>1583</v>
      </c>
      <c r="G5" s="9" t="str">
        <f>+IF(PMG_D__Remuneracion[[#This Row],[Precio Valorizado]]="Nudo",VLOOKUP(PMG_D__Remuneracion[[#This Row],[Barra]]&amp;"_"&amp;PMG_D__Remuneracion[[#This Row],[Tensión]],Tabla3[aux],1,0),"-")</f>
        <v>ANDES_SNG_220</v>
      </c>
      <c r="H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" spans="1:11">
      <c r="A6" t="s">
        <v>1778</v>
      </c>
      <c r="B6" t="s">
        <v>1779</v>
      </c>
      <c r="C6" t="s">
        <v>195</v>
      </c>
      <c r="D6" t="s">
        <v>1757</v>
      </c>
      <c r="E6" t="s">
        <v>1780</v>
      </c>
      <c r="F6" t="s">
        <v>1583</v>
      </c>
      <c r="G6" s="9" t="str">
        <f>+IF(PMG_D__Remuneracion[[#This Row],[Precio Valorizado]]="Nudo",VLOOKUP(PMG_D__Remuneracion[[#This Row],[Barra]]&amp;"_"&amp;PMG_D__Remuneracion[[#This Row],[Tensión]],Tabla3[aux],1,0),"-")</f>
        <v>CARDONES_220</v>
      </c>
      <c r="H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" spans="1:11">
      <c r="A7" t="s">
        <v>1781</v>
      </c>
      <c r="B7" t="s">
        <v>1782</v>
      </c>
      <c r="C7" t="s">
        <v>979</v>
      </c>
      <c r="D7" t="s">
        <v>1755</v>
      </c>
      <c r="E7" t="s">
        <v>6317</v>
      </c>
      <c r="F7" t="s">
        <v>1583</v>
      </c>
      <c r="G7" s="9" t="str">
        <f>+IF(PMG_D__Remuneracion[[#This Row],[Precio Valorizado]]="Nudo",VLOOKUP(PMG_D__Remuneracion[[#This Row],[Barra]]&amp;"_"&amp;PMG_D__Remuneracion[[#This Row],[Tensión]],Tabla3[aux],1,0),"-")</f>
        <v>PAJONAL_23</v>
      </c>
      <c r="H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8" spans="1:11">
      <c r="A8" t="s">
        <v>1783</v>
      </c>
      <c r="B8" t="s">
        <v>1784</v>
      </c>
      <c r="C8" t="s">
        <v>243</v>
      </c>
      <c r="D8" t="s">
        <v>1755</v>
      </c>
      <c r="E8" t="s">
        <v>1785</v>
      </c>
      <c r="F8" t="s">
        <v>1583</v>
      </c>
      <c r="G8" s="9" t="str">
        <f>+IF(PMG_D__Remuneracion[[#This Row],[Precio Valorizado]]="Nudo",VLOOKUP(PMG_D__Remuneracion[[#This Row],[Barra]]&amp;"_"&amp;PMG_D__Remuneracion[[#This Row],[Tensión]],Tabla3[aux],1,0),"-")</f>
        <v>CHAGUAL_23</v>
      </c>
      <c r="H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9" spans="1:11">
      <c r="A9" t="s">
        <v>1786</v>
      </c>
      <c r="B9" t="s">
        <v>1787</v>
      </c>
      <c r="C9" t="s">
        <v>663</v>
      </c>
      <c r="D9" t="s">
        <v>1755</v>
      </c>
      <c r="E9" t="s">
        <v>1788</v>
      </c>
      <c r="F9" t="s">
        <v>1583</v>
      </c>
      <c r="G9" s="9" t="str">
        <f>+IF(PMG_D__Remuneracion[[#This Row],[Precio Valorizado]]="Nudo",VLOOKUP(PMG_D__Remuneracion[[#This Row],[Barra]]&amp;"_"&amp;PMG_D__Remuneracion[[#This Row],[Tensión]],Tabla3[aux],1,0),"-")</f>
        <v>LAS_PIEDRAS_23</v>
      </c>
      <c r="H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0" spans="1:11">
      <c r="A10" t="s">
        <v>1789</v>
      </c>
      <c r="B10" t="s">
        <v>1790</v>
      </c>
      <c r="C10" t="s">
        <v>981</v>
      </c>
      <c r="D10" t="s">
        <v>1755</v>
      </c>
      <c r="E10" t="s">
        <v>1785</v>
      </c>
      <c r="F10" t="s">
        <v>1583</v>
      </c>
      <c r="G10" s="9" t="str">
        <f>+IF(PMG_D__Remuneracion[[#This Row],[Precio Valorizado]]="Nudo",VLOOKUP(PMG_D__Remuneracion[[#This Row],[Barra]]&amp;"_"&amp;PMG_D__Remuneracion[[#This Row],[Tensión]],Tabla3[aux],1,0),"-")</f>
        <v>PAJONALES_23</v>
      </c>
      <c r="H1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1" spans="1:11">
      <c r="A11" t="s">
        <v>1791</v>
      </c>
      <c r="B11" t="s">
        <v>1792</v>
      </c>
      <c r="C11" t="s">
        <v>1423</v>
      </c>
      <c r="D11" t="s">
        <v>1760</v>
      </c>
      <c r="E11" t="s">
        <v>1793</v>
      </c>
      <c r="F11" t="s">
        <v>1583</v>
      </c>
      <c r="G11" s="9" t="str">
        <f>+IF(PMG_D__Remuneracion[[#This Row],[Precio Valorizado]]="Nudo",VLOOKUP(PMG_D__Remuneracion[[#This Row],[Barra]]&amp;"_"&amp;PMG_D__Remuneracion[[#This Row],[Tensión]],Tabla3[aux],1,0),"-")</f>
        <v>TAP_RIOHUASCO_110</v>
      </c>
      <c r="H1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2" spans="1:11">
      <c r="A12" t="s">
        <v>6513</v>
      </c>
      <c r="B12" t="s">
        <v>6514</v>
      </c>
      <c r="C12" t="s">
        <v>5390</v>
      </c>
      <c r="D12" t="s">
        <v>1760</v>
      </c>
      <c r="E12" t="s">
        <v>2667</v>
      </c>
      <c r="F12" t="s">
        <v>1583</v>
      </c>
      <c r="G12" s="9" t="str">
        <f>+IF(PMG_D__Remuneracion[[#This Row],[Precio Valorizado]]="Nudo",VLOOKUP(PMG_D__Remuneracion[[#This Row],[Barra]]&amp;"_"&amp;PMG_D__Remuneracion[[#This Row],[Tensión]],Tabla3[aux],1,0),"-")</f>
        <v>LLAYLLAY_110</v>
      </c>
      <c r="H1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3" spans="1:11">
      <c r="A13" t="s">
        <v>6538</v>
      </c>
      <c r="B13" t="s">
        <v>6539</v>
      </c>
      <c r="C13" t="s">
        <v>355</v>
      </c>
      <c r="D13" t="s">
        <v>1755</v>
      </c>
      <c r="E13" t="s">
        <v>6540</v>
      </c>
      <c r="F13" t="s">
        <v>1758</v>
      </c>
      <c r="G13" s="9" t="str">
        <f>+IF(PMG_D__Remuneracion[[#This Row],[Precio Valorizado]]="Nudo",VLOOKUP(PMG_D__Remuneracion[[#This Row],[Barra]]&amp;"_"&amp;PMG_D__Remuneracion[[#This Row],[Tensión]],Tabla3[aux],1,0),"-")</f>
        <v>-</v>
      </c>
      <c r="H13" s="9" t="str">
        <f>+IF(PMG_D__Remuneracion[[#This Row],[Precio Valorizado]]="Estabilizado",VLOOKUP(PMG_D__Remuneracion[[#This Row],[Barra]]&amp;"_"&amp;PMG_D__Remuneracion[[#This Row],[Tensión]],'FACTORES DE REFERENCIACION'!N:N,1,0),"-")</f>
        <v>CORRALES_23</v>
      </c>
    </row>
    <row r="14" spans="1:11">
      <c r="A14" t="s">
        <v>6318</v>
      </c>
      <c r="B14" t="s">
        <v>6319</v>
      </c>
      <c r="C14" t="s">
        <v>1098</v>
      </c>
      <c r="D14" t="s">
        <v>1760</v>
      </c>
      <c r="E14" t="s">
        <v>6320</v>
      </c>
      <c r="F14" t="s">
        <v>1583</v>
      </c>
      <c r="G14" s="9" t="str">
        <f>+IF(PMG_D__Remuneracion[[#This Row],[Precio Valorizado]]="Nudo",VLOOKUP(PMG_D__Remuneracion[[#This Row],[Barra]]&amp;"_"&amp;PMG_D__Remuneracion[[#This Row],[Tensión]],Tabla3[aux],1,0),"-")</f>
        <v>PPEUCO_110</v>
      </c>
      <c r="H1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5" spans="1:11">
      <c r="A15" t="s">
        <v>6310</v>
      </c>
      <c r="B15" t="s">
        <v>1794</v>
      </c>
      <c r="C15" t="s">
        <v>456</v>
      </c>
      <c r="D15" t="s">
        <v>1760</v>
      </c>
      <c r="E15" t="s">
        <v>1795</v>
      </c>
      <c r="F15" t="s">
        <v>1583</v>
      </c>
      <c r="G15" s="9" t="str">
        <f>+IF(PMG_D__Remuneracion[[#This Row],[Precio Valorizado]]="Nudo",VLOOKUP(PMG_D__Remuneracion[[#This Row],[Barra]]&amp;"_"&amp;PMG_D__Remuneracion[[#This Row],[Tensión]],Tabla3[aux],1,0),"-")</f>
        <v>ELSALVADOR_110</v>
      </c>
      <c r="H1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6" spans="1:11">
      <c r="A16" t="s">
        <v>1796</v>
      </c>
      <c r="B16" t="s">
        <v>1797</v>
      </c>
      <c r="C16" t="s">
        <v>168</v>
      </c>
      <c r="D16" t="s">
        <v>1755</v>
      </c>
      <c r="E16" t="s">
        <v>1798</v>
      </c>
      <c r="F16" t="s">
        <v>1583</v>
      </c>
      <c r="G16" s="9" t="str">
        <f>+IF(PMG_D__Remuneracion[[#This Row],[Precio Valorizado]]="Nudo",VLOOKUP(PMG_D__Remuneracion[[#This Row],[Barra]]&amp;"_"&amp;PMG_D__Remuneracion[[#This Row],[Tensión]],Tabla3[aux],1,0),"-")</f>
        <v>CALAMA_23</v>
      </c>
      <c r="H1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7" spans="1:8">
      <c r="A17" t="s">
        <v>1799</v>
      </c>
      <c r="B17" t="s">
        <v>1800</v>
      </c>
      <c r="C17" t="s">
        <v>585</v>
      </c>
      <c r="D17" t="s">
        <v>1756</v>
      </c>
      <c r="E17" t="s">
        <v>1801</v>
      </c>
      <c r="F17" t="s">
        <v>1583</v>
      </c>
      <c r="G17" s="9" t="str">
        <f>+IF(PMG_D__Remuneracion[[#This Row],[Precio Valorizado]]="Nudo",VLOOKUP(PMG_D__Remuneracion[[#This Row],[Barra]]&amp;"_"&amp;PMG_D__Remuneracion[[#This Row],[Tensión]],Tabla3[aux],1,0),"-")</f>
        <v>L.LOROS_13</v>
      </c>
      <c r="H1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8" spans="1:8">
      <c r="A18" t="s">
        <v>1802</v>
      </c>
      <c r="B18" t="s">
        <v>1803</v>
      </c>
      <c r="C18" t="s">
        <v>585</v>
      </c>
      <c r="D18" t="s">
        <v>1756</v>
      </c>
      <c r="E18" t="s">
        <v>1801</v>
      </c>
      <c r="F18" t="s">
        <v>1583</v>
      </c>
      <c r="G18" s="9" t="str">
        <f>+IF(PMG_D__Remuneracion[[#This Row],[Precio Valorizado]]="Nudo",VLOOKUP(PMG_D__Remuneracion[[#This Row],[Barra]]&amp;"_"&amp;PMG_D__Remuneracion[[#This Row],[Tensión]],Tabla3[aux],1,0),"-")</f>
        <v>L.LOROS_13</v>
      </c>
      <c r="H1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9" spans="1:8">
      <c r="A19" t="s">
        <v>6599</v>
      </c>
      <c r="B19" t="s">
        <v>6600</v>
      </c>
      <c r="C19" t="s">
        <v>719</v>
      </c>
      <c r="D19" t="s">
        <v>1755</v>
      </c>
      <c r="E19" t="s">
        <v>6601</v>
      </c>
      <c r="F19" t="s">
        <v>1583</v>
      </c>
      <c r="G19" s="9" t="str">
        <f>+IF(PMG_D__Remuneracion[[#This Row],[Precio Valorizado]]="Nudo",VLOOKUP(PMG_D__Remuneracion[[#This Row],[Barra]]&amp;"_"&amp;PMG_D__Remuneracion[[#This Row],[Tensión]],Tabla3[aux],1,0),"-")</f>
        <v>LO_BOZA_23</v>
      </c>
      <c r="H1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0" spans="1:8">
      <c r="A20" t="s">
        <v>1804</v>
      </c>
      <c r="B20" t="s">
        <v>1805</v>
      </c>
      <c r="C20" t="s">
        <v>347</v>
      </c>
      <c r="D20" t="s">
        <v>1756</v>
      </c>
      <c r="E20" t="s">
        <v>1806</v>
      </c>
      <c r="F20" t="s">
        <v>1583</v>
      </c>
      <c r="G20" s="9" t="str">
        <f>+IF(PMG_D__Remuneracion[[#This Row],[Precio Valorizado]]="Nudo",VLOOKUP(PMG_D__Remuneracion[[#This Row],[Barra]]&amp;"_"&amp;PMG_D__Remuneracion[[#This Row],[Tensión]],Tabla3[aux],1,0),"-")</f>
        <v>COPIAPO_13</v>
      </c>
      <c r="H2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1" spans="1:8">
      <c r="A21" t="s">
        <v>1807</v>
      </c>
      <c r="B21" t="s">
        <v>1808</v>
      </c>
      <c r="C21" t="s">
        <v>36</v>
      </c>
      <c r="D21" t="s">
        <v>1754</v>
      </c>
      <c r="E21" t="s">
        <v>1809</v>
      </c>
      <c r="F21" t="s">
        <v>1583</v>
      </c>
      <c r="G21" s="9" t="str">
        <f>+IF(PMG_D__Remuneracion[[#This Row],[Precio Valorizado]]="Nudo",VLOOKUP(PMG_D__Remuneracion[[#This Row],[Barra]]&amp;"_"&amp;PMG_D__Remuneracion[[#This Row],[Tensión]],Tabla3[aux],1,0),"-")</f>
        <v>ALAMEDA_15</v>
      </c>
      <c r="H2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2" spans="1:8">
      <c r="A22" t="s">
        <v>1810</v>
      </c>
      <c r="B22" t="s">
        <v>1811</v>
      </c>
      <c r="C22" t="s">
        <v>380</v>
      </c>
      <c r="D22" t="s">
        <v>1756</v>
      </c>
      <c r="E22" t="s">
        <v>2334</v>
      </c>
      <c r="F22" t="s">
        <v>1583</v>
      </c>
      <c r="G22" s="9" t="str">
        <f>+IF(PMG_D__Remuneracion[[#This Row],[Precio Valorizado]]="Nudo",VLOOKUP(PMG_D__Remuneracion[[#This Row],[Barra]]&amp;"_"&amp;PMG_D__Remuneracion[[#This Row],[Tensión]],Tabla3[aux],1,0),"-")</f>
        <v>CURICO2_13</v>
      </c>
      <c r="H2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3" spans="1:8">
      <c r="A23" t="s">
        <v>1812</v>
      </c>
      <c r="B23" t="s">
        <v>1813</v>
      </c>
      <c r="C23" t="s">
        <v>1056</v>
      </c>
      <c r="D23" t="s">
        <v>1755</v>
      </c>
      <c r="E23" t="s">
        <v>1814</v>
      </c>
      <c r="F23" t="s">
        <v>1583</v>
      </c>
      <c r="G23" s="9" t="str">
        <f>+IF(PMG_D__Remuneracion[[#This Row],[Precio Valorizado]]="Nudo",VLOOKUP(PMG_D__Remuneracion[[#This Row],[Barra]]&amp;"_"&amp;PMG_D__Remuneracion[[#This Row],[Tensión]],Tabla3[aux],1,0),"-")</f>
        <v>PICOLTUE_23</v>
      </c>
      <c r="H2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4" spans="1:8">
      <c r="A24" t="s">
        <v>1815</v>
      </c>
      <c r="B24" t="s">
        <v>1816</v>
      </c>
      <c r="C24" t="s">
        <v>1175</v>
      </c>
      <c r="D24" t="s">
        <v>1756</v>
      </c>
      <c r="E24" t="s">
        <v>1817</v>
      </c>
      <c r="F24" t="s">
        <v>1583</v>
      </c>
      <c r="G24" s="9" t="str">
        <f>+IF(PMG_D__Remuneracion[[#This Row],[Precio Valorizado]]="Nudo",VLOOKUP(PMG_D__Remuneracion[[#This Row],[Barra]]&amp;"_"&amp;PMG_D__Remuneracion[[#This Row],[Tensión]],Tabla3[aux],1,0),"-")</f>
        <v>QUIRIHUE_13</v>
      </c>
      <c r="H2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5" spans="1:8">
      <c r="A25" t="s">
        <v>6372</v>
      </c>
      <c r="B25" t="s">
        <v>6373</v>
      </c>
      <c r="C25" t="s">
        <v>563</v>
      </c>
      <c r="D25" t="s">
        <v>1756</v>
      </c>
      <c r="E25" t="s">
        <v>6374</v>
      </c>
      <c r="F25" t="s">
        <v>1583</v>
      </c>
      <c r="G25" s="9" t="str">
        <f>+IF(PMG_D__Remuneracion[[#This Row],[Precio Valorizado]]="Nudo",VLOOKUP(PMG_D__Remuneracion[[#This Row],[Barra]]&amp;"_"&amp;PMG_D__Remuneracion[[#This Row],[Tensión]],Tabla3[aux],1,0),"-")</f>
        <v>L.ANGELES_13</v>
      </c>
      <c r="H2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6" spans="1:8">
      <c r="A26" t="s">
        <v>1818</v>
      </c>
      <c r="B26" t="s">
        <v>1819</v>
      </c>
      <c r="C26" t="s">
        <v>39</v>
      </c>
      <c r="D26" t="s">
        <v>1755</v>
      </c>
      <c r="E26" t="s">
        <v>6551</v>
      </c>
      <c r="F26" t="s">
        <v>1583</v>
      </c>
      <c r="G26" s="9" t="str">
        <f>+IF(PMG_D__Remuneracion[[#This Row],[Precio Valorizado]]="Nudo",VLOOKUP(PMG_D__Remuneracion[[#This Row],[Barra]]&amp;"_"&amp;PMG_D__Remuneracion[[#This Row],[Tensión]],Tabla3[aux],1,0),"-")</f>
        <v>ALCONES_23</v>
      </c>
      <c r="H2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7" spans="1:8">
      <c r="A27" t="s">
        <v>1820</v>
      </c>
      <c r="B27" t="s">
        <v>1821</v>
      </c>
      <c r="C27" t="s">
        <v>656</v>
      </c>
      <c r="D27" t="s">
        <v>1756</v>
      </c>
      <c r="E27" t="s">
        <v>1822</v>
      </c>
      <c r="F27" t="s">
        <v>1583</v>
      </c>
      <c r="G27" s="9" t="str">
        <f>+IF(PMG_D__Remuneracion[[#This Row],[Precio Valorizado]]="Nudo",VLOOKUP(PMG_D__Remuneracion[[#This Row],[Barra]]&amp;"_"&amp;PMG_D__Remuneracion[[#This Row],[Tensión]],Tabla3[aux],1,0),"-")</f>
        <v>LARONDA_13</v>
      </c>
      <c r="H2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8" spans="1:8">
      <c r="A28" t="s">
        <v>6321</v>
      </c>
      <c r="B28" t="s">
        <v>6322</v>
      </c>
      <c r="C28" t="s">
        <v>1200</v>
      </c>
      <c r="D28" t="s">
        <v>1756</v>
      </c>
      <c r="E28" t="s">
        <v>6323</v>
      </c>
      <c r="F28" t="s">
        <v>1583</v>
      </c>
      <c r="G28" s="9" t="str">
        <f>+IF(PMG_D__Remuneracion[[#This Row],[Precio Valorizado]]="Nudo",VLOOKUP(PMG_D__Remuneracion[[#This Row],[Barra]]&amp;"_"&amp;PMG_D__Remuneracion[[#This Row],[Tensión]],Tabla3[aux],1,0),"-")</f>
        <v>RAUQUEN_13</v>
      </c>
      <c r="H2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9" spans="1:8">
      <c r="A29" t="s">
        <v>1823</v>
      </c>
      <c r="B29" t="s">
        <v>1824</v>
      </c>
      <c r="C29" t="s">
        <v>1347</v>
      </c>
      <c r="D29" t="s">
        <v>1755</v>
      </c>
      <c r="E29" t="s">
        <v>1825</v>
      </c>
      <c r="F29" t="s">
        <v>1583</v>
      </c>
      <c r="G29" s="9" t="str">
        <f>+IF(PMG_D__Remuneracion[[#This Row],[Precio Valorizado]]="Nudo",VLOOKUP(PMG_D__Remuneracion[[#This Row],[Barra]]&amp;"_"&amp;PMG_D__Remuneracion[[#This Row],[Tensión]],Tabla3[aux],1,0),"-")</f>
        <v>STA.ROSA_23</v>
      </c>
      <c r="H2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0" spans="1:8">
      <c r="A30" t="s">
        <v>1826</v>
      </c>
      <c r="B30" t="s">
        <v>1827</v>
      </c>
      <c r="C30" t="s">
        <v>48</v>
      </c>
      <c r="D30" t="s">
        <v>1755</v>
      </c>
      <c r="E30" t="s">
        <v>1828</v>
      </c>
      <c r="F30" t="s">
        <v>1583</v>
      </c>
      <c r="G30" s="9" t="str">
        <f>+IF(PMG_D__Remuneracion[[#This Row],[Precio Valorizado]]="Nudo",VLOOKUP(PMG_D__Remuneracion[[#This Row],[Barra]]&amp;"_"&amp;PMG_D__Remuneracion[[#This Row],[Tensión]],Tabla3[aux],1,0),"-")</f>
        <v>ALHUE_23</v>
      </c>
      <c r="H3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1" spans="1:8">
      <c r="A31" t="s">
        <v>1829</v>
      </c>
      <c r="B31" t="s">
        <v>1830</v>
      </c>
      <c r="C31" t="s">
        <v>228</v>
      </c>
      <c r="D31" t="s">
        <v>1756</v>
      </c>
      <c r="E31" t="s">
        <v>1831</v>
      </c>
      <c r="F31" t="s">
        <v>1583</v>
      </c>
      <c r="G31" s="9" t="str">
        <f>+IF(PMG_D__Remuneracion[[#This Row],[Precio Valorizado]]="Nudo",VLOOKUP(PMG_D__Remuneracion[[#This Row],[Barra]]&amp;"_"&amp;PMG_D__Remuneracion[[#This Row],[Tensión]],Tabla3[aux],1,0),"-")</f>
        <v>CERRILLOS_13</v>
      </c>
      <c r="H3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2" spans="1:8">
      <c r="A32" t="s">
        <v>1832</v>
      </c>
      <c r="B32" t="s">
        <v>1833</v>
      </c>
      <c r="C32" t="s">
        <v>158</v>
      </c>
      <c r="D32" t="s">
        <v>1755</v>
      </c>
      <c r="E32" t="s">
        <v>1834</v>
      </c>
      <c r="F32" t="s">
        <v>1583</v>
      </c>
      <c r="G32" s="9" t="str">
        <f>+IF(PMG_D__Remuneracion[[#This Row],[Precio Valorizado]]="Nudo",VLOOKUP(PMG_D__Remuneracion[[#This Row],[Barra]]&amp;"_"&amp;PMG_D__Remuneracion[[#This Row],[Tensión]],Tabla3[aux],1,0),"-")</f>
        <v>CABILDO_23</v>
      </c>
      <c r="H3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3" spans="1:8">
      <c r="A33" t="s">
        <v>3234</v>
      </c>
      <c r="B33" t="s">
        <v>3261</v>
      </c>
      <c r="C33" t="s">
        <v>288</v>
      </c>
      <c r="D33" t="s">
        <v>1756</v>
      </c>
      <c r="E33" t="s">
        <v>1828</v>
      </c>
      <c r="F33" t="s">
        <v>1583</v>
      </c>
      <c r="G33" s="9" t="str">
        <f>+IF(PMG_D__Remuneracion[[#This Row],[Precio Valorizado]]="Nudo",VLOOKUP(PMG_D__Remuneracion[[#This Row],[Barra]]&amp;"_"&amp;PMG_D__Remuneracion[[#This Row],[Tensión]],Tabla3[aux],1,0),"-")</f>
        <v>CHUMAQUITO_13</v>
      </c>
      <c r="H3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4" spans="1:8">
      <c r="A34" t="s">
        <v>1835</v>
      </c>
      <c r="B34" t="s">
        <v>3309</v>
      </c>
      <c r="C34" t="s">
        <v>854</v>
      </c>
      <c r="D34" t="s">
        <v>1760</v>
      </c>
      <c r="E34" t="s">
        <v>1836</v>
      </c>
      <c r="F34" t="s">
        <v>1583</v>
      </c>
      <c r="G34" s="9" t="str">
        <f>+IF(PMG_D__Remuneracion[[#This Row],[Precio Valorizado]]="Nudo",VLOOKUP(PMG_D__Remuneracion[[#This Row],[Barra]]&amp;"_"&amp;PMG_D__Remuneracion[[#This Row],[Tensión]],Tabla3[aux],1,0),"-")</f>
        <v>MINERO_110</v>
      </c>
      <c r="H3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5" spans="1:8">
      <c r="A35" t="s">
        <v>3353</v>
      </c>
      <c r="B35" t="s">
        <v>3354</v>
      </c>
      <c r="C35" t="s">
        <v>659</v>
      </c>
      <c r="D35" t="s">
        <v>1755</v>
      </c>
      <c r="E35" t="s">
        <v>3355</v>
      </c>
      <c r="F35" t="s">
        <v>1583</v>
      </c>
      <c r="G35" s="9" t="str">
        <f>+IF(PMG_D__Remuneracion[[#This Row],[Precio Valorizado]]="Nudo",VLOOKUP(PMG_D__Remuneracion[[#This Row],[Barra]]&amp;"_"&amp;PMG_D__Remuneracion[[#This Row],[Tensión]],Tabla3[aux],1,0),"-")</f>
        <v>LARQUI_23</v>
      </c>
      <c r="H3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6" spans="1:8">
      <c r="A36" t="s">
        <v>1838</v>
      </c>
      <c r="B36" t="s">
        <v>1839</v>
      </c>
      <c r="C36" t="s">
        <v>929</v>
      </c>
      <c r="D36" t="s">
        <v>1755</v>
      </c>
      <c r="E36" t="s">
        <v>1840</v>
      </c>
      <c r="F36" t="s">
        <v>1583</v>
      </c>
      <c r="G36" s="9" t="str">
        <f>+IF(PMG_D__Remuneracion[[#This Row],[Precio Valorizado]]="Nudo",VLOOKUP(PMG_D__Remuneracion[[#This Row],[Barra]]&amp;"_"&amp;PMG_D__Remuneracion[[#This Row],[Tensión]],Tabla3[aux],1,0),"-")</f>
        <v>OVALLE_23</v>
      </c>
      <c r="H3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7" spans="1:8">
      <c r="A37" t="s">
        <v>6357</v>
      </c>
      <c r="B37" t="s">
        <v>6358</v>
      </c>
      <c r="C37" t="s">
        <v>1466</v>
      </c>
      <c r="D37" t="s">
        <v>1755</v>
      </c>
      <c r="E37" t="s">
        <v>3281</v>
      </c>
      <c r="F37" t="s">
        <v>1583</v>
      </c>
      <c r="G37" s="9" t="str">
        <f>+IF(PMG_D__Remuneracion[[#This Row],[Precio Valorizado]]="Nudo",VLOOKUP(PMG_D__Remuneracion[[#This Row],[Barra]]&amp;"_"&amp;PMG_D__Remuneracion[[#This Row],[Tensión]],Tabla3[aux],1,0),"-")</f>
        <v>TESORO_23</v>
      </c>
      <c r="H3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8" spans="1:8">
      <c r="A38" t="s">
        <v>1841</v>
      </c>
      <c r="B38" t="s">
        <v>1842</v>
      </c>
      <c r="C38" t="s">
        <v>929</v>
      </c>
      <c r="D38" t="s">
        <v>1755</v>
      </c>
      <c r="E38" t="s">
        <v>6404</v>
      </c>
      <c r="F38" t="s">
        <v>1583</v>
      </c>
      <c r="G38" s="9" t="str">
        <f>+IF(PMG_D__Remuneracion[[#This Row],[Precio Valorizado]]="Nudo",VLOOKUP(PMG_D__Remuneracion[[#This Row],[Barra]]&amp;"_"&amp;PMG_D__Remuneracion[[#This Row],[Tensión]],Tabla3[aux],1,0),"-")</f>
        <v>OVALLE_23</v>
      </c>
      <c r="H3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9" spans="1:8">
      <c r="A39" t="s">
        <v>6541</v>
      </c>
      <c r="B39" t="s">
        <v>6542</v>
      </c>
      <c r="C39" t="s">
        <v>444</v>
      </c>
      <c r="D39" t="s">
        <v>1756</v>
      </c>
      <c r="E39" t="s">
        <v>2167</v>
      </c>
      <c r="F39" t="s">
        <v>1583</v>
      </c>
      <c r="G39" s="9" t="str">
        <f>+IF(PMG_D__Remuneracion[[#This Row],[Precio Valorizado]]="Nudo",VLOOKUP(PMG_D__Remuneracion[[#This Row],[Barra]]&amp;"_"&amp;PMG_D__Remuneracion[[#This Row],[Tensión]],Tabla3[aux],1,0),"-")</f>
        <v>ELMONTE_13</v>
      </c>
      <c r="H3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0" spans="1:8">
      <c r="A40" t="s">
        <v>1843</v>
      </c>
      <c r="B40" t="s">
        <v>1844</v>
      </c>
      <c r="C40" t="s">
        <v>1245</v>
      </c>
      <c r="D40" t="s">
        <v>1756</v>
      </c>
      <c r="E40" t="s">
        <v>1845</v>
      </c>
      <c r="F40" t="s">
        <v>1583</v>
      </c>
      <c r="G40" s="9" t="str">
        <f>+IF(PMG_D__Remuneracion[[#This Row],[Precio Valorizado]]="Nudo",VLOOKUP(PMG_D__Remuneracion[[#This Row],[Barra]]&amp;"_"&amp;PMG_D__Remuneracion[[#This Row],[Tensión]],Tabla3[aux],1,0),"-")</f>
        <v>S.FELIPE_13</v>
      </c>
      <c r="H4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1" spans="1:8">
      <c r="A41" t="s">
        <v>1846</v>
      </c>
      <c r="B41" t="s">
        <v>1847</v>
      </c>
      <c r="C41" t="s">
        <v>735</v>
      </c>
      <c r="D41" t="s">
        <v>1756</v>
      </c>
      <c r="E41" t="s">
        <v>2334</v>
      </c>
      <c r="F41" t="s">
        <v>1583</v>
      </c>
      <c r="G41" s="9" t="str">
        <f>+IF(PMG_D__Remuneracion[[#This Row],[Precio Valorizado]]="Nudo",VLOOKUP(PMG_D__Remuneracion[[#This Row],[Barra]]&amp;"_"&amp;PMG_D__Remuneracion[[#This Row],[Tensión]],Tabla3[aux],1,0),"-")</f>
        <v>LONCOCHE_13</v>
      </c>
      <c r="H4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2" spans="1:8">
      <c r="A42" t="s">
        <v>6409</v>
      </c>
      <c r="B42" t="s">
        <v>6410</v>
      </c>
      <c r="C42" t="s">
        <v>5976</v>
      </c>
      <c r="D42" t="s">
        <v>1756</v>
      </c>
      <c r="E42" t="s">
        <v>6411</v>
      </c>
      <c r="F42" t="s">
        <v>1583</v>
      </c>
      <c r="G42" s="9" t="str">
        <f>+IF(PMG_D__Remuneracion[[#This Row],[Precio Valorizado]]="Nudo",VLOOKUP(PMG_D__Remuneracion[[#This Row],[Barra]]&amp;"_"&amp;PMG_D__Remuneracion[[#This Row],[Tensión]],Tabla3[aux],1,0),"-")</f>
        <v>A.HOSPICIO_13</v>
      </c>
      <c r="H4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3" spans="1:8">
      <c r="A43" t="s">
        <v>6437</v>
      </c>
      <c r="B43" t="s">
        <v>6438</v>
      </c>
      <c r="C43" t="s">
        <v>5719</v>
      </c>
      <c r="D43" t="s">
        <v>1756</v>
      </c>
      <c r="E43" t="s">
        <v>6439</v>
      </c>
      <c r="F43" t="s">
        <v>1583</v>
      </c>
      <c r="G43" s="9" t="str">
        <f>+IF(PMG_D__Remuneracion[[#This Row],[Precio Valorizado]]="Nudo",VLOOKUP(PMG_D__Remuneracion[[#This Row],[Barra]]&amp;"_"&amp;PMG_D__Remuneracion[[#This Row],[Tensión]],Tabla3[aux],1,0),"-")</f>
        <v>ANGOL_13</v>
      </c>
      <c r="H4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4" spans="1:8">
      <c r="A44" t="s">
        <v>1848</v>
      </c>
      <c r="B44" t="s">
        <v>1849</v>
      </c>
      <c r="C44" t="s">
        <v>800</v>
      </c>
      <c r="D44" t="s">
        <v>1756</v>
      </c>
      <c r="E44" t="s">
        <v>1801</v>
      </c>
      <c r="F44" t="s">
        <v>1583</v>
      </c>
      <c r="G44" s="9" t="str">
        <f>+IF(PMG_D__Remuneracion[[#This Row],[Precio Valorizado]]="Nudo",VLOOKUP(PMG_D__Remuneracion[[#This Row],[Barra]]&amp;"_"&amp;PMG_D__Remuneracion[[#This Row],[Tensión]],Tabla3[aux],1,0),"-")</f>
        <v>MALLOA_13</v>
      </c>
      <c r="H4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5" spans="1:8">
      <c r="A45" t="s">
        <v>1850</v>
      </c>
      <c r="B45" t="s">
        <v>1851</v>
      </c>
      <c r="C45" t="s">
        <v>1142</v>
      </c>
      <c r="D45" t="s">
        <v>1756</v>
      </c>
      <c r="E45" t="s">
        <v>6551</v>
      </c>
      <c r="F45" t="s">
        <v>1583</v>
      </c>
      <c r="G45" s="9" t="str">
        <f>+IF(PMG_D__Remuneracion[[#This Row],[Precio Valorizado]]="Nudo",VLOOKUP(PMG_D__Remuneracion[[#This Row],[Barra]]&amp;"_"&amp;PMG_D__Remuneracion[[#This Row],[Tensión]],Tabla3[aux],1,0),"-")</f>
        <v>QUIANI_13</v>
      </c>
      <c r="H4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6" spans="1:8">
      <c r="A46" t="s">
        <v>1852</v>
      </c>
      <c r="B46" t="s">
        <v>1853</v>
      </c>
      <c r="C46" t="s">
        <v>93</v>
      </c>
      <c r="D46" t="s">
        <v>1755</v>
      </c>
      <c r="E46" t="s">
        <v>1854</v>
      </c>
      <c r="F46" t="s">
        <v>1583</v>
      </c>
      <c r="G46" s="9" t="str">
        <f>+IF(PMG_D__Remuneracion[[#This Row],[Precio Valorizado]]="Nudo",VLOOKUP(PMG_D__Remuneracion[[#This Row],[Barra]]&amp;"_"&amp;PMG_D__Remuneracion[[#This Row],[Tensión]],Tabla3[aux],1,0),"-")</f>
        <v>ARMAZONES_23</v>
      </c>
      <c r="H4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7" spans="1:8">
      <c r="A47" t="s">
        <v>1855</v>
      </c>
      <c r="B47" t="s">
        <v>1856</v>
      </c>
      <c r="C47" t="s">
        <v>732</v>
      </c>
      <c r="D47" t="s">
        <v>1756</v>
      </c>
      <c r="E47" t="s">
        <v>3227</v>
      </c>
      <c r="F47" t="s">
        <v>1583</v>
      </c>
      <c r="G47" s="9" t="str">
        <f>+IF(PMG_D__Remuneracion[[#This Row],[Precio Valorizado]]="Nudo",VLOOKUP(PMG_D__Remuneracion[[#This Row],[Barra]]&amp;"_"&amp;PMG_D__Remuneracion[[#This Row],[Tensión]],Tabla3[aux],1,0),"-")</f>
        <v>LOMIRANDA_13</v>
      </c>
      <c r="H4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8" spans="1:8">
      <c r="A48" t="s">
        <v>6446</v>
      </c>
      <c r="B48" t="s">
        <v>6447</v>
      </c>
      <c r="C48" t="s">
        <v>1242</v>
      </c>
      <c r="D48" t="s">
        <v>1756</v>
      </c>
      <c r="E48" t="s">
        <v>6448</v>
      </c>
      <c r="F48" t="s">
        <v>1583</v>
      </c>
      <c r="G48" s="9" t="str">
        <f>+IF(PMG_D__Remuneracion[[#This Row],[Precio Valorizado]]="Nudo",VLOOKUP(PMG_D__Remuneracion[[#This Row],[Barra]]&amp;"_"&amp;PMG_D__Remuneracion[[#This Row],[Tensión]],Tabla3[aux],1,0),"-")</f>
        <v>S.F.MOSTAZAL_13</v>
      </c>
      <c r="H4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9" spans="1:8">
      <c r="A49" t="s">
        <v>1857</v>
      </c>
      <c r="B49" t="s">
        <v>1858</v>
      </c>
      <c r="C49" t="s">
        <v>1531</v>
      </c>
      <c r="D49" t="s">
        <v>1756</v>
      </c>
      <c r="E49" t="s">
        <v>1859</v>
      </c>
      <c r="F49" t="s">
        <v>1583</v>
      </c>
      <c r="G49" s="9" t="str">
        <f>+IF(PMG_D__Remuneracion[[#This Row],[Precio Valorizado]]="Nudo",VLOOKUP(PMG_D__Remuneracion[[#This Row],[Barra]]&amp;"_"&amp;PMG_D__Remuneracion[[#This Row],[Tensión]],Tabla3[aux],1,0),"-")</f>
        <v>VALLENAR_13</v>
      </c>
      <c r="H4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0" spans="1:8">
      <c r="A50" t="s">
        <v>1860</v>
      </c>
      <c r="B50" t="s">
        <v>1861</v>
      </c>
      <c r="C50" t="s">
        <v>432</v>
      </c>
      <c r="D50" t="s">
        <v>1755</v>
      </c>
      <c r="E50" t="s">
        <v>1814</v>
      </c>
      <c r="F50" t="s">
        <v>1583</v>
      </c>
      <c r="G50" s="9" t="str">
        <f>+IF(PMG_D__Remuneracion[[#This Row],[Precio Valorizado]]="Nudo",VLOOKUP(PMG_D__Remuneracion[[#This Row],[Barra]]&amp;"_"&amp;PMG_D__Remuneracion[[#This Row],[Tensión]],Tabla3[aux],1,0),"-")</f>
        <v>ELAVELLANO_23</v>
      </c>
      <c r="H5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1" spans="1:8">
      <c r="A51" t="s">
        <v>1862</v>
      </c>
      <c r="B51" t="s">
        <v>1863</v>
      </c>
      <c r="C51" t="s">
        <v>432</v>
      </c>
      <c r="D51" t="s">
        <v>1755</v>
      </c>
      <c r="E51" t="s">
        <v>1864</v>
      </c>
      <c r="F51" t="s">
        <v>1583</v>
      </c>
      <c r="G51" s="9" t="str">
        <f>+IF(PMG_D__Remuneracion[[#This Row],[Precio Valorizado]]="Nudo",VLOOKUP(PMG_D__Remuneracion[[#This Row],[Barra]]&amp;"_"&amp;PMG_D__Remuneracion[[#This Row],[Tensión]],Tabla3[aux],1,0),"-")</f>
        <v>ELAVELLANO_23</v>
      </c>
      <c r="H5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2" spans="1:8">
      <c r="A52" t="s">
        <v>1865</v>
      </c>
      <c r="B52" t="s">
        <v>1866</v>
      </c>
      <c r="C52" t="s">
        <v>644</v>
      </c>
      <c r="D52" t="s">
        <v>1756</v>
      </c>
      <c r="E52" t="s">
        <v>1867</v>
      </c>
      <c r="F52" t="s">
        <v>1583</v>
      </c>
      <c r="G52" s="9" t="str">
        <f>+IF(PMG_D__Remuneracion[[#This Row],[Precio Valorizado]]="Nudo",VLOOKUP(PMG_D__Remuneracion[[#This Row],[Barra]]&amp;"_"&amp;PMG_D__Remuneracion[[#This Row],[Tensión]],Tabla3[aux],1,0),"-")</f>
        <v>LAMANGA_13</v>
      </c>
      <c r="H5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3" spans="1:8">
      <c r="A53" t="s">
        <v>1868</v>
      </c>
      <c r="B53" t="s">
        <v>1869</v>
      </c>
      <c r="C53" t="s">
        <v>405</v>
      </c>
      <c r="D53" t="s">
        <v>1755</v>
      </c>
      <c r="E53" t="s">
        <v>1785</v>
      </c>
      <c r="F53" t="s">
        <v>1583</v>
      </c>
      <c r="G53" s="9" t="str">
        <f>+IF(PMG_D__Remuneracion[[#This Row],[Precio Valorizado]]="Nudo",VLOOKUP(PMG_D__Remuneracion[[#This Row],[Barra]]&amp;"_"&amp;PMG_D__Remuneracion[[#This Row],[Tensión]],Tabla3[aux],1,0),"-")</f>
        <v>E.PENON_23</v>
      </c>
      <c r="H5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4" spans="1:8">
      <c r="A54" t="s">
        <v>1870</v>
      </c>
      <c r="B54" t="s">
        <v>1871</v>
      </c>
      <c r="C54" t="s">
        <v>1507</v>
      </c>
      <c r="D54" t="s">
        <v>1754</v>
      </c>
      <c r="E54" t="s">
        <v>1872</v>
      </c>
      <c r="F54" t="s">
        <v>1583</v>
      </c>
      <c r="G54" s="9" t="str">
        <f>+IF(PMG_D__Remuneracion[[#This Row],[Precio Valorizado]]="Nudo",VLOOKUP(PMG_D__Remuneracion[[#This Row],[Barra]]&amp;"_"&amp;PMG_D__Remuneracion[[#This Row],[Tensión]],Tabla3[aux],1,0),"-")</f>
        <v>TUNICHE_15</v>
      </c>
      <c r="H5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5" spans="1:8">
      <c r="A55" t="s">
        <v>6516</v>
      </c>
      <c r="B55" t="s">
        <v>6517</v>
      </c>
      <c r="C55" t="s">
        <v>739</v>
      </c>
      <c r="D55" t="s">
        <v>1756</v>
      </c>
      <c r="E55" t="s">
        <v>6518</v>
      </c>
      <c r="F55" t="s">
        <v>1583</v>
      </c>
      <c r="G55" s="9" t="str">
        <f>+IF(PMG_D__Remuneracion[[#This Row],[Precio Valorizado]]="Nudo",VLOOKUP(PMG_D__Remuneracion[[#This Row],[Barra]]&amp;"_"&amp;PMG_D__Remuneracion[[#This Row],[Tensión]],Tabla3[aux],1,0),"-")</f>
        <v>LONGAVI_13</v>
      </c>
      <c r="H5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6" spans="1:8">
      <c r="A56" t="s">
        <v>3242</v>
      </c>
      <c r="B56" t="s">
        <v>3262</v>
      </c>
      <c r="C56" t="s">
        <v>1200</v>
      </c>
      <c r="D56" t="s">
        <v>1756</v>
      </c>
      <c r="E56" t="s">
        <v>3263</v>
      </c>
      <c r="F56" t="s">
        <v>1583</v>
      </c>
      <c r="G56" s="9" t="str">
        <f>+IF(PMG_D__Remuneracion[[#This Row],[Precio Valorizado]]="Nudo",VLOOKUP(PMG_D__Remuneracion[[#This Row],[Barra]]&amp;"_"&amp;PMG_D__Remuneracion[[#This Row],[Tensión]],Tabla3[aux],1,0),"-")</f>
        <v>RAUQUEN_13</v>
      </c>
      <c r="H5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7" spans="1:8">
      <c r="A57" t="s">
        <v>1873</v>
      </c>
      <c r="B57" t="s">
        <v>1874</v>
      </c>
      <c r="C57" t="s">
        <v>719</v>
      </c>
      <c r="D57" t="s">
        <v>1755</v>
      </c>
      <c r="E57" t="s">
        <v>2667</v>
      </c>
      <c r="F57" t="s">
        <v>1583</v>
      </c>
      <c r="G57" s="9" t="str">
        <f>+IF(PMG_D__Remuneracion[[#This Row],[Precio Valorizado]]="Nudo",VLOOKUP(PMG_D__Remuneracion[[#This Row],[Barra]]&amp;"_"&amp;PMG_D__Remuneracion[[#This Row],[Tensión]],Tabla3[aux],1,0),"-")</f>
        <v>LO_BOZA_23</v>
      </c>
      <c r="H5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8" spans="1:8">
      <c r="A58" t="s">
        <v>1875</v>
      </c>
      <c r="B58" t="s">
        <v>1876</v>
      </c>
      <c r="C58" t="s">
        <v>532</v>
      </c>
      <c r="D58" t="s">
        <v>1755</v>
      </c>
      <c r="E58" t="s">
        <v>1877</v>
      </c>
      <c r="F58" t="s">
        <v>1583</v>
      </c>
      <c r="G58" s="9" t="str">
        <f>+IF(PMG_D__Remuneracion[[#This Row],[Precio Valorizado]]="Nudo",VLOOKUP(PMG_D__Remuneracion[[#This Row],[Barra]]&amp;"_"&amp;PMG_D__Remuneracion[[#This Row],[Tensión]],Tabla3[aux],1,0),"-")</f>
        <v>ILLAPEL_23</v>
      </c>
      <c r="H5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9" spans="1:8">
      <c r="A59" t="s">
        <v>1878</v>
      </c>
      <c r="B59" t="s">
        <v>1879</v>
      </c>
      <c r="C59" t="s">
        <v>632</v>
      </c>
      <c r="D59" t="s">
        <v>1755</v>
      </c>
      <c r="E59" t="s">
        <v>1880</v>
      </c>
      <c r="F59" t="s">
        <v>1583</v>
      </c>
      <c r="G59" s="9" t="str">
        <f>+IF(PMG_D__Remuneracion[[#This Row],[Precio Valorizado]]="Nudo",VLOOKUP(PMG_D__Remuneracion[[#This Row],[Barra]]&amp;"_"&amp;PMG_D__Remuneracion[[#This Row],[Tensión]],Tabla3[aux],1,0),"-")</f>
        <v>LAGUNAS_23</v>
      </c>
      <c r="H5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0" spans="1:8">
      <c r="A60" t="s">
        <v>6324</v>
      </c>
      <c r="B60" t="s">
        <v>6325</v>
      </c>
      <c r="C60" t="s">
        <v>380</v>
      </c>
      <c r="D60" t="s">
        <v>1756</v>
      </c>
      <c r="E60" t="s">
        <v>6326</v>
      </c>
      <c r="F60" t="s">
        <v>1583</v>
      </c>
      <c r="G60" s="9" t="str">
        <f>+IF(PMG_D__Remuneracion[[#This Row],[Precio Valorizado]]="Nudo",VLOOKUP(PMG_D__Remuneracion[[#This Row],[Barra]]&amp;"_"&amp;PMG_D__Remuneracion[[#This Row],[Tensión]],Tabla3[aux],1,0),"-")</f>
        <v>CURICO2_13</v>
      </c>
      <c r="H6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1" spans="1:8">
      <c r="A61" t="s">
        <v>1881</v>
      </c>
      <c r="B61" t="s">
        <v>1882</v>
      </c>
      <c r="C61" t="s">
        <v>1460</v>
      </c>
      <c r="D61" t="s">
        <v>1756</v>
      </c>
      <c r="E61" t="s">
        <v>1883</v>
      </c>
      <c r="F61" t="s">
        <v>1583</v>
      </c>
      <c r="G61" s="9" t="str">
        <f>+IF(PMG_D__Remuneracion[[#This Row],[Precio Valorizado]]="Nudo",VLOOKUP(PMG_D__Remuneracion[[#This Row],[Barra]]&amp;"_"&amp;PMG_D__Remuneracion[[#This Row],[Tensión]],Tabla3[aux],1,0),"-")</f>
        <v>TENO_13</v>
      </c>
      <c r="H6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2" spans="1:8">
      <c r="A62" t="s">
        <v>1884</v>
      </c>
      <c r="B62" t="s">
        <v>1885</v>
      </c>
      <c r="C62" t="s">
        <v>258</v>
      </c>
      <c r="D62" t="s">
        <v>1756</v>
      </c>
      <c r="E62" t="s">
        <v>1801</v>
      </c>
      <c r="F62" t="s">
        <v>1583</v>
      </c>
      <c r="G62" s="9" t="str">
        <f>+IF(PMG_D__Remuneracion[[#This Row],[Precio Valorizado]]="Nudo",VLOOKUP(PMG_D__Remuneracion[[#This Row],[Barra]]&amp;"_"&amp;PMG_D__Remuneracion[[#This Row],[Tensión]],Tabla3[aux],1,0),"-")</f>
        <v>CHILLAN_13</v>
      </c>
      <c r="H6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3" spans="1:8">
      <c r="A63" t="s">
        <v>6552</v>
      </c>
      <c r="B63" t="s">
        <v>6553</v>
      </c>
      <c r="C63" t="s">
        <v>132</v>
      </c>
      <c r="D63" t="s">
        <v>1756</v>
      </c>
      <c r="E63" t="s">
        <v>6554</v>
      </c>
      <c r="F63" t="s">
        <v>1758</v>
      </c>
      <c r="G63" s="9" t="str">
        <f>+IF(PMG_D__Remuneracion[[#This Row],[Precio Valorizado]]="Nudo",VLOOKUP(PMG_D__Remuneracion[[#This Row],[Barra]]&amp;"_"&amp;PMG_D__Remuneracion[[#This Row],[Tensión]],Tabla3[aux],1,0),"-")</f>
        <v>-</v>
      </c>
      <c r="H63" s="9" t="str">
        <f>+IF(PMG_D__Remuneracion[[#This Row],[Precio Valorizado]]="Estabilizado",VLOOKUP(PMG_D__Remuneracion[[#This Row],[Barra]]&amp;"_"&amp;PMG_D__Remuneracion[[#This Row],[Tensión]],'FACTORES DE REFERENCIACION'!N:N,1,0),"-")</f>
        <v>BUIN_13</v>
      </c>
    </row>
    <row r="64" spans="1:8">
      <c r="A64" t="s">
        <v>1886</v>
      </c>
      <c r="B64" t="s">
        <v>1887</v>
      </c>
      <c r="C64" t="s">
        <v>1019</v>
      </c>
      <c r="D64" t="s">
        <v>1756</v>
      </c>
      <c r="E64" t="s">
        <v>1888</v>
      </c>
      <c r="F64" t="s">
        <v>1583</v>
      </c>
      <c r="G64" s="9" t="str">
        <f>+IF(PMG_D__Remuneracion[[#This Row],[Precio Valorizado]]="Nudo",VLOOKUP(PMG_D__Remuneracion[[#This Row],[Barra]]&amp;"_"&amp;PMG_D__Remuneracion[[#This Row],[Tensión]],Tabla3[aux],1,0),"-")</f>
        <v>PARRAL_13</v>
      </c>
      <c r="H6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5" spans="1:8">
      <c r="A65" t="s">
        <v>1889</v>
      </c>
      <c r="B65" t="s">
        <v>1890</v>
      </c>
      <c r="C65" t="s">
        <v>504</v>
      </c>
      <c r="D65" t="s">
        <v>1754</v>
      </c>
      <c r="E65" t="s">
        <v>2065</v>
      </c>
      <c r="F65" t="s">
        <v>1583</v>
      </c>
      <c r="G65" s="9" t="str">
        <f>+IF(PMG_D__Remuneracion[[#This Row],[Precio Valorizado]]="Nudo",VLOOKUP(PMG_D__Remuneracion[[#This Row],[Barra]]&amp;"_"&amp;PMG_D__Remuneracion[[#This Row],[Tensión]],Tabla3[aux],1,0),"-")</f>
        <v>GRANEROS_15</v>
      </c>
      <c r="H6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6" spans="1:8">
      <c r="A66" t="s">
        <v>1891</v>
      </c>
      <c r="B66" t="s">
        <v>1892</v>
      </c>
      <c r="C66" t="s">
        <v>258</v>
      </c>
      <c r="D66" t="s">
        <v>1756</v>
      </c>
      <c r="E66" t="s">
        <v>1893</v>
      </c>
      <c r="F66" t="s">
        <v>1583</v>
      </c>
      <c r="G66" s="9" t="str">
        <f>+IF(PMG_D__Remuneracion[[#This Row],[Precio Valorizado]]="Nudo",VLOOKUP(PMG_D__Remuneracion[[#This Row],[Barra]]&amp;"_"&amp;PMG_D__Remuneracion[[#This Row],[Tensión]],Tabla3[aux],1,0),"-")</f>
        <v>CHILLAN_13</v>
      </c>
      <c r="H6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7" spans="1:8">
      <c r="A67" t="s">
        <v>1894</v>
      </c>
      <c r="B67" t="s">
        <v>1895</v>
      </c>
      <c r="C67" t="s">
        <v>834</v>
      </c>
      <c r="D67" t="s">
        <v>1756</v>
      </c>
      <c r="E67" t="s">
        <v>3264</v>
      </c>
      <c r="F67" t="s">
        <v>1583</v>
      </c>
      <c r="G67" s="9" t="str">
        <f>+IF(PMG_D__Remuneracion[[#This Row],[Precio Valorizado]]="Nudo",VLOOKUP(PMG_D__Remuneracion[[#This Row],[Barra]]&amp;"_"&amp;PMG_D__Remuneracion[[#This Row],[Tensión]],Tabla3[aux],1,0),"-")</f>
        <v>MAYACA_13</v>
      </c>
      <c r="H6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8" spans="1:8">
      <c r="A68" t="s">
        <v>6449</v>
      </c>
      <c r="B68" t="s">
        <v>6450</v>
      </c>
      <c r="C68" t="s">
        <v>215</v>
      </c>
      <c r="D68" t="s">
        <v>1756</v>
      </c>
      <c r="E68" t="s">
        <v>6317</v>
      </c>
      <c r="F68" t="s">
        <v>1758</v>
      </c>
      <c r="G68" s="9" t="str">
        <f>+IF(PMG_D__Remuneracion[[#This Row],[Precio Valorizado]]="Nudo",VLOOKUP(PMG_D__Remuneracion[[#This Row],[Barra]]&amp;"_"&amp;PMG_D__Remuneracion[[#This Row],[Tensión]],Tabla3[aux],1,0),"-")</f>
        <v>-</v>
      </c>
      <c r="H68" s="9" t="str">
        <f>+IF(PMG_D__Remuneracion[[#This Row],[Precio Valorizado]]="Estabilizado",VLOOKUP(PMG_D__Remuneracion[[#This Row],[Barra]]&amp;"_"&amp;PMG_D__Remuneracion[[#This Row],[Tensión]],'FACTORES DE REFERENCIACION'!N:N,1,0),"-")</f>
        <v>CAUQUENES_13</v>
      </c>
    </row>
    <row r="69" spans="1:8">
      <c r="A69" t="s">
        <v>6785</v>
      </c>
      <c r="B69" t="s">
        <v>6786</v>
      </c>
      <c r="C69" t="s">
        <v>4154</v>
      </c>
      <c r="D69" t="s">
        <v>1756</v>
      </c>
      <c r="E69" t="s">
        <v>6787</v>
      </c>
      <c r="F69" t="s">
        <v>1758</v>
      </c>
      <c r="G69" s="9" t="str">
        <f>+IF(PMG_D__Remuneracion[[#This Row],[Precio Valorizado]]="Nudo",VLOOKUP(PMG_D__Remuneracion[[#This Row],[Barra]]&amp;"_"&amp;PMG_D__Remuneracion[[#This Row],[Tensión]],Tabla3[aux],1,0),"-")</f>
        <v>-</v>
      </c>
      <c r="H69" s="9" t="str">
        <f>+IF(PMG_D__Remuneracion[[#This Row],[Precio Valorizado]]="Estabilizado",VLOOKUP(PMG_D__Remuneracion[[#This Row],[Barra]]&amp;"_"&amp;PMG_D__Remuneracion[[#This Row],[Tensión]],'FACTORES DE REFERENCIACION'!N:N,1,0),"-")</f>
        <v>PANGUE_13</v>
      </c>
    </row>
    <row r="70" spans="1:8">
      <c r="A70" t="s">
        <v>6412</v>
      </c>
      <c r="B70" t="s">
        <v>6413</v>
      </c>
      <c r="C70" t="s">
        <v>48</v>
      </c>
      <c r="D70" t="s">
        <v>1755</v>
      </c>
      <c r="E70" t="s">
        <v>6414</v>
      </c>
      <c r="F70" t="s">
        <v>1583</v>
      </c>
      <c r="G70" s="9" t="str">
        <f>+IF(PMG_D__Remuneracion[[#This Row],[Precio Valorizado]]="Nudo",VLOOKUP(PMG_D__Remuneracion[[#This Row],[Barra]]&amp;"_"&amp;PMG_D__Remuneracion[[#This Row],[Tensión]],Tabla3[aux],1,0),"-")</f>
        <v>ALHUE_23</v>
      </c>
      <c r="H7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1" spans="1:8">
      <c r="A71" t="s">
        <v>1896</v>
      </c>
      <c r="B71" t="s">
        <v>1897</v>
      </c>
      <c r="C71" t="s">
        <v>1472</v>
      </c>
      <c r="D71" t="s">
        <v>1756</v>
      </c>
      <c r="E71" t="s">
        <v>3099</v>
      </c>
      <c r="F71" t="s">
        <v>1583</v>
      </c>
      <c r="G71" s="9" t="str">
        <f>+IF(PMG_D__Remuneracion[[#This Row],[Precio Valorizado]]="Nudo",VLOOKUP(PMG_D__Remuneracion[[#This Row],[Barra]]&amp;"_"&amp;PMG_D__Remuneracion[[#This Row],[Tensión]],Tabla3[aux],1,0),"-")</f>
        <v>TILOS_BULNES_13</v>
      </c>
      <c r="H7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2" spans="1:8">
      <c r="A72" t="s">
        <v>1898</v>
      </c>
      <c r="B72" t="s">
        <v>1899</v>
      </c>
      <c r="C72" t="s">
        <v>659</v>
      </c>
      <c r="D72" t="s">
        <v>1755</v>
      </c>
      <c r="E72" t="s">
        <v>3227</v>
      </c>
      <c r="F72" t="s">
        <v>1583</v>
      </c>
      <c r="G72" s="9" t="str">
        <f>+IF(PMG_D__Remuneracion[[#This Row],[Precio Valorizado]]="Nudo",VLOOKUP(PMG_D__Remuneracion[[#This Row],[Barra]]&amp;"_"&amp;PMG_D__Remuneracion[[#This Row],[Tensión]],Tabla3[aux],1,0),"-")</f>
        <v>LARQUI_23</v>
      </c>
      <c r="H7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3" spans="1:8">
      <c r="A73" t="s">
        <v>1900</v>
      </c>
      <c r="B73" t="s">
        <v>1901</v>
      </c>
      <c r="C73" t="s">
        <v>903</v>
      </c>
      <c r="D73" t="s">
        <v>1755</v>
      </c>
      <c r="E73" t="s">
        <v>1902</v>
      </c>
      <c r="F73" t="s">
        <v>1758</v>
      </c>
      <c r="G73" s="9" t="str">
        <f>+IF(PMG_D__Remuneracion[[#This Row],[Precio Valorizado]]="Nudo",VLOOKUP(PMG_D__Remuneracion[[#This Row],[Barra]]&amp;"_"&amp;PMG_D__Remuneracion[[#This Row],[Tensión]],Tabla3[aux],1,0),"-")</f>
        <v>-</v>
      </c>
      <c r="H73" s="9" t="str">
        <f>+IF(PMG_D__Remuneracion[[#This Row],[Precio Valorizado]]="Estabilizado",VLOOKUP(PMG_D__Remuneracion[[#This Row],[Barra]]&amp;"_"&amp;PMG_D__Remuneracion[[#This Row],[Tensión]],'FACTORES DE REFERENCIACION'!N:N,1,0),"-")</f>
        <v>NEGRETE_23</v>
      </c>
    </row>
    <row r="74" spans="1:8">
      <c r="A74" t="s">
        <v>1903</v>
      </c>
      <c r="B74" t="s">
        <v>1904</v>
      </c>
      <c r="C74" t="s">
        <v>158</v>
      </c>
      <c r="D74" t="s">
        <v>1755</v>
      </c>
      <c r="E74" t="s">
        <v>1814</v>
      </c>
      <c r="F74" t="s">
        <v>1583</v>
      </c>
      <c r="G74" s="9" t="str">
        <f>+IF(PMG_D__Remuneracion[[#This Row],[Precio Valorizado]]="Nudo",VLOOKUP(PMG_D__Remuneracion[[#This Row],[Barra]]&amp;"_"&amp;PMG_D__Remuneracion[[#This Row],[Tensión]],Tabla3[aux],1,0),"-")</f>
        <v>CABILDO_23</v>
      </c>
      <c r="H7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5" spans="1:8">
      <c r="A75" t="s">
        <v>1905</v>
      </c>
      <c r="B75" t="s">
        <v>1906</v>
      </c>
      <c r="C75" t="s">
        <v>158</v>
      </c>
      <c r="D75" t="s">
        <v>1755</v>
      </c>
      <c r="E75" t="s">
        <v>1840</v>
      </c>
      <c r="F75" t="s">
        <v>1583</v>
      </c>
      <c r="G75" s="9" t="str">
        <f>+IF(PMG_D__Remuneracion[[#This Row],[Precio Valorizado]]="Nudo",VLOOKUP(PMG_D__Remuneracion[[#This Row],[Barra]]&amp;"_"&amp;PMG_D__Remuneracion[[#This Row],[Tensión]],Tabla3[aux],1,0),"-")</f>
        <v>CABILDO_23</v>
      </c>
      <c r="H7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6" spans="1:8">
      <c r="A76" t="s">
        <v>1907</v>
      </c>
      <c r="B76" t="s">
        <v>1908</v>
      </c>
      <c r="C76" t="s">
        <v>161</v>
      </c>
      <c r="D76" t="s">
        <v>1756</v>
      </c>
      <c r="E76" t="s">
        <v>1909</v>
      </c>
      <c r="F76" t="s">
        <v>1583</v>
      </c>
      <c r="G76" s="9" t="str">
        <f>+IF(PMG_D__Remuneracion[[#This Row],[Precio Valorizado]]="Nudo",VLOOKUP(PMG_D__Remuneracion[[#This Row],[Barra]]&amp;"_"&amp;PMG_D__Remuneracion[[#This Row],[Tensión]],Tabla3[aux],1,0),"-")</f>
        <v>CABRERO_13</v>
      </c>
      <c r="H7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7" spans="1:8">
      <c r="A77" t="s">
        <v>1910</v>
      </c>
      <c r="B77" t="s">
        <v>1911</v>
      </c>
      <c r="C77" t="s">
        <v>315</v>
      </c>
      <c r="D77" t="s">
        <v>1754</v>
      </c>
      <c r="E77" t="s">
        <v>1912</v>
      </c>
      <c r="F77" t="s">
        <v>1583</v>
      </c>
      <c r="G77" s="9" t="str">
        <f>+IF(PMG_D__Remuneracion[[#This Row],[Precio Valorizado]]="Nudo",VLOOKUP(PMG_D__Remuneracion[[#This Row],[Barra]]&amp;"_"&amp;PMG_D__Remuneracion[[#This Row],[Tensión]],Tabla3[aux],1,0),"-")</f>
        <v>COLCHAGUA_15</v>
      </c>
      <c r="H7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8" spans="1:8">
      <c r="A78" t="s">
        <v>1913</v>
      </c>
      <c r="B78" t="s">
        <v>1914</v>
      </c>
      <c r="C78" t="s">
        <v>624</v>
      </c>
      <c r="D78" t="s">
        <v>1756</v>
      </c>
      <c r="E78" t="s">
        <v>1915</v>
      </c>
      <c r="F78" t="s">
        <v>1583</v>
      </c>
      <c r="G78" s="9" t="str">
        <f>+IF(PMG_D__Remuneracion[[#This Row],[Precio Valorizado]]="Nudo",VLOOKUP(PMG_D__Remuneracion[[#This Row],[Barra]]&amp;"_"&amp;PMG_D__Remuneracion[[#This Row],[Tensión]],Tabla3[aux],1,0),"-")</f>
        <v>LA_PINTANA2_13</v>
      </c>
      <c r="H7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9" spans="1:8">
      <c r="A79" t="s">
        <v>1916</v>
      </c>
      <c r="B79" t="s">
        <v>1917</v>
      </c>
      <c r="C79" t="s">
        <v>201</v>
      </c>
      <c r="D79" t="s">
        <v>1756</v>
      </c>
      <c r="E79" t="s">
        <v>1918</v>
      </c>
      <c r="F79" t="s">
        <v>1583</v>
      </c>
      <c r="G79" s="9" t="str">
        <f>+IF(PMG_D__Remuneracion[[#This Row],[Precio Valorizado]]="Nudo",VLOOKUP(PMG_D__Remuneracion[[#This Row],[Barra]]&amp;"_"&amp;PMG_D__Remuneracion[[#This Row],[Tensión]],Tabla3[aux],1,0),"-")</f>
        <v>CASABLANCA_13</v>
      </c>
      <c r="H7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80" spans="1:8">
      <c r="A80" t="s">
        <v>1919</v>
      </c>
      <c r="B80" t="s">
        <v>1920</v>
      </c>
      <c r="C80" t="s">
        <v>174</v>
      </c>
      <c r="D80" t="s">
        <v>1756</v>
      </c>
      <c r="E80" t="s">
        <v>1921</v>
      </c>
      <c r="F80" t="s">
        <v>1583</v>
      </c>
      <c r="G80" s="9" t="str">
        <f>+IF(PMG_D__Remuneracion[[#This Row],[Precio Valorizado]]="Nudo",VLOOKUP(PMG_D__Remuneracion[[#This Row],[Barra]]&amp;"_"&amp;PMG_D__Remuneracion[[#This Row],[Tensión]],Tabla3[aux],1,0),"-")</f>
        <v>CALDERA_13</v>
      </c>
      <c r="H8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81" spans="1:8">
      <c r="A81" t="s">
        <v>1922</v>
      </c>
      <c r="B81" t="s">
        <v>1923</v>
      </c>
      <c r="C81" t="s">
        <v>1273</v>
      </c>
      <c r="D81" t="s">
        <v>1756</v>
      </c>
      <c r="E81" t="s">
        <v>1924</v>
      </c>
      <c r="F81" t="s">
        <v>1583</v>
      </c>
      <c r="G81" s="9" t="str">
        <f>+IF(PMG_D__Remuneracion[[#This Row],[Precio Valorizado]]="Nudo",VLOOKUP(PMG_D__Remuneracion[[#This Row],[Barra]]&amp;"_"&amp;PMG_D__Remuneracion[[#This Row],[Tensión]],Tabla3[aux],1,0),"-")</f>
        <v>S.RAFAEL_13</v>
      </c>
      <c r="H8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82" spans="1:8">
      <c r="A82" t="s">
        <v>1925</v>
      </c>
      <c r="B82" t="s">
        <v>1926</v>
      </c>
      <c r="C82" t="s">
        <v>504</v>
      </c>
      <c r="D82" t="s">
        <v>1754</v>
      </c>
      <c r="E82" t="s">
        <v>1927</v>
      </c>
      <c r="F82" t="s">
        <v>1583</v>
      </c>
      <c r="G82" s="9" t="str">
        <f>+IF(PMG_D__Remuneracion[[#This Row],[Precio Valorizado]]="Nudo",VLOOKUP(PMG_D__Remuneracion[[#This Row],[Barra]]&amp;"_"&amp;PMG_D__Remuneracion[[#This Row],[Tensión]],Tabla3[aux],1,0),"-")</f>
        <v>GRANEROS_15</v>
      </c>
      <c r="H8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83" spans="1:8">
      <c r="A83" t="s">
        <v>1928</v>
      </c>
      <c r="B83" t="s">
        <v>1929</v>
      </c>
      <c r="C83" t="s">
        <v>532</v>
      </c>
      <c r="D83" t="s">
        <v>1755</v>
      </c>
      <c r="E83" t="s">
        <v>1930</v>
      </c>
      <c r="F83" t="s">
        <v>1583</v>
      </c>
      <c r="G83" s="9" t="str">
        <f>+IF(PMG_D__Remuneracion[[#This Row],[Precio Valorizado]]="Nudo",VLOOKUP(PMG_D__Remuneracion[[#This Row],[Barra]]&amp;"_"&amp;PMG_D__Remuneracion[[#This Row],[Tensión]],Tabla3[aux],1,0),"-")</f>
        <v>ILLAPEL_23</v>
      </c>
      <c r="H8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84" spans="1:8">
      <c r="A84" t="s">
        <v>1931</v>
      </c>
      <c r="B84" t="s">
        <v>1932</v>
      </c>
      <c r="C84" t="s">
        <v>365</v>
      </c>
      <c r="D84" t="s">
        <v>1755</v>
      </c>
      <c r="E84" t="s">
        <v>1933</v>
      </c>
      <c r="F84" t="s">
        <v>1583</v>
      </c>
      <c r="G84" s="9" t="str">
        <f>+IF(PMG_D__Remuneracion[[#This Row],[Precio Valorizado]]="Nudo",VLOOKUP(PMG_D__Remuneracion[[#This Row],[Barra]]&amp;"_"&amp;PMG_D__Remuneracion[[#This Row],[Tensión]],Tabla3[aux],1,0),"-")</f>
        <v>CUNCO_23</v>
      </c>
      <c r="H8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85" spans="1:8">
      <c r="A85" t="s">
        <v>1934</v>
      </c>
      <c r="B85" t="s">
        <v>1935</v>
      </c>
      <c r="C85" t="s">
        <v>532</v>
      </c>
      <c r="D85" t="s">
        <v>1755</v>
      </c>
      <c r="E85" t="s">
        <v>6404</v>
      </c>
      <c r="F85" t="s">
        <v>1583</v>
      </c>
      <c r="G85" s="9" t="str">
        <f>+IF(PMG_D__Remuneracion[[#This Row],[Precio Valorizado]]="Nudo",VLOOKUP(PMG_D__Remuneracion[[#This Row],[Barra]]&amp;"_"&amp;PMG_D__Remuneracion[[#This Row],[Tensión]],Tabla3[aux],1,0),"-")</f>
        <v>ILLAPEL_23</v>
      </c>
      <c r="H8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86" spans="1:8">
      <c r="A86" t="s">
        <v>1936</v>
      </c>
      <c r="B86" t="s">
        <v>1937</v>
      </c>
      <c r="C86" t="s">
        <v>609</v>
      </c>
      <c r="D86" t="s">
        <v>1756</v>
      </c>
      <c r="E86" t="s">
        <v>1814</v>
      </c>
      <c r="F86" t="s">
        <v>1583</v>
      </c>
      <c r="G86" s="9" t="str">
        <f>+IF(PMG_D__Remuneracion[[#This Row],[Precio Valorizado]]="Nudo",VLOOKUP(PMG_D__Remuneracion[[#This Row],[Barra]]&amp;"_"&amp;PMG_D__Remuneracion[[#This Row],[Tensión]],Tabla3[aux],1,0),"-")</f>
        <v>LA_CALERA_13</v>
      </c>
      <c r="H8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87" spans="1:8">
      <c r="A87" t="s">
        <v>3210</v>
      </c>
      <c r="B87" t="s">
        <v>3211</v>
      </c>
      <c r="C87" t="s">
        <v>563</v>
      </c>
      <c r="D87" t="s">
        <v>1756</v>
      </c>
      <c r="E87" t="s">
        <v>2667</v>
      </c>
      <c r="F87" t="s">
        <v>1583</v>
      </c>
      <c r="G87" s="9" t="str">
        <f>+IF(PMG_D__Remuneracion[[#This Row],[Precio Valorizado]]="Nudo",VLOOKUP(PMG_D__Remuneracion[[#This Row],[Barra]]&amp;"_"&amp;PMG_D__Remuneracion[[#This Row],[Tensión]],Tabla3[aux],1,0),"-")</f>
        <v>L.ANGELES_13</v>
      </c>
      <c r="H8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88" spans="1:8">
      <c r="A88" t="s">
        <v>1938</v>
      </c>
      <c r="B88" t="s">
        <v>1939</v>
      </c>
      <c r="C88" t="s">
        <v>644</v>
      </c>
      <c r="D88" t="s">
        <v>1756</v>
      </c>
      <c r="E88" t="s">
        <v>1883</v>
      </c>
      <c r="F88" t="s">
        <v>1583</v>
      </c>
      <c r="G88" s="9" t="str">
        <f>+IF(PMG_D__Remuneracion[[#This Row],[Precio Valorizado]]="Nudo",VLOOKUP(PMG_D__Remuneracion[[#This Row],[Barra]]&amp;"_"&amp;PMG_D__Remuneracion[[#This Row],[Tensión]],Tabla3[aux],1,0),"-")</f>
        <v>LAMANGA_13</v>
      </c>
      <c r="H8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89" spans="1:8">
      <c r="A89" t="s">
        <v>1940</v>
      </c>
      <c r="B89" t="s">
        <v>1941</v>
      </c>
      <c r="C89" t="s">
        <v>515</v>
      </c>
      <c r="D89" t="s">
        <v>1756</v>
      </c>
      <c r="E89" t="s">
        <v>1942</v>
      </c>
      <c r="F89" t="s">
        <v>1583</v>
      </c>
      <c r="G89" s="9" t="str">
        <f>+IF(PMG_D__Remuneracion[[#This Row],[Precio Valorizado]]="Nudo",VLOOKUP(PMG_D__Remuneracion[[#This Row],[Barra]]&amp;"_"&amp;PMG_D__Remuneracion[[#This Row],[Tensión]],Tabla3[aux],1,0),"-")</f>
        <v>HOSPITAL_13</v>
      </c>
      <c r="H8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90" spans="1:8">
      <c r="A90" t="s">
        <v>1943</v>
      </c>
      <c r="B90" t="s">
        <v>1944</v>
      </c>
      <c r="C90" t="s">
        <v>743</v>
      </c>
      <c r="D90" t="s">
        <v>1754</v>
      </c>
      <c r="E90" t="s">
        <v>1945</v>
      </c>
      <c r="F90" t="s">
        <v>1583</v>
      </c>
      <c r="G90" s="9" t="str">
        <f>+IF(PMG_D__Remuneracion[[#This Row],[Precio Valorizado]]="Nudo",VLOOKUP(PMG_D__Remuneracion[[#This Row],[Barra]]&amp;"_"&amp;PMG_D__Remuneracion[[#This Row],[Tensión]],Tabla3[aux],1,0),"-")</f>
        <v>LORETO_15</v>
      </c>
      <c r="H9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91" spans="1:8">
      <c r="A91" t="s">
        <v>1946</v>
      </c>
      <c r="B91" t="s">
        <v>1947</v>
      </c>
      <c r="C91" t="s">
        <v>1139</v>
      </c>
      <c r="D91" t="s">
        <v>1755</v>
      </c>
      <c r="E91" t="s">
        <v>1785</v>
      </c>
      <c r="F91" t="s">
        <v>1583</v>
      </c>
      <c r="G91" s="9" t="str">
        <f>+IF(PMG_D__Remuneracion[[#This Row],[Precio Valorizado]]="Nudo",VLOOKUP(PMG_D__Remuneracion[[#This Row],[Barra]]&amp;"_"&amp;PMG_D__Remuneracion[[#This Row],[Tensión]],Tabla3[aux],1,0),"-")</f>
        <v>QUEREO_23</v>
      </c>
      <c r="H9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92" spans="1:8">
      <c r="A92" t="s">
        <v>1948</v>
      </c>
      <c r="B92" t="s">
        <v>1949</v>
      </c>
      <c r="C92" t="s">
        <v>1547</v>
      </c>
      <c r="D92" t="s">
        <v>1756</v>
      </c>
      <c r="E92" t="s">
        <v>6317</v>
      </c>
      <c r="F92" t="s">
        <v>1583</v>
      </c>
      <c r="G92" s="9" t="str">
        <f>+IF(PMG_D__Remuneracion[[#This Row],[Precio Valorizado]]="Nudo",VLOOKUP(PMG_D__Remuneracion[[#This Row],[Barra]]&amp;"_"&amp;PMG_D__Remuneracion[[#This Row],[Tensión]],Tabla3[aux],1,0),"-")</f>
        <v>Y.BUENAS_13</v>
      </c>
      <c r="H9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93" spans="1:8">
      <c r="A93" t="s">
        <v>3243</v>
      </c>
      <c r="B93" t="s">
        <v>3265</v>
      </c>
      <c r="C93" t="s">
        <v>228</v>
      </c>
      <c r="D93" t="s">
        <v>1756</v>
      </c>
      <c r="E93" t="s">
        <v>2334</v>
      </c>
      <c r="F93" t="s">
        <v>1583</v>
      </c>
      <c r="G93" s="9" t="str">
        <f>+IF(PMG_D__Remuneracion[[#This Row],[Precio Valorizado]]="Nudo",VLOOKUP(PMG_D__Remuneracion[[#This Row],[Barra]]&amp;"_"&amp;PMG_D__Remuneracion[[#This Row],[Tensión]],Tabla3[aux],1,0),"-")</f>
        <v>CERRILLOS_13</v>
      </c>
      <c r="H9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94" spans="1:8">
      <c r="A94" t="s">
        <v>1950</v>
      </c>
      <c r="B94" t="s">
        <v>1951</v>
      </c>
      <c r="C94" t="s">
        <v>371</v>
      </c>
      <c r="D94" t="s">
        <v>1759</v>
      </c>
      <c r="E94" t="s">
        <v>1801</v>
      </c>
      <c r="F94" t="s">
        <v>1583</v>
      </c>
      <c r="G94" s="9" t="str">
        <f>+IF(PMG_D__Remuneracion[[#This Row],[Precio Valorizado]]="Nudo",VLOOKUP(PMG_D__Remuneracion[[#This Row],[Barra]]&amp;"_"&amp;PMG_D__Remuneracion[[#This Row],[Tensión]],Tabla3[aux],1,0),"-")</f>
        <v>CURACAVI_12</v>
      </c>
      <c r="H9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95" spans="1:8">
      <c r="A95" t="s">
        <v>6489</v>
      </c>
      <c r="B95" t="s">
        <v>6490</v>
      </c>
      <c r="C95" t="s">
        <v>1343</v>
      </c>
      <c r="D95" t="s">
        <v>1756</v>
      </c>
      <c r="E95" t="s">
        <v>6491</v>
      </c>
      <c r="F95" t="s">
        <v>1583</v>
      </c>
      <c r="G95" s="9" t="str">
        <f>+IF(PMG_D__Remuneracion[[#This Row],[Precio Valorizado]]="Nudo",VLOOKUP(PMG_D__Remuneracion[[#This Row],[Barra]]&amp;"_"&amp;PMG_D__Remuneracion[[#This Row],[Tensión]],Tabla3[aux],1,0),"-")</f>
        <v>STA.ELVIRA_13</v>
      </c>
      <c r="H9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96" spans="1:8">
      <c r="A96" t="s">
        <v>1952</v>
      </c>
      <c r="B96" t="s">
        <v>1953</v>
      </c>
      <c r="C96" t="s">
        <v>325</v>
      </c>
      <c r="D96" t="s">
        <v>1756</v>
      </c>
      <c r="E96" t="s">
        <v>1954</v>
      </c>
      <c r="F96" t="s">
        <v>1583</v>
      </c>
      <c r="G96" s="9" t="str">
        <f>+IF(PMG_D__Remuneracion[[#This Row],[Precio Valorizado]]="Nudo",VLOOKUP(PMG_D__Remuneracion[[#This Row],[Barra]]&amp;"_"&amp;PMG_D__Remuneracion[[#This Row],[Tensión]],Tabla3[aux],1,0),"-")</f>
        <v>COMBARBALA_13</v>
      </c>
      <c r="H9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97" spans="1:8">
      <c r="A97" t="s">
        <v>1955</v>
      </c>
      <c r="B97" t="s">
        <v>1956</v>
      </c>
      <c r="C97" t="s">
        <v>207</v>
      </c>
      <c r="D97" t="s">
        <v>1755</v>
      </c>
      <c r="E97" t="s">
        <v>1957</v>
      </c>
      <c r="F97" t="s">
        <v>1583</v>
      </c>
      <c r="G97" s="9" t="str">
        <f>+IF(PMG_D__Remuneracion[[#This Row],[Precio Valorizado]]="Nudo",VLOOKUP(PMG_D__Remuneracion[[#This Row],[Barra]]&amp;"_"&amp;PMG_D__Remuneracion[[#This Row],[Tensión]],Tabla3[aux],1,0),"-")</f>
        <v>CASTILLA_23</v>
      </c>
      <c r="H9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98" spans="1:8">
      <c r="A98" t="s">
        <v>1958</v>
      </c>
      <c r="B98" t="s">
        <v>1959</v>
      </c>
      <c r="C98" t="s">
        <v>1273</v>
      </c>
      <c r="D98" t="s">
        <v>1756</v>
      </c>
      <c r="E98" t="s">
        <v>1960</v>
      </c>
      <c r="F98" t="s">
        <v>1583</v>
      </c>
      <c r="G98" s="9" t="str">
        <f>+IF(PMG_D__Remuneracion[[#This Row],[Precio Valorizado]]="Nudo",VLOOKUP(PMG_D__Remuneracion[[#This Row],[Barra]]&amp;"_"&amp;PMG_D__Remuneracion[[#This Row],[Tensión]],Tabla3[aux],1,0),"-")</f>
        <v>S.RAFAEL_13</v>
      </c>
      <c r="H9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99" spans="1:8">
      <c r="A99" t="s">
        <v>1961</v>
      </c>
      <c r="B99" t="s">
        <v>1962</v>
      </c>
      <c r="C99" t="s">
        <v>1273</v>
      </c>
      <c r="D99" t="s">
        <v>1756</v>
      </c>
      <c r="E99" t="s">
        <v>1963</v>
      </c>
      <c r="F99" t="s">
        <v>1583</v>
      </c>
      <c r="G99" s="9" t="str">
        <f>+IF(PMG_D__Remuneracion[[#This Row],[Precio Valorizado]]="Nudo",VLOOKUP(PMG_D__Remuneracion[[#This Row],[Barra]]&amp;"_"&amp;PMG_D__Remuneracion[[#This Row],[Tensión]],Tabla3[aux],1,0),"-")</f>
        <v>S.RAFAEL_13</v>
      </c>
      <c r="H9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00" spans="1:8">
      <c r="A100" t="s">
        <v>1964</v>
      </c>
      <c r="B100" t="s">
        <v>1965</v>
      </c>
      <c r="C100" t="s">
        <v>204</v>
      </c>
      <c r="D100" t="s">
        <v>1755</v>
      </c>
      <c r="E100" t="s">
        <v>1966</v>
      </c>
      <c r="F100" t="s">
        <v>1583</v>
      </c>
      <c r="G100" s="9" t="str">
        <f>+IF(PMG_D__Remuneracion[[#This Row],[Precio Valorizado]]="Nudo",VLOOKUP(PMG_D__Remuneracion[[#This Row],[Barra]]&amp;"_"&amp;PMG_D__Remuneracion[[#This Row],[Tensión]],Tabla3[aux],1,0),"-")</f>
        <v>CASASVIEJAS_23</v>
      </c>
      <c r="H10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01" spans="1:8">
      <c r="A101" t="s">
        <v>1967</v>
      </c>
      <c r="B101" t="s">
        <v>1968</v>
      </c>
      <c r="C101" t="s">
        <v>212</v>
      </c>
      <c r="D101" t="s">
        <v>1756</v>
      </c>
      <c r="E101" t="s">
        <v>1969</v>
      </c>
      <c r="F101" t="s">
        <v>1583</v>
      </c>
      <c r="G101" s="9" t="str">
        <f>+IF(PMG_D__Remuneracion[[#This Row],[Precio Valorizado]]="Nudo",VLOOKUP(PMG_D__Remuneracion[[#This Row],[Barra]]&amp;"_"&amp;PMG_D__Remuneracion[[#This Row],[Tensión]],Tabla3[aux],1,0),"-")</f>
        <v>CATEMU_13</v>
      </c>
      <c r="H10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02" spans="1:8">
      <c r="A102" t="s">
        <v>3244</v>
      </c>
      <c r="B102" t="s">
        <v>3266</v>
      </c>
      <c r="C102" t="s">
        <v>304</v>
      </c>
      <c r="D102" t="s">
        <v>1756</v>
      </c>
      <c r="E102" t="s">
        <v>3227</v>
      </c>
      <c r="F102" t="s">
        <v>1583</v>
      </c>
      <c r="G102" s="9" t="str">
        <f>+IF(PMG_D__Remuneracion[[#This Row],[Precio Valorizado]]="Nudo",VLOOKUP(PMG_D__Remuneracion[[#This Row],[Barra]]&amp;"_"&amp;PMG_D__Remuneracion[[#This Row],[Tensión]],Tabla3[aux],1,0),"-")</f>
        <v>COCHARCAS_13</v>
      </c>
      <c r="H10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03" spans="1:8">
      <c r="A103" t="s">
        <v>3310</v>
      </c>
      <c r="B103" t="s">
        <v>3311</v>
      </c>
      <c r="C103" t="s">
        <v>168</v>
      </c>
      <c r="D103" t="s">
        <v>1755</v>
      </c>
      <c r="E103" t="s">
        <v>3312</v>
      </c>
      <c r="F103" t="s">
        <v>1583</v>
      </c>
      <c r="G103" s="9" t="str">
        <f>+IF(PMG_D__Remuneracion[[#This Row],[Precio Valorizado]]="Nudo",VLOOKUP(PMG_D__Remuneracion[[#This Row],[Barra]]&amp;"_"&amp;PMG_D__Remuneracion[[#This Row],[Tensión]],Tabla3[aux],1,0),"-")</f>
        <v>CALAMA_23</v>
      </c>
      <c r="H10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04" spans="1:8">
      <c r="A104" t="s">
        <v>1970</v>
      </c>
      <c r="B104" t="s">
        <v>1971</v>
      </c>
      <c r="C104" t="s">
        <v>215</v>
      </c>
      <c r="D104" t="s">
        <v>1756</v>
      </c>
      <c r="E104" t="s">
        <v>1883</v>
      </c>
      <c r="F104" t="s">
        <v>1583</v>
      </c>
      <c r="G104" s="9" t="str">
        <f>+IF(PMG_D__Remuneracion[[#This Row],[Precio Valorizado]]="Nudo",VLOOKUP(PMG_D__Remuneracion[[#This Row],[Barra]]&amp;"_"&amp;PMG_D__Remuneracion[[#This Row],[Tensión]],Tabla3[aux],1,0),"-")</f>
        <v>CAUQUENES_13</v>
      </c>
      <c r="H10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05" spans="1:8">
      <c r="A105" t="s">
        <v>1972</v>
      </c>
      <c r="B105" t="s">
        <v>1973</v>
      </c>
      <c r="C105" t="s">
        <v>666</v>
      </c>
      <c r="D105" t="s">
        <v>1756</v>
      </c>
      <c r="E105" t="s">
        <v>1974</v>
      </c>
      <c r="F105" t="s">
        <v>1583</v>
      </c>
      <c r="G105" s="9" t="str">
        <f>+IF(PMG_D__Remuneracion[[#This Row],[Precio Valorizado]]="Nudo",VLOOKUP(PMG_D__Remuneracion[[#This Row],[Barra]]&amp;"_"&amp;PMG_D__Remuneracion[[#This Row],[Tensión]],Tabla3[aux],1,0),"-")</f>
        <v>LASARANAS_13</v>
      </c>
      <c r="H10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06" spans="1:8">
      <c r="A106" t="s">
        <v>1975</v>
      </c>
      <c r="B106" t="s">
        <v>1976</v>
      </c>
      <c r="C106" t="s">
        <v>1343</v>
      </c>
      <c r="D106" t="s">
        <v>1756</v>
      </c>
      <c r="E106" t="s">
        <v>1977</v>
      </c>
      <c r="F106" t="s">
        <v>1583</v>
      </c>
      <c r="G106" s="9" t="str">
        <f>+IF(PMG_D__Remuneracion[[#This Row],[Precio Valorizado]]="Nudo",VLOOKUP(PMG_D__Remuneracion[[#This Row],[Barra]]&amp;"_"&amp;PMG_D__Remuneracion[[#This Row],[Tensión]],Tabla3[aux],1,0),"-")</f>
        <v>STA.ELVIRA_13</v>
      </c>
      <c r="H10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07" spans="1:8">
      <c r="A107" t="s">
        <v>6467</v>
      </c>
      <c r="B107" t="s">
        <v>6468</v>
      </c>
      <c r="C107" t="s">
        <v>1235</v>
      </c>
      <c r="D107" t="s">
        <v>1756</v>
      </c>
      <c r="E107" t="s">
        <v>6469</v>
      </c>
      <c r="F107" t="s">
        <v>1583</v>
      </c>
      <c r="G107" s="9" t="str">
        <f>+IF(PMG_D__Remuneracion[[#This Row],[Precio Valorizado]]="Nudo",VLOOKUP(PMG_D__Remuneracion[[#This Row],[Barra]]&amp;"_"&amp;PMG_D__Remuneracion[[#This Row],[Tensión]],Tabla3[aux],1,0),"-")</f>
        <v>S.ANTONIO_13</v>
      </c>
      <c r="H10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08" spans="1:8">
      <c r="A108" t="s">
        <v>6602</v>
      </c>
      <c r="B108" t="s">
        <v>6603</v>
      </c>
      <c r="C108" t="s">
        <v>1128</v>
      </c>
      <c r="D108" t="s">
        <v>1756</v>
      </c>
      <c r="E108" t="s">
        <v>6317</v>
      </c>
      <c r="F108" t="s">
        <v>1758</v>
      </c>
      <c r="G108" s="9" t="str">
        <f>+IF(PMG_D__Remuneracion[[#This Row],[Precio Valorizado]]="Nudo",VLOOKUP(PMG_D__Remuneracion[[#This Row],[Barra]]&amp;"_"&amp;PMG_D__Remuneracion[[#This Row],[Tensión]],Tabla3[aux],1,0),"-")</f>
        <v>-</v>
      </c>
      <c r="H108" s="9" t="str">
        <f>+IF(PMG_D__Remuneracion[[#This Row],[Precio Valorizado]]="Estabilizado",VLOOKUP(PMG_D__Remuneracion[[#This Row],[Barra]]&amp;"_"&amp;PMG_D__Remuneracion[[#This Row],[Tensión]],'FACTORES DE REFERENCIACION'!N:N,1,0),"-")</f>
        <v>QTILCOCO_13</v>
      </c>
    </row>
    <row r="109" spans="1:8">
      <c r="A109" t="s">
        <v>1978</v>
      </c>
      <c r="B109" t="s">
        <v>1979</v>
      </c>
      <c r="C109" t="s">
        <v>1273</v>
      </c>
      <c r="D109" t="s">
        <v>1756</v>
      </c>
      <c r="E109" t="s">
        <v>2065</v>
      </c>
      <c r="F109" t="s">
        <v>1583</v>
      </c>
      <c r="G109" s="9" t="str">
        <f>+IF(PMG_D__Remuneracion[[#This Row],[Precio Valorizado]]="Nudo",VLOOKUP(PMG_D__Remuneracion[[#This Row],[Barra]]&amp;"_"&amp;PMG_D__Remuneracion[[#This Row],[Tensión]],Tabla3[aux],1,0),"-")</f>
        <v>S.RAFAEL_13</v>
      </c>
      <c r="H10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10" spans="1:8">
      <c r="A110" t="s">
        <v>1980</v>
      </c>
      <c r="B110" t="s">
        <v>1981</v>
      </c>
      <c r="C110" t="s">
        <v>563</v>
      </c>
      <c r="D110" t="s">
        <v>1756</v>
      </c>
      <c r="E110" t="s">
        <v>1982</v>
      </c>
      <c r="F110" t="s">
        <v>1583</v>
      </c>
      <c r="G110" s="9" t="str">
        <f>+IF(PMG_D__Remuneracion[[#This Row],[Precio Valorizado]]="Nudo",VLOOKUP(PMG_D__Remuneracion[[#This Row],[Barra]]&amp;"_"&amp;PMG_D__Remuneracion[[#This Row],[Tensión]],Tabla3[aux],1,0),"-")</f>
        <v>L.ANGELES_13</v>
      </c>
      <c r="H11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11" spans="1:8">
      <c r="A111" t="s">
        <v>1983</v>
      </c>
      <c r="B111" t="s">
        <v>1984</v>
      </c>
      <c r="C111" t="s">
        <v>1290</v>
      </c>
      <c r="D111" t="s">
        <v>1755</v>
      </c>
      <c r="E111" t="s">
        <v>6404</v>
      </c>
      <c r="F111" t="s">
        <v>1583</v>
      </c>
      <c r="G111" s="9" t="str">
        <f>+IF(PMG_D__Remuneracion[[#This Row],[Precio Valorizado]]="Nudo",VLOOKUP(PMG_D__Remuneracion[[#This Row],[Barra]]&amp;"_"&amp;PMG_D__Remuneracion[[#This Row],[Tensión]],Tabla3[aux],1,0),"-")</f>
        <v>SALAMANCA_23</v>
      </c>
      <c r="H11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12" spans="1:8">
      <c r="A112" t="s">
        <v>1985</v>
      </c>
      <c r="B112" t="s">
        <v>1986</v>
      </c>
      <c r="C112" t="s">
        <v>515</v>
      </c>
      <c r="D112" t="s">
        <v>1756</v>
      </c>
      <c r="E112" t="s">
        <v>3099</v>
      </c>
      <c r="F112" t="s">
        <v>1583</v>
      </c>
      <c r="G112" s="9" t="str">
        <f>+IF(PMG_D__Remuneracion[[#This Row],[Precio Valorizado]]="Nudo",VLOOKUP(PMG_D__Remuneracion[[#This Row],[Barra]]&amp;"_"&amp;PMG_D__Remuneracion[[#This Row],[Tensión]],Tabla3[aux],1,0),"-")</f>
        <v>HOSPITAL_13</v>
      </c>
      <c r="H11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13" spans="1:8">
      <c r="A113" t="s">
        <v>1987</v>
      </c>
      <c r="B113" t="s">
        <v>1988</v>
      </c>
      <c r="C113" t="s">
        <v>168</v>
      </c>
      <c r="D113" t="s">
        <v>1755</v>
      </c>
      <c r="E113" t="s">
        <v>3227</v>
      </c>
      <c r="F113" t="s">
        <v>1583</v>
      </c>
      <c r="G113" s="9" t="str">
        <f>+IF(PMG_D__Remuneracion[[#This Row],[Precio Valorizado]]="Nudo",VLOOKUP(PMG_D__Remuneracion[[#This Row],[Barra]]&amp;"_"&amp;PMG_D__Remuneracion[[#This Row],[Tensión]],Tabla3[aux],1,0),"-")</f>
        <v>CALAMA_23</v>
      </c>
      <c r="H11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14" spans="1:8">
      <c r="A114" t="s">
        <v>1989</v>
      </c>
      <c r="B114" t="s">
        <v>1990</v>
      </c>
      <c r="C114" t="s">
        <v>1507</v>
      </c>
      <c r="D114" t="s">
        <v>1754</v>
      </c>
      <c r="E114" t="s">
        <v>3206</v>
      </c>
      <c r="F114" t="s">
        <v>1583</v>
      </c>
      <c r="G114" s="9" t="str">
        <f>+IF(PMG_D__Remuneracion[[#This Row],[Precio Valorizado]]="Nudo",VLOOKUP(PMG_D__Remuneracion[[#This Row],[Barra]]&amp;"_"&amp;PMG_D__Remuneracion[[#This Row],[Tensión]],Tabla3[aux],1,0),"-")</f>
        <v>TUNICHE_15</v>
      </c>
      <c r="H11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15" spans="1:8">
      <c r="A115" t="s">
        <v>1991</v>
      </c>
      <c r="B115" t="s">
        <v>1992</v>
      </c>
      <c r="C115" t="s">
        <v>929</v>
      </c>
      <c r="D115" t="s">
        <v>1755</v>
      </c>
      <c r="E115" t="s">
        <v>1993</v>
      </c>
      <c r="F115" t="s">
        <v>1583</v>
      </c>
      <c r="G115" s="9" t="str">
        <f>+IF(PMG_D__Remuneracion[[#This Row],[Precio Valorizado]]="Nudo",VLOOKUP(PMG_D__Remuneracion[[#This Row],[Barra]]&amp;"_"&amp;PMG_D__Remuneracion[[#This Row],[Tensión]],Tabla3[aux],1,0),"-")</f>
        <v>OVALLE_23</v>
      </c>
      <c r="H11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16" spans="1:8">
      <c r="A116" t="s">
        <v>1994</v>
      </c>
      <c r="B116" t="s">
        <v>1995</v>
      </c>
      <c r="C116" t="s">
        <v>108</v>
      </c>
      <c r="D116" t="s">
        <v>1756</v>
      </c>
      <c r="E116" t="s">
        <v>1996</v>
      </c>
      <c r="F116" t="s">
        <v>1583</v>
      </c>
      <c r="G116" s="9" t="str">
        <f>+IF(PMG_D__Remuneracion[[#This Row],[Precio Valorizado]]="Nudo",VLOOKUP(PMG_D__Remuneracion[[#This Row],[Barra]]&amp;"_"&amp;PMG_D__Remuneracion[[#This Row],[Tensión]],Tabla3[aux],1,0),"-")</f>
        <v>BATUCO_13</v>
      </c>
      <c r="H11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17" spans="1:8">
      <c r="A117" t="s">
        <v>1997</v>
      </c>
      <c r="B117" t="s">
        <v>1998</v>
      </c>
      <c r="C117" t="s">
        <v>380</v>
      </c>
      <c r="D117" t="s">
        <v>1756</v>
      </c>
      <c r="E117" t="s">
        <v>1999</v>
      </c>
      <c r="F117" t="s">
        <v>1583</v>
      </c>
      <c r="G117" s="9" t="str">
        <f>+IF(PMG_D__Remuneracion[[#This Row],[Precio Valorizado]]="Nudo",VLOOKUP(PMG_D__Remuneracion[[#This Row],[Barra]]&amp;"_"&amp;PMG_D__Remuneracion[[#This Row],[Tensión]],Tabla3[aux],1,0),"-")</f>
        <v>CURICO2_13</v>
      </c>
      <c r="H11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18" spans="1:8">
      <c r="A118" t="s">
        <v>2000</v>
      </c>
      <c r="B118" t="s">
        <v>2001</v>
      </c>
      <c r="C118" t="s">
        <v>108</v>
      </c>
      <c r="D118" t="s">
        <v>1756</v>
      </c>
      <c r="E118" t="s">
        <v>2002</v>
      </c>
      <c r="F118" t="s">
        <v>1583</v>
      </c>
      <c r="G118" s="9" t="str">
        <f>+IF(PMG_D__Remuneracion[[#This Row],[Precio Valorizado]]="Nudo",VLOOKUP(PMG_D__Remuneracion[[#This Row],[Barra]]&amp;"_"&amp;PMG_D__Remuneracion[[#This Row],[Tensión]],Tabla3[aux],1,0),"-")</f>
        <v>BATUCO_13</v>
      </c>
      <c r="H11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19" spans="1:8">
      <c r="A119" t="s">
        <v>2003</v>
      </c>
      <c r="B119" t="s">
        <v>2004</v>
      </c>
      <c r="C119" t="s">
        <v>1109</v>
      </c>
      <c r="D119" t="s">
        <v>1756</v>
      </c>
      <c r="E119" t="s">
        <v>2005</v>
      </c>
      <c r="F119" t="s">
        <v>1583</v>
      </c>
      <c r="G119" s="9" t="str">
        <f>+IF(PMG_D__Remuneracion[[#This Row],[Precio Valorizado]]="Nudo",VLOOKUP(PMG_D__Remuneracion[[#This Row],[Barra]]&amp;"_"&amp;PMG_D__Remuneracion[[#This Row],[Tensión]],Tabla3[aux],1,0),"-")</f>
        <v>PUKARA_13</v>
      </c>
      <c r="H11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20" spans="1:8">
      <c r="A120" t="s">
        <v>2006</v>
      </c>
      <c r="B120" t="s">
        <v>2007</v>
      </c>
      <c r="C120" t="s">
        <v>699</v>
      </c>
      <c r="D120" t="s">
        <v>1756</v>
      </c>
      <c r="E120" t="s">
        <v>2008</v>
      </c>
      <c r="F120" t="s">
        <v>1583</v>
      </c>
      <c r="G120" s="9" t="str">
        <f>+IF(PMG_D__Remuneracion[[#This Row],[Precio Valorizado]]="Nudo",VLOOKUP(PMG_D__Remuneracion[[#This Row],[Barra]]&amp;"_"&amp;PMG_D__Remuneracion[[#This Row],[Tensión]],Tabla3[aux],1,0),"-")</f>
        <v>LIN.NORTE_13</v>
      </c>
      <c r="H12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21" spans="1:8">
      <c r="A121" t="s">
        <v>6440</v>
      </c>
      <c r="B121" t="s">
        <v>6441</v>
      </c>
      <c r="C121" t="s">
        <v>1340</v>
      </c>
      <c r="D121" t="s">
        <v>1755</v>
      </c>
      <c r="E121" t="s">
        <v>6442</v>
      </c>
      <c r="F121" t="s">
        <v>1583</v>
      </c>
      <c r="G121" s="9" t="str">
        <f>+IF(PMG_D__Remuneracion[[#This Row],[Precio Valorizado]]="Nudo",VLOOKUP(PMG_D__Remuneracion[[#This Row],[Barra]]&amp;"_"&amp;PMG_D__Remuneracion[[#This Row],[Tensión]],Tabla3[aux],1,0),"-")</f>
        <v>STA.ELISA_23</v>
      </c>
      <c r="H12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22" spans="1:8">
      <c r="A122" t="s">
        <v>3252</v>
      </c>
      <c r="B122" t="s">
        <v>3267</v>
      </c>
      <c r="C122" t="s">
        <v>258</v>
      </c>
      <c r="D122" t="s">
        <v>1756</v>
      </c>
      <c r="E122" t="s">
        <v>3268</v>
      </c>
      <c r="F122" t="s">
        <v>1583</v>
      </c>
      <c r="G122" s="9" t="str">
        <f>+IF(PMG_D__Remuneracion[[#This Row],[Precio Valorizado]]="Nudo",VLOOKUP(PMG_D__Remuneracion[[#This Row],[Barra]]&amp;"_"&amp;PMG_D__Remuneracion[[#This Row],[Tensión]],Tabla3[aux],1,0),"-")</f>
        <v>CHILLAN_13</v>
      </c>
      <c r="H12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23" spans="1:8">
      <c r="A123" t="s">
        <v>6359</v>
      </c>
      <c r="B123" t="s">
        <v>6360</v>
      </c>
      <c r="C123" t="s">
        <v>1343</v>
      </c>
      <c r="D123" t="s">
        <v>1756</v>
      </c>
      <c r="E123" t="s">
        <v>2306</v>
      </c>
      <c r="F123" t="s">
        <v>1583</v>
      </c>
      <c r="G123" s="9" t="str">
        <f>+IF(PMG_D__Remuneracion[[#This Row],[Precio Valorizado]]="Nudo",VLOOKUP(PMG_D__Remuneracion[[#This Row],[Barra]]&amp;"_"&amp;PMG_D__Remuneracion[[#This Row],[Tensión]],Tabla3[aux],1,0),"-")</f>
        <v>STA.ELVIRA_13</v>
      </c>
      <c r="H12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24" spans="1:8">
      <c r="A124" t="s">
        <v>2009</v>
      </c>
      <c r="B124" t="s">
        <v>2010</v>
      </c>
      <c r="C124" t="s">
        <v>265</v>
      </c>
      <c r="D124" t="s">
        <v>1756</v>
      </c>
      <c r="E124" t="s">
        <v>1840</v>
      </c>
      <c r="F124" t="s">
        <v>1583</v>
      </c>
      <c r="G124" s="9" t="str">
        <f>+IF(PMG_D__Remuneracion[[#This Row],[Precio Valorizado]]="Nudo",VLOOKUP(PMG_D__Remuneracion[[#This Row],[Barra]]&amp;"_"&amp;PMG_D__Remuneracion[[#This Row],[Tensión]],Tabla3[aux],1,0),"-")</f>
        <v>CHIMBARONGO_13</v>
      </c>
      <c r="H12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25" spans="1:8">
      <c r="A125" t="s">
        <v>6337</v>
      </c>
      <c r="B125" t="s">
        <v>6338</v>
      </c>
      <c r="C125" t="s">
        <v>1142</v>
      </c>
      <c r="D125" t="s">
        <v>1756</v>
      </c>
      <c r="E125" t="s">
        <v>6339</v>
      </c>
      <c r="F125" t="s">
        <v>1583</v>
      </c>
      <c r="G125" s="9" t="str">
        <f>+IF(PMG_D__Remuneracion[[#This Row],[Precio Valorizado]]="Nudo",VLOOKUP(PMG_D__Remuneracion[[#This Row],[Barra]]&amp;"_"&amp;PMG_D__Remuneracion[[#This Row],[Tensión]],Tabla3[aux],1,0),"-")</f>
        <v>QUIANI_13</v>
      </c>
      <c r="H12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26" spans="1:8">
      <c r="A126" t="s">
        <v>2011</v>
      </c>
      <c r="B126" t="s">
        <v>2012</v>
      </c>
      <c r="C126" t="s">
        <v>1253</v>
      </c>
      <c r="D126" t="s">
        <v>1756</v>
      </c>
      <c r="E126" t="s">
        <v>3206</v>
      </c>
      <c r="F126" t="s">
        <v>1583</v>
      </c>
      <c r="G126" s="9" t="str">
        <f>+IF(PMG_D__Remuneracion[[#This Row],[Precio Valorizado]]="Nudo",VLOOKUP(PMG_D__Remuneracion[[#This Row],[Barra]]&amp;"_"&amp;PMG_D__Remuneracion[[#This Row],[Tensión]],Tabla3[aux],1,0),"-")</f>
        <v>S.GREGORIO_13</v>
      </c>
      <c r="H12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27" spans="1:8">
      <c r="A127" t="s">
        <v>2013</v>
      </c>
      <c r="B127" t="s">
        <v>2014</v>
      </c>
      <c r="C127" t="s">
        <v>1290</v>
      </c>
      <c r="D127" t="s">
        <v>1755</v>
      </c>
      <c r="E127" t="s">
        <v>2015</v>
      </c>
      <c r="F127" t="s">
        <v>1583</v>
      </c>
      <c r="G127" s="9" t="str">
        <f>+IF(PMG_D__Remuneracion[[#This Row],[Precio Valorizado]]="Nudo",VLOOKUP(PMG_D__Remuneracion[[#This Row],[Barra]]&amp;"_"&amp;PMG_D__Remuneracion[[#This Row],[Tensión]],Tabla3[aux],1,0),"-")</f>
        <v>SALAMANCA_23</v>
      </c>
      <c r="H12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28" spans="1:8">
      <c r="A128" t="s">
        <v>2017</v>
      </c>
      <c r="B128" t="s">
        <v>2018</v>
      </c>
      <c r="C128" t="s">
        <v>238</v>
      </c>
      <c r="D128" t="s">
        <v>1756</v>
      </c>
      <c r="E128" t="s">
        <v>2019</v>
      </c>
      <c r="F128" t="s">
        <v>1583</v>
      </c>
      <c r="G128" s="9" t="str">
        <f>+IF(PMG_D__Remuneracion[[#This Row],[Precio Valorizado]]="Nudo",VLOOKUP(PMG_D__Remuneracion[[#This Row],[Barra]]&amp;"_"&amp;PMG_D__Remuneracion[[#This Row],[Tensión]],Tabla3[aux],1,0),"-")</f>
        <v>CHACAHUIN_13</v>
      </c>
      <c r="H12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29" spans="1:8">
      <c r="A129" t="s">
        <v>2020</v>
      </c>
      <c r="B129" t="s">
        <v>2021</v>
      </c>
      <c r="C129" t="s">
        <v>959</v>
      </c>
      <c r="D129" t="s">
        <v>1755</v>
      </c>
      <c r="E129" t="s">
        <v>2022</v>
      </c>
      <c r="F129" t="s">
        <v>1583</v>
      </c>
      <c r="G129" s="9" t="str">
        <f>+IF(PMG_D__Remuneracion[[#This Row],[Precio Valorizado]]="Nudo",VLOOKUP(PMG_D__Remuneracion[[#This Row],[Barra]]&amp;"_"&amp;PMG_D__Remuneracion[[#This Row],[Tensión]],Tabla3[aux],1,0),"-")</f>
        <v>P.HURTADO_23</v>
      </c>
      <c r="H12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30" spans="1:8">
      <c r="A130" t="s">
        <v>2023</v>
      </c>
      <c r="B130" t="s">
        <v>2024</v>
      </c>
      <c r="C130" t="s">
        <v>1517</v>
      </c>
      <c r="D130" t="s">
        <v>1755</v>
      </c>
      <c r="E130" t="s">
        <v>6551</v>
      </c>
      <c r="F130" t="s">
        <v>1583</v>
      </c>
      <c r="G130" s="9" t="str">
        <f>+IF(PMG_D__Remuneracion[[#This Row],[Precio Valorizado]]="Nudo",VLOOKUP(PMG_D__Remuneracion[[#This Row],[Barra]]&amp;"_"&amp;PMG_D__Remuneracion[[#This Row],[Tensión]],Tabla3[aux],1,0),"-")</f>
        <v>URIBE_23</v>
      </c>
      <c r="H13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31" spans="1:8">
      <c r="A131" t="s">
        <v>2025</v>
      </c>
      <c r="B131" t="s">
        <v>2026</v>
      </c>
      <c r="C131" t="s">
        <v>1090</v>
      </c>
      <c r="D131" t="s">
        <v>1755</v>
      </c>
      <c r="E131" t="s">
        <v>2027</v>
      </c>
      <c r="F131" t="s">
        <v>1583</v>
      </c>
      <c r="G131" s="9" t="str">
        <f>+IF(PMG_D__Remuneracion[[#This Row],[Precio Valorizado]]="Nudo",VLOOKUP(PMG_D__Remuneracion[[#This Row],[Barra]]&amp;"_"&amp;PMG_D__Remuneracion[[#This Row],[Tensión]],Tabla3[aux],1,0),"-")</f>
        <v>POLPAICO_23</v>
      </c>
      <c r="H13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32" spans="1:8">
      <c r="A132" t="s">
        <v>2028</v>
      </c>
      <c r="B132" t="s">
        <v>2029</v>
      </c>
      <c r="C132" t="s">
        <v>545</v>
      </c>
      <c r="D132" t="s">
        <v>1753</v>
      </c>
      <c r="E132" t="s">
        <v>2030</v>
      </c>
      <c r="F132" t="s">
        <v>1758</v>
      </c>
      <c r="G132" s="9" t="str">
        <f>+IF(PMG_D__Remuneracion[[#This Row],[Precio Valorizado]]="Nudo",VLOOKUP(PMG_D__Remuneracion[[#This Row],[Barra]]&amp;"_"&amp;PMG_D__Remuneracion[[#This Row],[Tensión]],Tabla3[aux],1,0),"-")</f>
        <v>-</v>
      </c>
      <c r="H132" s="9" t="str">
        <f>+IF(PMG_D__Remuneracion[[#This Row],[Precio Valorizado]]="Estabilizado",VLOOKUP(PMG_D__Remuneracion[[#This Row],[Barra]]&amp;"_"&amp;PMG_D__Remuneracion[[#This Row],[Tensión]],'FACTORES DE REFERENCIACION'!N:N,1,0),"-")</f>
        <v>ISLADMAIPO_66</v>
      </c>
    </row>
    <row r="133" spans="1:8">
      <c r="A133" t="s">
        <v>2031</v>
      </c>
      <c r="B133" t="s">
        <v>2032</v>
      </c>
      <c r="C133" t="s">
        <v>304</v>
      </c>
      <c r="D133" t="s">
        <v>1756</v>
      </c>
      <c r="E133" t="s">
        <v>2033</v>
      </c>
      <c r="F133" t="s">
        <v>1583</v>
      </c>
      <c r="G133" s="9" t="str">
        <f>+IF(PMG_D__Remuneracion[[#This Row],[Precio Valorizado]]="Nudo",VLOOKUP(PMG_D__Remuneracion[[#This Row],[Barra]]&amp;"_"&amp;PMG_D__Remuneracion[[#This Row],[Tensión]],Tabla3[aux],1,0),"-")</f>
        <v>COCHARCAS_13</v>
      </c>
      <c r="H13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34" spans="1:8">
      <c r="A134" t="s">
        <v>2034</v>
      </c>
      <c r="B134" t="s">
        <v>2035</v>
      </c>
      <c r="C134" t="s">
        <v>532</v>
      </c>
      <c r="D134" t="s">
        <v>1755</v>
      </c>
      <c r="E134" t="s">
        <v>2036</v>
      </c>
      <c r="F134" t="s">
        <v>1583</v>
      </c>
      <c r="G134" s="9" t="str">
        <f>+IF(PMG_D__Remuneracion[[#This Row],[Precio Valorizado]]="Nudo",VLOOKUP(PMG_D__Remuneracion[[#This Row],[Barra]]&amp;"_"&amp;PMG_D__Remuneracion[[#This Row],[Tensión]],Tabla3[aux],1,0),"-")</f>
        <v>ILLAPEL_23</v>
      </c>
      <c r="H13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35" spans="1:8">
      <c r="A135" t="s">
        <v>2037</v>
      </c>
      <c r="B135" t="s">
        <v>2038</v>
      </c>
      <c r="C135" t="s">
        <v>732</v>
      </c>
      <c r="D135" t="s">
        <v>1756</v>
      </c>
      <c r="E135" t="s">
        <v>6317</v>
      </c>
      <c r="F135" t="s">
        <v>1583</v>
      </c>
      <c r="G135" s="9" t="str">
        <f>+IF(PMG_D__Remuneracion[[#This Row],[Precio Valorizado]]="Nudo",VLOOKUP(PMG_D__Remuneracion[[#This Row],[Barra]]&amp;"_"&amp;PMG_D__Remuneracion[[#This Row],[Tensión]],Tabla3[aux],1,0),"-")</f>
        <v>LOMIRANDA_13</v>
      </c>
      <c r="H13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36" spans="1:8">
      <c r="A136" t="s">
        <v>2039</v>
      </c>
      <c r="B136" t="s">
        <v>2040</v>
      </c>
      <c r="C136" t="s">
        <v>696</v>
      </c>
      <c r="D136" t="s">
        <v>1756</v>
      </c>
      <c r="E136" t="s">
        <v>3206</v>
      </c>
      <c r="F136" t="s">
        <v>1583</v>
      </c>
      <c r="G136" s="9" t="str">
        <f>+IF(PMG_D__Remuneracion[[#This Row],[Precio Valorizado]]="Nudo",VLOOKUP(PMG_D__Remuneracion[[#This Row],[Barra]]&amp;"_"&amp;PMG_D__Remuneracion[[#This Row],[Tensión]],Tabla3[aux],1,0),"-")</f>
        <v>LIHUEIMO_13</v>
      </c>
      <c r="H13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37" spans="1:8">
      <c r="A137" t="s">
        <v>3253</v>
      </c>
      <c r="B137" t="s">
        <v>3269</v>
      </c>
      <c r="C137" t="s">
        <v>563</v>
      </c>
      <c r="D137" t="s">
        <v>1756</v>
      </c>
      <c r="E137" t="s">
        <v>2667</v>
      </c>
      <c r="F137" t="s">
        <v>1583</v>
      </c>
      <c r="G137" s="9" t="str">
        <f>+IF(PMG_D__Remuneracion[[#This Row],[Precio Valorizado]]="Nudo",VLOOKUP(PMG_D__Remuneracion[[#This Row],[Barra]]&amp;"_"&amp;PMG_D__Remuneracion[[#This Row],[Tensión]],Tabla3[aux],1,0),"-")</f>
        <v>L.ANGELES_13</v>
      </c>
      <c r="H13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38" spans="1:8">
      <c r="A138" t="s">
        <v>6340</v>
      </c>
      <c r="B138" t="s">
        <v>6341</v>
      </c>
      <c r="C138" t="s">
        <v>342</v>
      </c>
      <c r="D138" t="s">
        <v>1755</v>
      </c>
      <c r="E138" t="s">
        <v>6342</v>
      </c>
      <c r="F138" t="s">
        <v>1583</v>
      </c>
      <c r="G138" s="9" t="str">
        <f>+IF(PMG_D__Remuneracion[[#This Row],[Precio Valorizado]]="Nudo",VLOOKUP(PMG_D__Remuneracion[[#This Row],[Barra]]&amp;"_"&amp;PMG_D__Remuneracion[[#This Row],[Tensión]],Tabla3[aux],1,0),"-")</f>
        <v>CONSTIT1_23</v>
      </c>
      <c r="H13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39" spans="1:8">
      <c r="A139" t="s">
        <v>2041</v>
      </c>
      <c r="B139" t="s">
        <v>2042</v>
      </c>
      <c r="C139" t="s">
        <v>743</v>
      </c>
      <c r="D139" t="s">
        <v>1754</v>
      </c>
      <c r="E139" t="s">
        <v>3099</v>
      </c>
      <c r="F139" t="s">
        <v>1583</v>
      </c>
      <c r="G139" s="9" t="str">
        <f>+IF(PMG_D__Remuneracion[[#This Row],[Precio Valorizado]]="Nudo",VLOOKUP(PMG_D__Remuneracion[[#This Row],[Barra]]&amp;"_"&amp;PMG_D__Remuneracion[[#This Row],[Tensión]],Tabla3[aux],1,0),"-")</f>
        <v>LORETO_15</v>
      </c>
      <c r="H13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40" spans="1:8">
      <c r="A140" t="s">
        <v>2043</v>
      </c>
      <c r="B140" t="s">
        <v>2044</v>
      </c>
      <c r="C140" t="s">
        <v>335</v>
      </c>
      <c r="D140" t="s">
        <v>1756</v>
      </c>
      <c r="E140" t="s">
        <v>2045</v>
      </c>
      <c r="F140" t="s">
        <v>1583</v>
      </c>
      <c r="G140" s="9" t="str">
        <f>+IF(PMG_D__Remuneracion[[#This Row],[Precio Valorizado]]="Nudo",VLOOKUP(PMG_D__Remuneracion[[#This Row],[Barra]]&amp;"_"&amp;PMG_D__Remuneracion[[#This Row],[Tensión]],Tabla3[aux],1,0),"-")</f>
        <v>CONCON_13</v>
      </c>
      <c r="H14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41" spans="1:8">
      <c r="A141" t="s">
        <v>6465</v>
      </c>
      <c r="B141" t="s">
        <v>6466</v>
      </c>
      <c r="C141" t="s">
        <v>453</v>
      </c>
      <c r="D141" t="s">
        <v>1755</v>
      </c>
      <c r="E141" t="s">
        <v>3281</v>
      </c>
      <c r="F141" t="s">
        <v>1583</v>
      </c>
      <c r="G141" s="9" t="str">
        <f>+IF(PMG_D__Remuneracion[[#This Row],[Precio Valorizado]]="Nudo",VLOOKUP(PMG_D__Remuneracion[[#This Row],[Barra]]&amp;"_"&amp;PMG_D__Remuneracion[[#This Row],[Tensión]],Tabla3[aux],1,0),"-")</f>
        <v>ELSALADO_23</v>
      </c>
      <c r="H14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42" spans="1:8">
      <c r="A142" t="s">
        <v>2046</v>
      </c>
      <c r="B142" t="s">
        <v>2047</v>
      </c>
      <c r="C142" t="s">
        <v>1002</v>
      </c>
      <c r="D142" t="s">
        <v>1756</v>
      </c>
      <c r="E142" t="s">
        <v>2048</v>
      </c>
      <c r="F142" t="s">
        <v>1583</v>
      </c>
      <c r="G142" s="9" t="str">
        <f>+IF(PMG_D__Remuneracion[[#This Row],[Precio Valorizado]]="Nudo",VLOOKUP(PMG_D__Remuneracion[[#This Row],[Barra]]&amp;"_"&amp;PMG_D__Remuneracion[[#This Row],[Tensión]],Tabla3[aux],1,0),"-")</f>
        <v>PANIAHUE_13</v>
      </c>
      <c r="H14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43" spans="1:8">
      <c r="A143" t="s">
        <v>3254</v>
      </c>
      <c r="B143" t="s">
        <v>3270</v>
      </c>
      <c r="C143" t="s">
        <v>1162</v>
      </c>
      <c r="D143" t="s">
        <v>1755</v>
      </c>
      <c r="E143" t="s">
        <v>2048</v>
      </c>
      <c r="F143" t="s">
        <v>1583</v>
      </c>
      <c r="G143" s="9" t="str">
        <f>+IF(PMG_D__Remuneracion[[#This Row],[Precio Valorizado]]="Nudo",VLOOKUP(PMG_D__Remuneracion[[#This Row],[Barra]]&amp;"_"&amp;PMG_D__Remuneracion[[#This Row],[Tensión]],Tabla3[aux],1,0),"-")</f>
        <v>QUINQUIMO_23</v>
      </c>
      <c r="H14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44" spans="1:8">
      <c r="A144" t="s">
        <v>2049</v>
      </c>
      <c r="B144" t="s">
        <v>2050</v>
      </c>
      <c r="C144" t="s">
        <v>804</v>
      </c>
      <c r="D144" t="s">
        <v>1756</v>
      </c>
      <c r="E144" t="s">
        <v>2048</v>
      </c>
      <c r="F144" t="s">
        <v>1583</v>
      </c>
      <c r="G144" s="9" t="str">
        <f>+IF(PMG_D__Remuneracion[[#This Row],[Precio Valorizado]]="Nudo",VLOOKUP(PMG_D__Remuneracion[[#This Row],[Barra]]&amp;"_"&amp;PMG_D__Remuneracion[[#This Row],[Tensión]],Tabla3[aux],1,0),"-")</f>
        <v>MALLOCO_13</v>
      </c>
      <c r="H14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45" spans="1:8">
      <c r="A145" t="s">
        <v>2051</v>
      </c>
      <c r="B145" t="s">
        <v>2052</v>
      </c>
      <c r="C145" t="s">
        <v>158</v>
      </c>
      <c r="D145" t="s">
        <v>1755</v>
      </c>
      <c r="E145" t="s">
        <v>2048</v>
      </c>
      <c r="F145" t="s">
        <v>1583</v>
      </c>
      <c r="G145" s="9" t="str">
        <f>+IF(PMG_D__Remuneracion[[#This Row],[Precio Valorizado]]="Nudo",VLOOKUP(PMG_D__Remuneracion[[#This Row],[Barra]]&amp;"_"&amp;PMG_D__Remuneracion[[#This Row],[Tensión]],Tabla3[aux],1,0),"-")</f>
        <v>CABILDO_23</v>
      </c>
      <c r="H14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46" spans="1:8">
      <c r="A146" t="s">
        <v>2053</v>
      </c>
      <c r="B146" t="s">
        <v>2054</v>
      </c>
      <c r="C146" t="s">
        <v>69</v>
      </c>
      <c r="D146" t="s">
        <v>1756</v>
      </c>
      <c r="E146" t="s">
        <v>2055</v>
      </c>
      <c r="F146" t="s">
        <v>1583</v>
      </c>
      <c r="G146" s="9" t="str">
        <f>+IF(PMG_D__Remuneracion[[#This Row],[Precio Valorizado]]="Nudo",VLOOKUP(PMG_D__Remuneracion[[#This Row],[Barra]]&amp;"_"&amp;PMG_D__Remuneracion[[#This Row],[Tensión]],Tabla3[aux],1,0),"-")</f>
        <v>ANDALIEN_13</v>
      </c>
      <c r="H14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47" spans="1:8">
      <c r="A147" t="s">
        <v>2056</v>
      </c>
      <c r="B147" t="s">
        <v>2057</v>
      </c>
      <c r="C147" t="s">
        <v>377</v>
      </c>
      <c r="D147" t="s">
        <v>1756</v>
      </c>
      <c r="E147" t="s">
        <v>2250</v>
      </c>
      <c r="F147" t="s">
        <v>1583</v>
      </c>
      <c r="G147" s="9" t="str">
        <f>+IF(PMG_D__Remuneracion[[#This Row],[Precio Valorizado]]="Nudo",VLOOKUP(PMG_D__Remuneracion[[#This Row],[Barra]]&amp;"_"&amp;PMG_D__Remuneracion[[#This Row],[Tensión]],Tabla3[aux],1,0),"-")</f>
        <v>CURICO_13</v>
      </c>
      <c r="H14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48" spans="1:8">
      <c r="A148" t="s">
        <v>6343</v>
      </c>
      <c r="B148" t="s">
        <v>6344</v>
      </c>
      <c r="C148" t="s">
        <v>804</v>
      </c>
      <c r="D148" t="s">
        <v>1756</v>
      </c>
      <c r="E148" t="s">
        <v>3281</v>
      </c>
      <c r="F148" t="s">
        <v>1583</v>
      </c>
      <c r="G148" s="9" t="str">
        <f>+IF(PMG_D__Remuneracion[[#This Row],[Precio Valorizado]]="Nudo",VLOOKUP(PMG_D__Remuneracion[[#This Row],[Barra]]&amp;"_"&amp;PMG_D__Remuneracion[[#This Row],[Tensión]],Tabla3[aux],1,0),"-")</f>
        <v>MALLOCO_13</v>
      </c>
      <c r="H14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49" spans="1:8">
      <c r="A149" t="s">
        <v>2058</v>
      </c>
      <c r="B149" t="s">
        <v>2059</v>
      </c>
      <c r="C149" t="s">
        <v>161</v>
      </c>
      <c r="D149" t="s">
        <v>1756</v>
      </c>
      <c r="E149" t="s">
        <v>2060</v>
      </c>
      <c r="F149" t="s">
        <v>1583</v>
      </c>
      <c r="G149" s="9" t="str">
        <f>+IF(PMG_D__Remuneracion[[#This Row],[Precio Valorizado]]="Nudo",VLOOKUP(PMG_D__Remuneracion[[#This Row],[Barra]]&amp;"_"&amp;PMG_D__Remuneracion[[#This Row],[Tensión]],Tabla3[aux],1,0),"-")</f>
        <v>CABRERO_13</v>
      </c>
      <c r="H14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50" spans="1:8">
      <c r="A150" t="s">
        <v>2061</v>
      </c>
      <c r="B150" t="s">
        <v>2062</v>
      </c>
      <c r="C150" t="s">
        <v>245</v>
      </c>
      <c r="D150" t="s">
        <v>1756</v>
      </c>
      <c r="E150" t="s">
        <v>1767</v>
      </c>
      <c r="F150" t="s">
        <v>1583</v>
      </c>
      <c r="G150" s="9" t="str">
        <f>+IF(PMG_D__Remuneracion[[#This Row],[Precio Valorizado]]="Nudo",VLOOKUP(PMG_D__Remuneracion[[#This Row],[Barra]]&amp;"_"&amp;PMG_D__Remuneracion[[#This Row],[Tensión]],Tabla3[aux],1,0),"-")</f>
        <v>CHAPIQUINA_13</v>
      </c>
      <c r="H15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51" spans="1:8">
      <c r="A151" t="s">
        <v>2063</v>
      </c>
      <c r="B151" t="s">
        <v>2064</v>
      </c>
      <c r="C151" t="s">
        <v>453</v>
      </c>
      <c r="D151" t="s">
        <v>1755</v>
      </c>
      <c r="E151" t="s">
        <v>2065</v>
      </c>
      <c r="F151" t="s">
        <v>1583</v>
      </c>
      <c r="G151" s="9" t="str">
        <f>+IF(PMG_D__Remuneracion[[#This Row],[Precio Valorizado]]="Nudo",VLOOKUP(PMG_D__Remuneracion[[#This Row],[Barra]]&amp;"_"&amp;PMG_D__Remuneracion[[#This Row],[Tensión]],Tabla3[aux],1,0),"-")</f>
        <v>ELSALADO_23</v>
      </c>
      <c r="H15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52" spans="1:8">
      <c r="A152" t="s">
        <v>2066</v>
      </c>
      <c r="B152" t="s">
        <v>2067</v>
      </c>
      <c r="C152" t="s">
        <v>432</v>
      </c>
      <c r="D152" t="s">
        <v>1755</v>
      </c>
      <c r="E152" t="s">
        <v>2068</v>
      </c>
      <c r="F152" t="s">
        <v>1583</v>
      </c>
      <c r="G152" s="9" t="str">
        <f>+IF(PMG_D__Remuneracion[[#This Row],[Precio Valorizado]]="Nudo",VLOOKUP(PMG_D__Remuneracion[[#This Row],[Barra]]&amp;"_"&amp;PMG_D__Remuneracion[[#This Row],[Tensión]],Tabla3[aux],1,0),"-")</f>
        <v>ELAVELLANO_23</v>
      </c>
      <c r="H15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53" spans="1:8">
      <c r="A153" t="s">
        <v>2069</v>
      </c>
      <c r="B153" t="s">
        <v>2070</v>
      </c>
      <c r="C153" t="s">
        <v>696</v>
      </c>
      <c r="D153" t="s">
        <v>1756</v>
      </c>
      <c r="E153" t="s">
        <v>1801</v>
      </c>
      <c r="F153" t="s">
        <v>1583</v>
      </c>
      <c r="G153" s="9" t="str">
        <f>+IF(PMG_D__Remuneracion[[#This Row],[Precio Valorizado]]="Nudo",VLOOKUP(PMG_D__Remuneracion[[#This Row],[Barra]]&amp;"_"&amp;PMG_D__Remuneracion[[#This Row],[Tensión]],Tabla3[aux],1,0),"-")</f>
        <v>LIHUEIMO_13</v>
      </c>
      <c r="H15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54" spans="1:8">
      <c r="A154" t="s">
        <v>2071</v>
      </c>
      <c r="B154" t="s">
        <v>2072</v>
      </c>
      <c r="C154" t="s">
        <v>914</v>
      </c>
      <c r="D154" t="s">
        <v>1756</v>
      </c>
      <c r="E154" t="s">
        <v>3206</v>
      </c>
      <c r="F154" t="s">
        <v>1583</v>
      </c>
      <c r="G154" s="9" t="str">
        <f>+IF(PMG_D__Remuneracion[[#This Row],[Precio Valorizado]]="Nudo",VLOOKUP(PMG_D__Remuneracion[[#This Row],[Barra]]&amp;"_"&amp;PMG_D__Remuneracion[[#This Row],[Tensión]],Tabla3[aux],1,0),"-")</f>
        <v>NPANQUEHUE_13</v>
      </c>
      <c r="H15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55" spans="1:8">
      <c r="A155" t="s">
        <v>6555</v>
      </c>
      <c r="B155" t="s">
        <v>6556</v>
      </c>
      <c r="C155" t="s">
        <v>48</v>
      </c>
      <c r="D155" t="s">
        <v>1755</v>
      </c>
      <c r="E155" t="s">
        <v>6317</v>
      </c>
      <c r="F155" t="s">
        <v>1758</v>
      </c>
      <c r="G155" s="9" t="str">
        <f>+IF(PMG_D__Remuneracion[[#This Row],[Precio Valorizado]]="Nudo",VLOOKUP(PMG_D__Remuneracion[[#This Row],[Barra]]&amp;"_"&amp;PMG_D__Remuneracion[[#This Row],[Tensión]],Tabla3[aux],1,0),"-")</f>
        <v>-</v>
      </c>
      <c r="H155" s="9" t="str">
        <f>+IF(PMG_D__Remuneracion[[#This Row],[Precio Valorizado]]="Estabilizado",VLOOKUP(PMG_D__Remuneracion[[#This Row],[Barra]]&amp;"_"&amp;PMG_D__Remuneracion[[#This Row],[Tensión]],'FACTORES DE REFERENCIACION'!N:N,1,0),"-")</f>
        <v>ALHUE_23</v>
      </c>
    </row>
    <row r="156" spans="1:8">
      <c r="A156" t="s">
        <v>2073</v>
      </c>
      <c r="B156" t="s">
        <v>2074</v>
      </c>
      <c r="C156" t="s">
        <v>371</v>
      </c>
      <c r="D156" t="s">
        <v>1759</v>
      </c>
      <c r="E156" t="s">
        <v>1814</v>
      </c>
      <c r="F156" t="s">
        <v>1583</v>
      </c>
      <c r="G156" s="9" t="str">
        <f>+IF(PMG_D__Remuneracion[[#This Row],[Precio Valorizado]]="Nudo",VLOOKUP(PMG_D__Remuneracion[[#This Row],[Barra]]&amp;"_"&amp;PMG_D__Remuneracion[[#This Row],[Tensión]],Tabla3[aux],1,0),"-")</f>
        <v>CURACAVI_12</v>
      </c>
      <c r="H15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57" spans="1:8">
      <c r="A157" t="s">
        <v>3255</v>
      </c>
      <c r="B157" t="s">
        <v>3271</v>
      </c>
      <c r="C157" t="s">
        <v>504</v>
      </c>
      <c r="D157" t="s">
        <v>1754</v>
      </c>
      <c r="E157" t="s">
        <v>3272</v>
      </c>
      <c r="F157" t="s">
        <v>1583</v>
      </c>
      <c r="G157" s="9" t="str">
        <f>+IF(PMG_D__Remuneracion[[#This Row],[Precio Valorizado]]="Nudo",VLOOKUP(PMG_D__Remuneracion[[#This Row],[Barra]]&amp;"_"&amp;PMG_D__Remuneracion[[#This Row],[Tensión]],Tabla3[aux],1,0),"-")</f>
        <v>GRANEROS_15</v>
      </c>
      <c r="H15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58" spans="1:8">
      <c r="A158" t="s">
        <v>2075</v>
      </c>
      <c r="B158" t="s">
        <v>2076</v>
      </c>
      <c r="C158" t="s">
        <v>1200</v>
      </c>
      <c r="D158" t="s">
        <v>1756</v>
      </c>
      <c r="E158" t="s">
        <v>2077</v>
      </c>
      <c r="F158" t="s">
        <v>1583</v>
      </c>
      <c r="G158" s="9" t="str">
        <f>+IF(PMG_D__Remuneracion[[#This Row],[Precio Valorizado]]="Nudo",VLOOKUP(PMG_D__Remuneracion[[#This Row],[Barra]]&amp;"_"&amp;PMG_D__Remuneracion[[#This Row],[Tensión]],Tabla3[aux],1,0),"-")</f>
        <v>RAUQUEN_13</v>
      </c>
      <c r="H15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59" spans="1:8">
      <c r="A159" t="s">
        <v>2078</v>
      </c>
      <c r="B159" t="s">
        <v>2079</v>
      </c>
      <c r="C159" t="s">
        <v>532</v>
      </c>
      <c r="D159" t="s">
        <v>1755</v>
      </c>
      <c r="E159" t="s">
        <v>3206</v>
      </c>
      <c r="F159" t="s">
        <v>1583</v>
      </c>
      <c r="G159" s="9" t="str">
        <f>+IF(PMG_D__Remuneracion[[#This Row],[Precio Valorizado]]="Nudo",VLOOKUP(PMG_D__Remuneracion[[#This Row],[Barra]]&amp;"_"&amp;PMG_D__Remuneracion[[#This Row],[Tensión]],Tabla3[aux],1,0),"-")</f>
        <v>ILLAPEL_23</v>
      </c>
      <c r="H15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60" spans="1:8">
      <c r="A160" t="s">
        <v>2080</v>
      </c>
      <c r="B160" t="s">
        <v>2081</v>
      </c>
      <c r="C160" t="s">
        <v>307</v>
      </c>
      <c r="D160" t="s">
        <v>1756</v>
      </c>
      <c r="E160" t="s">
        <v>6317</v>
      </c>
      <c r="F160" t="s">
        <v>1583</v>
      </c>
      <c r="G160" s="9" t="str">
        <f>+IF(PMG_D__Remuneracion[[#This Row],[Precio Valorizado]]="Nudo",VLOOKUP(PMG_D__Remuneracion[[#This Row],[Barra]]&amp;"_"&amp;PMG_D__Remuneracion[[#This Row],[Tensión]],Tabla3[aux],1,0),"-")</f>
        <v>COCHARCAS2_13</v>
      </c>
      <c r="H16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61" spans="1:8">
      <c r="A161" t="s">
        <v>2082</v>
      </c>
      <c r="B161" t="s">
        <v>2083</v>
      </c>
      <c r="C161" t="s">
        <v>383</v>
      </c>
      <c r="D161" t="s">
        <v>1755</v>
      </c>
      <c r="E161" t="s">
        <v>3313</v>
      </c>
      <c r="F161" t="s">
        <v>1583</v>
      </c>
      <c r="G161" s="9" t="str">
        <f>+IF(PMG_D__Remuneracion[[#This Row],[Precio Valorizado]]="Nudo",VLOOKUP(PMG_D__Remuneracion[[#This Row],[Barra]]&amp;"_"&amp;PMG_D__Remuneracion[[#This Row],[Tensión]],Tabla3[aux],1,0),"-")</f>
        <v>D.ALMAGRO_23</v>
      </c>
      <c r="H16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62" spans="1:8">
      <c r="A162" t="s">
        <v>2084</v>
      </c>
      <c r="B162" t="s">
        <v>2085</v>
      </c>
      <c r="C162" t="s">
        <v>545</v>
      </c>
      <c r="D162" t="s">
        <v>1756</v>
      </c>
      <c r="E162" t="s">
        <v>3206</v>
      </c>
      <c r="F162" t="s">
        <v>1583</v>
      </c>
      <c r="G162" s="9" t="str">
        <f>+IF(PMG_D__Remuneracion[[#This Row],[Precio Valorizado]]="Nudo",VLOOKUP(PMG_D__Remuneracion[[#This Row],[Barra]]&amp;"_"&amp;PMG_D__Remuneracion[[#This Row],[Tensión]],Tabla3[aux],1,0),"-")</f>
        <v>ISLADMAIPO_13</v>
      </c>
      <c r="H16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63" spans="1:8">
      <c r="A163" t="s">
        <v>6375</v>
      </c>
      <c r="B163" t="s">
        <v>6376</v>
      </c>
      <c r="C163" t="s">
        <v>118</v>
      </c>
      <c r="D163" t="s">
        <v>1756</v>
      </c>
      <c r="E163" t="s">
        <v>6377</v>
      </c>
      <c r="F163" t="s">
        <v>1583</v>
      </c>
      <c r="G163" s="9" t="str">
        <f>+IF(PMG_D__Remuneracion[[#This Row],[Precio Valorizado]]="Nudo",VLOOKUP(PMG_D__Remuneracion[[#This Row],[Barra]]&amp;"_"&amp;PMG_D__Remuneracion[[#This Row],[Tensión]],Tabla3[aux],1,0),"-")</f>
        <v>BOLLENAR_13</v>
      </c>
      <c r="H16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64" spans="1:8">
      <c r="A164" t="s">
        <v>2086</v>
      </c>
      <c r="B164" t="s">
        <v>2087</v>
      </c>
      <c r="C164" t="s">
        <v>1117</v>
      </c>
      <c r="D164" t="s">
        <v>1756</v>
      </c>
      <c r="E164" t="s">
        <v>2088</v>
      </c>
      <c r="F164" t="s">
        <v>1583</v>
      </c>
      <c r="G164" s="9" t="str">
        <f>+IF(PMG_D__Remuneracion[[#This Row],[Precio Valorizado]]="Nudo",VLOOKUP(PMG_D__Remuneracion[[#This Row],[Barra]]&amp;"_"&amp;PMG_D__Remuneracion[[#This Row],[Tensión]],Tabla3[aux],1,0),"-")</f>
        <v>PUNITAQUI_13</v>
      </c>
      <c r="H16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65" spans="1:8">
      <c r="A165" t="s">
        <v>2089</v>
      </c>
      <c r="B165" t="s">
        <v>2090</v>
      </c>
      <c r="C165" t="s">
        <v>1347</v>
      </c>
      <c r="D165" t="s">
        <v>1755</v>
      </c>
      <c r="E165" t="s">
        <v>2091</v>
      </c>
      <c r="F165" t="s">
        <v>1583</v>
      </c>
      <c r="G165" s="9" t="str">
        <f>+IF(PMG_D__Remuneracion[[#This Row],[Precio Valorizado]]="Nudo",VLOOKUP(PMG_D__Remuneracion[[#This Row],[Barra]]&amp;"_"&amp;PMG_D__Remuneracion[[#This Row],[Tensión]],Tabla3[aux],1,0),"-")</f>
        <v>STA.ROSA_23</v>
      </c>
      <c r="H16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66" spans="1:8">
      <c r="A166" t="s">
        <v>2092</v>
      </c>
      <c r="B166" t="s">
        <v>2093</v>
      </c>
      <c r="C166" t="s">
        <v>1117</v>
      </c>
      <c r="D166" t="s">
        <v>1756</v>
      </c>
      <c r="E166" t="s">
        <v>1785</v>
      </c>
      <c r="F166" t="s">
        <v>1583</v>
      </c>
      <c r="G166" s="9" t="str">
        <f>+IF(PMG_D__Remuneracion[[#This Row],[Precio Valorizado]]="Nudo",VLOOKUP(PMG_D__Remuneracion[[#This Row],[Barra]]&amp;"_"&amp;PMG_D__Remuneracion[[#This Row],[Tensión]],Tabla3[aux],1,0),"-")</f>
        <v>PUNITAQUI_13</v>
      </c>
      <c r="H16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67" spans="1:8">
      <c r="A167" t="s">
        <v>2094</v>
      </c>
      <c r="B167" t="s">
        <v>2095</v>
      </c>
      <c r="C167" t="s">
        <v>441</v>
      </c>
      <c r="D167" t="s">
        <v>1754</v>
      </c>
      <c r="E167" t="s">
        <v>1840</v>
      </c>
      <c r="F167" t="s">
        <v>1583</v>
      </c>
      <c r="G167" s="9" t="str">
        <f>+IF(PMG_D__Remuneracion[[#This Row],[Precio Valorizado]]="Nudo",VLOOKUP(PMG_D__Remuneracion[[#This Row],[Barra]]&amp;"_"&amp;PMG_D__Remuneracion[[#This Row],[Tensión]],Tabla3[aux],1,0),"-")</f>
        <v>ELMANZANO_15</v>
      </c>
      <c r="H16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68" spans="1:8">
      <c r="A168" t="s">
        <v>2096</v>
      </c>
      <c r="B168" t="s">
        <v>2097</v>
      </c>
      <c r="C168" t="s">
        <v>696</v>
      </c>
      <c r="D168" t="s">
        <v>1756</v>
      </c>
      <c r="E168" t="s">
        <v>2098</v>
      </c>
      <c r="F168" t="s">
        <v>1583</v>
      </c>
      <c r="G168" s="9" t="str">
        <f>+IF(PMG_D__Remuneracion[[#This Row],[Precio Valorizado]]="Nudo",VLOOKUP(PMG_D__Remuneracion[[#This Row],[Barra]]&amp;"_"&amp;PMG_D__Remuneracion[[#This Row],[Tensión]],Tabla3[aux],1,0),"-")</f>
        <v>LIHUEIMO_13</v>
      </c>
      <c r="H16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69" spans="1:8">
      <c r="A169" t="s">
        <v>2099</v>
      </c>
      <c r="B169" t="s">
        <v>2100</v>
      </c>
      <c r="C169" t="s">
        <v>1032</v>
      </c>
      <c r="D169" t="s">
        <v>1756</v>
      </c>
      <c r="E169" t="s">
        <v>2101</v>
      </c>
      <c r="F169" t="s">
        <v>1583</v>
      </c>
      <c r="G169" s="9" t="str">
        <f>+IF(PMG_D__Remuneracion[[#This Row],[Precio Valorizado]]="Nudo",VLOOKUP(PMG_D__Remuneracion[[#This Row],[Barra]]&amp;"_"&amp;PMG_D__Remuneracion[[#This Row],[Tensión]],Tabla3[aux],1,0),"-")</f>
        <v>PELEQUEN_13</v>
      </c>
      <c r="H16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70" spans="1:8">
      <c r="A170" t="s">
        <v>2102</v>
      </c>
      <c r="B170" t="s">
        <v>2103</v>
      </c>
      <c r="C170" t="s">
        <v>1056</v>
      </c>
      <c r="D170" t="s">
        <v>1755</v>
      </c>
      <c r="E170" t="s">
        <v>1814</v>
      </c>
      <c r="F170" t="s">
        <v>1583</v>
      </c>
      <c r="G170" s="9" t="str">
        <f>+IF(PMG_D__Remuneracion[[#This Row],[Precio Valorizado]]="Nudo",VLOOKUP(PMG_D__Remuneracion[[#This Row],[Barra]]&amp;"_"&amp;PMG_D__Remuneracion[[#This Row],[Tensión]],Tabla3[aux],1,0),"-")</f>
        <v>PICOLTUE_23</v>
      </c>
      <c r="H17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71" spans="1:8">
      <c r="A171" t="s">
        <v>2104</v>
      </c>
      <c r="B171" t="s">
        <v>2105</v>
      </c>
      <c r="C171" t="s">
        <v>315</v>
      </c>
      <c r="D171" t="s">
        <v>1754</v>
      </c>
      <c r="E171" t="s">
        <v>2106</v>
      </c>
      <c r="F171" t="s">
        <v>1583</v>
      </c>
      <c r="G171" s="9" t="str">
        <f>+IF(PMG_D__Remuneracion[[#This Row],[Precio Valorizado]]="Nudo",VLOOKUP(PMG_D__Remuneracion[[#This Row],[Barra]]&amp;"_"&amp;PMG_D__Remuneracion[[#This Row],[Tensión]],Tabla3[aux],1,0),"-")</f>
        <v>COLCHAGUA_15</v>
      </c>
      <c r="H17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72" spans="1:8">
      <c r="A172" t="s">
        <v>3240</v>
      </c>
      <c r="B172" t="s">
        <v>3297</v>
      </c>
      <c r="C172" t="s">
        <v>707</v>
      </c>
      <c r="D172" t="s">
        <v>1755</v>
      </c>
      <c r="E172" t="s">
        <v>1785</v>
      </c>
      <c r="F172" t="s">
        <v>1583</v>
      </c>
      <c r="G172" s="9" t="str">
        <f>+IF(PMG_D__Remuneracion[[#This Row],[Precio Valorizado]]="Nudo",VLOOKUP(PMG_D__Remuneracion[[#This Row],[Barra]]&amp;"_"&amp;PMG_D__Remuneracion[[#This Row],[Tensión]],Tabla3[aux],1,0),"-")</f>
        <v>LLANBLANCOS_23</v>
      </c>
      <c r="H17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73" spans="1:8">
      <c r="A173" t="s">
        <v>6557</v>
      </c>
      <c r="B173" t="s">
        <v>6558</v>
      </c>
      <c r="C173" t="s">
        <v>158</v>
      </c>
      <c r="D173" t="s">
        <v>1755</v>
      </c>
      <c r="E173" t="s">
        <v>6559</v>
      </c>
      <c r="F173" t="s">
        <v>1583</v>
      </c>
      <c r="G173" s="9" t="str">
        <f>+IF(PMG_D__Remuneracion[[#This Row],[Precio Valorizado]]="Nudo",VLOOKUP(PMG_D__Remuneracion[[#This Row],[Barra]]&amp;"_"&amp;PMG_D__Remuneracion[[#This Row],[Tensión]],Tabla3[aux],1,0),"-")</f>
        <v>CABILDO_23</v>
      </c>
      <c r="H17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74" spans="1:8">
      <c r="A174" t="s">
        <v>3314</v>
      </c>
      <c r="B174" t="s">
        <v>2107</v>
      </c>
      <c r="C174" t="s">
        <v>1298</v>
      </c>
      <c r="D174" t="s">
        <v>1756</v>
      </c>
      <c r="E174" t="s">
        <v>6317</v>
      </c>
      <c r="F174" t="s">
        <v>1583</v>
      </c>
      <c r="G174" s="9" t="str">
        <f>+IF(PMG_D__Remuneracion[[#This Row],[Precio Valorizado]]="Nudo",VLOOKUP(PMG_D__Remuneracion[[#This Row],[Barra]]&amp;"_"&amp;PMG_D__Remuneracion[[#This Row],[Tensión]],Tabla3[aux],1,0),"-")</f>
        <v>SAN_CLEMENTE_13</v>
      </c>
      <c r="H17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75" spans="1:8">
      <c r="A175" t="s">
        <v>2108</v>
      </c>
      <c r="B175" t="s">
        <v>2109</v>
      </c>
      <c r="C175" t="s">
        <v>779</v>
      </c>
      <c r="D175" t="s">
        <v>1756</v>
      </c>
      <c r="E175" t="s">
        <v>2110</v>
      </c>
      <c r="F175" t="s">
        <v>1583</v>
      </c>
      <c r="G175" s="9" t="str">
        <f>+IF(PMG_D__Remuneracion[[#This Row],[Precio Valorizado]]="Nudo",VLOOKUP(PMG_D__Remuneracion[[#This Row],[Barra]]&amp;"_"&amp;PMG_D__Remuneracion[[#This Row],[Tensión]],Tabla3[aux],1,0),"-")</f>
        <v>MACHALI_13</v>
      </c>
      <c r="H17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76" spans="1:8">
      <c r="A176" t="s">
        <v>6361</v>
      </c>
      <c r="B176" t="s">
        <v>6362</v>
      </c>
      <c r="C176" t="s">
        <v>1270</v>
      </c>
      <c r="D176" t="s">
        <v>1756</v>
      </c>
      <c r="E176" t="s">
        <v>3281</v>
      </c>
      <c r="F176" t="s">
        <v>1583</v>
      </c>
      <c r="G176" s="9" t="str">
        <f>+IF(PMG_D__Remuneracion[[#This Row],[Precio Valorizado]]="Nudo",VLOOKUP(PMG_D__Remuneracion[[#This Row],[Barra]]&amp;"_"&amp;PMG_D__Remuneracion[[#This Row],[Tensión]],Tabla3[aux],1,0),"-")</f>
        <v>S.PEDRO_13</v>
      </c>
      <c r="H17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77" spans="1:8">
      <c r="A177" t="s">
        <v>2111</v>
      </c>
      <c r="B177" t="s">
        <v>2112</v>
      </c>
      <c r="C177" t="s">
        <v>118</v>
      </c>
      <c r="D177" t="s">
        <v>1756</v>
      </c>
      <c r="E177" t="s">
        <v>2113</v>
      </c>
      <c r="F177" t="s">
        <v>1583</v>
      </c>
      <c r="G177" s="9" t="str">
        <f>+IF(PMG_D__Remuneracion[[#This Row],[Precio Valorizado]]="Nudo",VLOOKUP(PMG_D__Remuneracion[[#This Row],[Barra]]&amp;"_"&amp;PMG_D__Remuneracion[[#This Row],[Tensión]],Tabla3[aux],1,0),"-")</f>
        <v>BOLLENAR_13</v>
      </c>
      <c r="H17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78" spans="1:8">
      <c r="A178" t="s">
        <v>2114</v>
      </c>
      <c r="B178" t="s">
        <v>2115</v>
      </c>
      <c r="C178" t="s">
        <v>401</v>
      </c>
      <c r="D178" t="s">
        <v>1755</v>
      </c>
      <c r="E178" t="s">
        <v>3227</v>
      </c>
      <c r="F178" t="s">
        <v>1583</v>
      </c>
      <c r="G178" s="9" t="str">
        <f>+IF(PMG_D__Remuneracion[[#This Row],[Precio Valorizado]]="Nudo",VLOOKUP(PMG_D__Remuneracion[[#This Row],[Barra]]&amp;"_"&amp;PMG_D__Remuneracion[[#This Row],[Tensión]],Tabla3[aux],1,0),"-")</f>
        <v>DUQUECO_23</v>
      </c>
      <c r="H17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79" spans="1:8">
      <c r="A179" t="s">
        <v>2116</v>
      </c>
      <c r="B179" t="s">
        <v>2117</v>
      </c>
      <c r="C179" t="s">
        <v>732</v>
      </c>
      <c r="D179" t="s">
        <v>1756</v>
      </c>
      <c r="E179" t="s">
        <v>3206</v>
      </c>
      <c r="F179" t="s">
        <v>1583</v>
      </c>
      <c r="G179" s="9" t="str">
        <f>+IF(PMG_D__Remuneracion[[#This Row],[Precio Valorizado]]="Nudo",VLOOKUP(PMG_D__Remuneracion[[#This Row],[Barra]]&amp;"_"&amp;PMG_D__Remuneracion[[#This Row],[Tensión]],Tabla3[aux],1,0),"-")</f>
        <v>LOMIRANDA_13</v>
      </c>
      <c r="H17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80" spans="1:8">
      <c r="A180" t="s">
        <v>6492</v>
      </c>
      <c r="B180" t="s">
        <v>6493</v>
      </c>
      <c r="C180" t="s">
        <v>380</v>
      </c>
      <c r="D180" t="s">
        <v>1756</v>
      </c>
      <c r="E180" t="s">
        <v>6494</v>
      </c>
      <c r="F180" t="s">
        <v>1583</v>
      </c>
      <c r="G180" s="9" t="str">
        <f>+IF(PMG_D__Remuneracion[[#This Row],[Precio Valorizado]]="Nudo",VLOOKUP(PMG_D__Remuneracion[[#This Row],[Barra]]&amp;"_"&amp;PMG_D__Remuneracion[[#This Row],[Tensión]],Tabla3[aux],1,0),"-")</f>
        <v>CURICO2_13</v>
      </c>
      <c r="H18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81" spans="1:8">
      <c r="A181" t="s">
        <v>2118</v>
      </c>
      <c r="B181" t="s">
        <v>2119</v>
      </c>
      <c r="C181" t="s">
        <v>401</v>
      </c>
      <c r="D181" t="s">
        <v>1755</v>
      </c>
      <c r="E181" t="s">
        <v>2120</v>
      </c>
      <c r="F181" t="s">
        <v>1583</v>
      </c>
      <c r="G181" s="9" t="str">
        <f>+IF(PMG_D__Remuneracion[[#This Row],[Precio Valorizado]]="Nudo",VLOOKUP(PMG_D__Remuneracion[[#This Row],[Barra]]&amp;"_"&amp;PMG_D__Remuneracion[[#This Row],[Tensión]],Tabla3[aux],1,0),"-")</f>
        <v>DUQUECO_23</v>
      </c>
      <c r="H18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82" spans="1:8">
      <c r="A182" t="s">
        <v>6543</v>
      </c>
      <c r="B182" t="s">
        <v>6544</v>
      </c>
      <c r="C182" t="s">
        <v>1278</v>
      </c>
      <c r="D182" t="s">
        <v>1756</v>
      </c>
      <c r="E182" t="s">
        <v>6545</v>
      </c>
      <c r="F182" t="s">
        <v>1583</v>
      </c>
      <c r="G182" s="9" t="str">
        <f>+IF(PMG_D__Remuneracion[[#This Row],[Precio Valorizado]]="Nudo",VLOOKUP(PMG_D__Remuneracion[[#This Row],[Barra]]&amp;"_"&amp;PMG_D__Remuneracion[[#This Row],[Tensión]],Tabla3[aux],1,0),"-")</f>
        <v>S.RAFAEL_S_13</v>
      </c>
      <c r="H18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83" spans="1:8">
      <c r="A183" t="s">
        <v>3336</v>
      </c>
      <c r="B183" t="s">
        <v>3337</v>
      </c>
      <c r="C183" t="s">
        <v>1507</v>
      </c>
      <c r="D183" t="s">
        <v>1754</v>
      </c>
      <c r="E183" t="s">
        <v>6317</v>
      </c>
      <c r="F183" t="s">
        <v>1583</v>
      </c>
      <c r="G183" s="9" t="str">
        <f>+IF(PMG_D__Remuneracion[[#This Row],[Precio Valorizado]]="Nudo",VLOOKUP(PMG_D__Remuneracion[[#This Row],[Barra]]&amp;"_"&amp;PMG_D__Remuneracion[[#This Row],[Tensión]],Tabla3[aux],1,0),"-")</f>
        <v>TUNICHE_15</v>
      </c>
      <c r="H18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84" spans="1:8">
      <c r="A184" t="s">
        <v>3315</v>
      </c>
      <c r="B184" t="s">
        <v>3316</v>
      </c>
      <c r="C184" t="s">
        <v>1090</v>
      </c>
      <c r="D184" t="s">
        <v>1755</v>
      </c>
      <c r="E184" t="s">
        <v>3317</v>
      </c>
      <c r="F184" t="s">
        <v>1758</v>
      </c>
      <c r="G184" s="9" t="str">
        <f>+IF(PMG_D__Remuneracion[[#This Row],[Precio Valorizado]]="Nudo",VLOOKUP(PMG_D__Remuneracion[[#This Row],[Barra]]&amp;"_"&amp;PMG_D__Remuneracion[[#This Row],[Tensión]],Tabla3[aux],1,0),"-")</f>
        <v>-</v>
      </c>
      <c r="H184" s="9" t="str">
        <f>+IF(PMG_D__Remuneracion[[#This Row],[Precio Valorizado]]="Estabilizado",VLOOKUP(PMG_D__Remuneracion[[#This Row],[Barra]]&amp;"_"&amp;PMG_D__Remuneracion[[#This Row],[Tensión]],'FACTORES DE REFERENCIACION'!N:N,1,0),"-")</f>
        <v>POLPAICO_23</v>
      </c>
    </row>
    <row r="185" spans="1:8">
      <c r="A185" t="s">
        <v>2121</v>
      </c>
      <c r="B185" t="s">
        <v>2122</v>
      </c>
      <c r="C185" t="s">
        <v>666</v>
      </c>
      <c r="D185" t="s">
        <v>1756</v>
      </c>
      <c r="E185" t="s">
        <v>2123</v>
      </c>
      <c r="F185" t="s">
        <v>1583</v>
      </c>
      <c r="G185" s="9" t="str">
        <f>+IF(PMG_D__Remuneracion[[#This Row],[Precio Valorizado]]="Nudo",VLOOKUP(PMG_D__Remuneracion[[#This Row],[Barra]]&amp;"_"&amp;PMG_D__Remuneracion[[#This Row],[Tensión]],Tabla3[aux],1,0),"-")</f>
        <v>LASARANAS_13</v>
      </c>
      <c r="H18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86" spans="1:8">
      <c r="A186" t="s">
        <v>2124</v>
      </c>
      <c r="B186" t="s">
        <v>2125</v>
      </c>
      <c r="C186" t="s">
        <v>739</v>
      </c>
      <c r="D186" t="s">
        <v>1756</v>
      </c>
      <c r="E186" t="s">
        <v>2126</v>
      </c>
      <c r="F186" t="s">
        <v>1583</v>
      </c>
      <c r="G186" s="9" t="str">
        <f>+IF(PMG_D__Remuneracion[[#This Row],[Precio Valorizado]]="Nudo",VLOOKUP(PMG_D__Remuneracion[[#This Row],[Barra]]&amp;"_"&amp;PMG_D__Remuneracion[[#This Row],[Tensión]],Tabla3[aux],1,0),"-")</f>
        <v>LONGAVI_13</v>
      </c>
      <c r="H18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87" spans="1:8">
      <c r="A187" t="s">
        <v>2127</v>
      </c>
      <c r="B187" t="s">
        <v>2128</v>
      </c>
      <c r="C187" t="s">
        <v>1286</v>
      </c>
      <c r="D187" t="s">
        <v>1756</v>
      </c>
      <c r="E187" t="s">
        <v>2667</v>
      </c>
      <c r="F187" t="s">
        <v>1583</v>
      </c>
      <c r="G187" s="9" t="str">
        <f>+IF(PMG_D__Remuneracion[[#This Row],[Precio Valorizado]]="Nudo",VLOOKUP(PMG_D__Remuneracion[[#This Row],[Barra]]&amp;"_"&amp;PMG_D__Remuneracion[[#This Row],[Tensión]],Tabla3[aux],1,0),"-")</f>
        <v>S.VICENTETT_13</v>
      </c>
      <c r="H18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88" spans="1:8">
      <c r="A188" t="s">
        <v>2129</v>
      </c>
      <c r="B188" t="s">
        <v>2130</v>
      </c>
      <c r="C188" t="s">
        <v>342</v>
      </c>
      <c r="D188" t="s">
        <v>1755</v>
      </c>
      <c r="E188" t="s">
        <v>2131</v>
      </c>
      <c r="F188" t="s">
        <v>1583</v>
      </c>
      <c r="G188" s="9" t="str">
        <f>+IF(PMG_D__Remuneracion[[#This Row],[Precio Valorizado]]="Nudo",VLOOKUP(PMG_D__Remuneracion[[#This Row],[Barra]]&amp;"_"&amp;PMG_D__Remuneracion[[#This Row],[Tensión]],Tabla3[aux],1,0),"-")</f>
        <v>CONSTIT1_23</v>
      </c>
      <c r="H18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89" spans="1:8">
      <c r="A189" t="s">
        <v>2132</v>
      </c>
      <c r="B189" t="s">
        <v>2133</v>
      </c>
      <c r="C189" t="s">
        <v>567</v>
      </c>
      <c r="D189" t="s">
        <v>1756</v>
      </c>
      <c r="E189" t="s">
        <v>2134</v>
      </c>
      <c r="F189" t="s">
        <v>1583</v>
      </c>
      <c r="G189" s="9" t="str">
        <f>+IF(PMG_D__Remuneracion[[#This Row],[Precio Valorizado]]="Nudo",VLOOKUP(PMG_D__Remuneracion[[#This Row],[Barra]]&amp;"_"&amp;PMG_D__Remuneracion[[#This Row],[Tensión]],Tabla3[aux],1,0),"-")</f>
        <v>L.CABRAS_13</v>
      </c>
      <c r="H18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90" spans="1:8">
      <c r="A190" t="s">
        <v>2135</v>
      </c>
      <c r="B190" t="s">
        <v>2136</v>
      </c>
      <c r="C190" t="s">
        <v>525</v>
      </c>
      <c r="D190" t="s">
        <v>1756</v>
      </c>
      <c r="E190" t="s">
        <v>3206</v>
      </c>
      <c r="F190" t="s">
        <v>1583</v>
      </c>
      <c r="G190" s="9" t="str">
        <f>+IF(PMG_D__Remuneracion[[#This Row],[Precio Valorizado]]="Nudo",VLOOKUP(PMG_D__Remuneracion[[#This Row],[Barra]]&amp;"_"&amp;PMG_D__Remuneracion[[#This Row],[Tensión]],Tabla3[aux],1,0),"-")</f>
        <v>HUALTE_13</v>
      </c>
      <c r="H19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91" spans="1:8">
      <c r="A191" t="s">
        <v>2137</v>
      </c>
      <c r="B191" t="s">
        <v>2138</v>
      </c>
      <c r="C191" t="s">
        <v>525</v>
      </c>
      <c r="D191" t="s">
        <v>1756</v>
      </c>
      <c r="E191" t="s">
        <v>3206</v>
      </c>
      <c r="F191" t="s">
        <v>1583</v>
      </c>
      <c r="G191" s="9" t="str">
        <f>+IF(PMG_D__Remuneracion[[#This Row],[Precio Valorizado]]="Nudo",VLOOKUP(PMG_D__Remuneracion[[#This Row],[Barra]]&amp;"_"&amp;PMG_D__Remuneracion[[#This Row],[Tensión]],Tabla3[aux],1,0),"-")</f>
        <v>HUALTE_13</v>
      </c>
      <c r="H19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92" spans="1:8">
      <c r="A192" t="s">
        <v>2139</v>
      </c>
      <c r="B192" t="s">
        <v>2140</v>
      </c>
      <c r="C192" t="s">
        <v>1026</v>
      </c>
      <c r="D192" t="s">
        <v>1756</v>
      </c>
      <c r="E192" t="s">
        <v>2141</v>
      </c>
      <c r="F192" t="s">
        <v>1583</v>
      </c>
      <c r="G192" s="9" t="str">
        <f>+IF(PMG_D__Remuneracion[[#This Row],[Precio Valorizado]]="Nudo",VLOOKUP(PMG_D__Remuneracion[[#This Row],[Barra]]&amp;"_"&amp;PMG_D__Remuneracion[[#This Row],[Tensión]],Tabla3[aux],1,0),"-")</f>
        <v>PASO_HONDO_13</v>
      </c>
      <c r="H19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93" spans="1:8">
      <c r="A193" t="s">
        <v>2142</v>
      </c>
      <c r="B193" t="s">
        <v>2143</v>
      </c>
      <c r="C193" t="s">
        <v>1166</v>
      </c>
      <c r="D193" t="s">
        <v>1756</v>
      </c>
      <c r="E193" t="s">
        <v>2144</v>
      </c>
      <c r="F193" t="s">
        <v>1758</v>
      </c>
      <c r="G193" s="9" t="str">
        <f>+IF(PMG_D__Remuneracion[[#This Row],[Precio Valorizado]]="Nudo",VLOOKUP(PMG_D__Remuneracion[[#This Row],[Barra]]&amp;"_"&amp;PMG_D__Remuneracion[[#This Row],[Tensión]],Tabla3[aux],1,0),"-")</f>
        <v>-</v>
      </c>
      <c r="H193" s="9" t="str">
        <f>+IF(PMG_D__Remuneracion[[#This Row],[Precio Valorizado]]="Estabilizado",VLOOKUP(PMG_D__Remuneracion[[#This Row],[Barra]]&amp;"_"&amp;PMG_D__Remuneracion[[#This Row],[Tensión]],'FACTORES DE REFERENCIACION'!N:N,1,0),"-")</f>
        <v>QUINTA_13</v>
      </c>
    </row>
    <row r="194" spans="1:8">
      <c r="A194" t="s">
        <v>2145</v>
      </c>
      <c r="B194" t="s">
        <v>2146</v>
      </c>
      <c r="C194" t="s">
        <v>693</v>
      </c>
      <c r="D194" t="s">
        <v>1756</v>
      </c>
      <c r="E194" t="s">
        <v>2147</v>
      </c>
      <c r="F194" t="s">
        <v>1583</v>
      </c>
      <c r="G194" s="9" t="str">
        <f>+IF(PMG_D__Remuneracion[[#This Row],[Precio Valorizado]]="Nudo",VLOOKUP(PMG_D__Remuneracion[[#This Row],[Barra]]&amp;"_"&amp;PMG_D__Remuneracion[[#This Row],[Tensión]],Tabla3[aux],1,0),"-")</f>
        <v>LICANTEN_13</v>
      </c>
      <c r="H19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95" spans="1:8">
      <c r="A195" t="s">
        <v>2148</v>
      </c>
      <c r="B195" t="s">
        <v>2149</v>
      </c>
      <c r="C195" t="s">
        <v>441</v>
      </c>
      <c r="D195" t="s">
        <v>1754</v>
      </c>
      <c r="E195" t="s">
        <v>2150</v>
      </c>
      <c r="F195" t="s">
        <v>1583</v>
      </c>
      <c r="G195" s="9" t="str">
        <f>+IF(PMG_D__Remuneracion[[#This Row],[Precio Valorizado]]="Nudo",VLOOKUP(PMG_D__Remuneracion[[#This Row],[Barra]]&amp;"_"&amp;PMG_D__Remuneracion[[#This Row],[Tensión]],Tabla3[aux],1,0),"-")</f>
        <v>ELMANZANO_15</v>
      </c>
      <c r="H19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96" spans="1:8">
      <c r="A196" t="s">
        <v>2151</v>
      </c>
      <c r="B196" t="s">
        <v>2152</v>
      </c>
      <c r="C196" t="s">
        <v>1547</v>
      </c>
      <c r="D196" t="s">
        <v>1756</v>
      </c>
      <c r="E196" t="s">
        <v>2153</v>
      </c>
      <c r="F196" t="s">
        <v>1583</v>
      </c>
      <c r="G196" s="9" t="str">
        <f>+IF(PMG_D__Remuneracion[[#This Row],[Precio Valorizado]]="Nudo",VLOOKUP(PMG_D__Remuneracion[[#This Row],[Barra]]&amp;"_"&amp;PMG_D__Remuneracion[[#This Row],[Tensión]],Tabla3[aux],1,0),"-")</f>
        <v>Y.BUENAS_13</v>
      </c>
      <c r="H19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97" spans="1:8">
      <c r="A197" t="s">
        <v>2154</v>
      </c>
      <c r="B197" t="s">
        <v>2155</v>
      </c>
      <c r="C197" t="s">
        <v>212</v>
      </c>
      <c r="D197" t="s">
        <v>1756</v>
      </c>
      <c r="E197" t="s">
        <v>2156</v>
      </c>
      <c r="F197" t="s">
        <v>1583</v>
      </c>
      <c r="G197" s="9" t="str">
        <f>+IF(PMG_D__Remuneracion[[#This Row],[Precio Valorizado]]="Nudo",VLOOKUP(PMG_D__Remuneracion[[#This Row],[Barra]]&amp;"_"&amp;PMG_D__Remuneracion[[#This Row],[Tensión]],Tabla3[aux],1,0),"-")</f>
        <v>CATEMU_13</v>
      </c>
      <c r="H19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98" spans="1:8">
      <c r="A198" t="s">
        <v>2157</v>
      </c>
      <c r="B198" t="s">
        <v>2158</v>
      </c>
      <c r="C198" t="s">
        <v>1162</v>
      </c>
      <c r="D198" t="s">
        <v>1755</v>
      </c>
      <c r="E198" t="s">
        <v>3206</v>
      </c>
      <c r="F198" t="s">
        <v>1583</v>
      </c>
      <c r="G198" s="9" t="str">
        <f>+IF(PMG_D__Remuneracion[[#This Row],[Precio Valorizado]]="Nudo",VLOOKUP(PMG_D__Remuneracion[[#This Row],[Barra]]&amp;"_"&amp;PMG_D__Remuneracion[[#This Row],[Tensión]],Tabla3[aux],1,0),"-")</f>
        <v>QUINQUIMO_23</v>
      </c>
      <c r="H19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199" spans="1:8">
      <c r="A199" t="s">
        <v>2159</v>
      </c>
      <c r="B199" t="s">
        <v>2160</v>
      </c>
      <c r="C199" t="s">
        <v>743</v>
      </c>
      <c r="D199" t="s">
        <v>1754</v>
      </c>
      <c r="E199" t="s">
        <v>2161</v>
      </c>
      <c r="F199" t="s">
        <v>1583</v>
      </c>
      <c r="G199" s="9" t="str">
        <f>+IF(PMG_D__Remuneracion[[#This Row],[Precio Valorizado]]="Nudo",VLOOKUP(PMG_D__Remuneracion[[#This Row],[Barra]]&amp;"_"&amp;PMG_D__Remuneracion[[#This Row],[Tensión]],Tabla3[aux],1,0),"-")</f>
        <v>LORETO_15</v>
      </c>
      <c r="H19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00" spans="1:8">
      <c r="A200" t="s">
        <v>2162</v>
      </c>
      <c r="B200" t="s">
        <v>2163</v>
      </c>
      <c r="C200" t="s">
        <v>1212</v>
      </c>
      <c r="D200" t="s">
        <v>1756</v>
      </c>
      <c r="E200" t="s">
        <v>2164</v>
      </c>
      <c r="F200" t="s">
        <v>1583</v>
      </c>
      <c r="G200" s="9" t="str">
        <f>+IF(PMG_D__Remuneracion[[#This Row],[Precio Valorizado]]="Nudo",VLOOKUP(PMG_D__Remuneracion[[#This Row],[Barra]]&amp;"_"&amp;PMG_D__Remuneracion[[#This Row],[Tensión]],Tabla3[aux],1,0),"-")</f>
        <v>RENGO_13</v>
      </c>
      <c r="H20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01" spans="1:8">
      <c r="A201" t="s">
        <v>2165</v>
      </c>
      <c r="B201" t="s">
        <v>2166</v>
      </c>
      <c r="C201" t="s">
        <v>444</v>
      </c>
      <c r="D201" t="s">
        <v>1756</v>
      </c>
      <c r="E201" t="s">
        <v>2167</v>
      </c>
      <c r="F201" t="s">
        <v>1583</v>
      </c>
      <c r="G201" s="9" t="str">
        <f>+IF(PMG_D__Remuneracion[[#This Row],[Precio Valorizado]]="Nudo",VLOOKUP(PMG_D__Remuneracion[[#This Row],[Barra]]&amp;"_"&amp;PMG_D__Remuneracion[[#This Row],[Tensión]],Tabla3[aux],1,0),"-")</f>
        <v>ELMONTE_13</v>
      </c>
      <c r="H20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02" spans="1:8">
      <c r="A202" t="s">
        <v>2168</v>
      </c>
      <c r="B202" t="s">
        <v>2169</v>
      </c>
      <c r="C202" t="s">
        <v>903</v>
      </c>
      <c r="D202" t="s">
        <v>1755</v>
      </c>
      <c r="E202" t="s">
        <v>2170</v>
      </c>
      <c r="F202" t="s">
        <v>1758</v>
      </c>
      <c r="G202" s="9" t="str">
        <f>+IF(PMG_D__Remuneracion[[#This Row],[Precio Valorizado]]="Nudo",VLOOKUP(PMG_D__Remuneracion[[#This Row],[Barra]]&amp;"_"&amp;PMG_D__Remuneracion[[#This Row],[Tensión]],Tabla3[aux],1,0),"-")</f>
        <v>-</v>
      </c>
      <c r="H202" s="9" t="str">
        <f>+IF(PMG_D__Remuneracion[[#This Row],[Precio Valorizado]]="Estabilizado",VLOOKUP(PMG_D__Remuneracion[[#This Row],[Barra]]&amp;"_"&amp;PMG_D__Remuneracion[[#This Row],[Tensión]],'FACTORES DE REFERENCIACION'!N:N,1,0),"-")</f>
        <v>NEGRETE_23</v>
      </c>
    </row>
    <row r="203" spans="1:8">
      <c r="A203" t="s">
        <v>2171</v>
      </c>
      <c r="B203" t="s">
        <v>2172</v>
      </c>
      <c r="C203" t="s">
        <v>563</v>
      </c>
      <c r="D203" t="s">
        <v>1756</v>
      </c>
      <c r="E203" t="s">
        <v>6400</v>
      </c>
      <c r="F203" t="s">
        <v>1583</v>
      </c>
      <c r="G203" s="9" t="str">
        <f>+IF(PMG_D__Remuneracion[[#This Row],[Precio Valorizado]]="Nudo",VLOOKUP(PMG_D__Remuneracion[[#This Row],[Barra]]&amp;"_"&amp;PMG_D__Remuneracion[[#This Row],[Tensión]],Tabla3[aux],1,0),"-")</f>
        <v>L.ANGELES_13</v>
      </c>
      <c r="H20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04" spans="1:8">
      <c r="A204" t="s">
        <v>3241</v>
      </c>
      <c r="B204" t="s">
        <v>3273</v>
      </c>
      <c r="C204" t="s">
        <v>775</v>
      </c>
      <c r="D204" t="s">
        <v>1756</v>
      </c>
      <c r="E204" t="s">
        <v>6345</v>
      </c>
      <c r="F204" t="s">
        <v>1583</v>
      </c>
      <c r="G204" s="9" t="str">
        <f>+IF(PMG_D__Remuneracion[[#This Row],[Precio Valorizado]]="Nudo",VLOOKUP(PMG_D__Remuneracion[[#This Row],[Barra]]&amp;"_"&amp;PMG_D__Remuneracion[[#This Row],[Tensión]],Tabla3[aux],1,0),"-")</f>
        <v>M.PATRIA_13</v>
      </c>
      <c r="H20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05" spans="1:8">
      <c r="A205" t="s">
        <v>2173</v>
      </c>
      <c r="B205" t="s">
        <v>2174</v>
      </c>
      <c r="C205" t="s">
        <v>132</v>
      </c>
      <c r="D205" t="s">
        <v>1756</v>
      </c>
      <c r="E205" t="s">
        <v>3099</v>
      </c>
      <c r="F205" t="s">
        <v>1583</v>
      </c>
      <c r="G205" s="9" t="str">
        <f>+IF(PMG_D__Remuneracion[[#This Row],[Precio Valorizado]]="Nudo",VLOOKUP(PMG_D__Remuneracion[[#This Row],[Barra]]&amp;"_"&amp;PMG_D__Remuneracion[[#This Row],[Tensión]],Tabla3[aux],1,0),"-")</f>
        <v>BUIN_13</v>
      </c>
      <c r="H20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06" spans="1:8">
      <c r="A206" t="s">
        <v>2175</v>
      </c>
      <c r="B206" t="s">
        <v>2176</v>
      </c>
      <c r="C206" t="s">
        <v>1501</v>
      </c>
      <c r="D206" t="s">
        <v>1756</v>
      </c>
      <c r="E206" t="s">
        <v>2177</v>
      </c>
      <c r="F206" t="s">
        <v>1583</v>
      </c>
      <c r="G206" s="9" t="str">
        <f>+IF(PMG_D__Remuneracion[[#This Row],[Precio Valorizado]]="Nudo",VLOOKUP(PMG_D__Remuneracion[[#This Row],[Barra]]&amp;"_"&amp;PMG_D__Remuneracion[[#This Row],[Tensión]],Tabla3[aux],1,0),"-")</f>
        <v>TRESESQUINAS_13</v>
      </c>
      <c r="H20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07" spans="1:8">
      <c r="A207" t="s">
        <v>2178</v>
      </c>
      <c r="B207" t="s">
        <v>2179</v>
      </c>
      <c r="C207" t="s">
        <v>118</v>
      </c>
      <c r="D207" t="s">
        <v>1756</v>
      </c>
      <c r="E207" t="s">
        <v>3206</v>
      </c>
      <c r="F207" t="s">
        <v>1583</v>
      </c>
      <c r="G207" s="9" t="str">
        <f>+IF(PMG_D__Remuneracion[[#This Row],[Precio Valorizado]]="Nudo",VLOOKUP(PMG_D__Remuneracion[[#This Row],[Barra]]&amp;"_"&amp;PMG_D__Remuneracion[[#This Row],[Tensión]],Tabla3[aux],1,0),"-")</f>
        <v>BOLLENAR_13</v>
      </c>
      <c r="H20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08" spans="1:8">
      <c r="A208" t="s">
        <v>2180</v>
      </c>
      <c r="B208" t="s">
        <v>2181</v>
      </c>
      <c r="C208" t="s">
        <v>158</v>
      </c>
      <c r="D208" t="s">
        <v>1755</v>
      </c>
      <c r="E208" t="s">
        <v>2182</v>
      </c>
      <c r="F208" t="s">
        <v>1583</v>
      </c>
      <c r="G208" s="9" t="str">
        <f>+IF(PMG_D__Remuneracion[[#This Row],[Precio Valorizado]]="Nudo",VLOOKUP(PMG_D__Remuneracion[[#This Row],[Barra]]&amp;"_"&amp;PMG_D__Remuneracion[[#This Row],[Tensión]],Tabla3[aux],1,0),"-")</f>
        <v>CABILDO_23</v>
      </c>
      <c r="H20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09" spans="1:8">
      <c r="A209" t="s">
        <v>2183</v>
      </c>
      <c r="B209" t="s">
        <v>2184</v>
      </c>
      <c r="C209" t="s">
        <v>441</v>
      </c>
      <c r="D209" t="s">
        <v>1754</v>
      </c>
      <c r="E209" t="s">
        <v>1806</v>
      </c>
      <c r="F209" t="s">
        <v>1583</v>
      </c>
      <c r="G209" s="9" t="str">
        <f>+IF(PMG_D__Remuneracion[[#This Row],[Precio Valorizado]]="Nudo",VLOOKUP(PMG_D__Remuneracion[[#This Row],[Barra]]&amp;"_"&amp;PMG_D__Remuneracion[[#This Row],[Tensión]],Tabla3[aux],1,0),"-")</f>
        <v>ELMANZANO_15</v>
      </c>
      <c r="H20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10" spans="1:8">
      <c r="A210" t="s">
        <v>2185</v>
      </c>
      <c r="B210" t="s">
        <v>2186</v>
      </c>
      <c r="C210" t="s">
        <v>328</v>
      </c>
      <c r="D210" t="s">
        <v>1756</v>
      </c>
      <c r="E210" t="s">
        <v>2187</v>
      </c>
      <c r="F210" t="s">
        <v>1583</v>
      </c>
      <c r="G210" s="9" t="str">
        <f>+IF(PMG_D__Remuneracion[[#This Row],[Precio Valorizado]]="Nudo",VLOOKUP(PMG_D__Remuneracion[[#This Row],[Barra]]&amp;"_"&amp;PMG_D__Remuneracion[[#This Row],[Tensión]],Tabla3[aux],1,0),"-")</f>
        <v>COMPANIA_13</v>
      </c>
      <c r="H21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11" spans="1:8">
      <c r="A211" t="s">
        <v>3318</v>
      </c>
      <c r="B211" t="s">
        <v>3319</v>
      </c>
      <c r="C211" t="s">
        <v>161</v>
      </c>
      <c r="D211" t="s">
        <v>1756</v>
      </c>
      <c r="E211" t="s">
        <v>3320</v>
      </c>
      <c r="F211" t="s">
        <v>1758</v>
      </c>
      <c r="G211" s="9" t="str">
        <f>+IF(PMG_D__Remuneracion[[#This Row],[Precio Valorizado]]="Nudo",VLOOKUP(PMG_D__Remuneracion[[#This Row],[Barra]]&amp;"_"&amp;PMG_D__Remuneracion[[#This Row],[Tensión]],Tabla3[aux],1,0),"-")</f>
        <v>-</v>
      </c>
      <c r="H211" s="9" t="str">
        <f>+IF(PMG_D__Remuneracion[[#This Row],[Precio Valorizado]]="Estabilizado",VLOOKUP(PMG_D__Remuneracion[[#This Row],[Barra]]&amp;"_"&amp;PMG_D__Remuneracion[[#This Row],[Tensión]],'FACTORES DE REFERENCIACION'!N:N,1,0),"-")</f>
        <v>CABRERO_13</v>
      </c>
    </row>
    <row r="212" spans="1:8">
      <c r="A212" t="s">
        <v>2188</v>
      </c>
      <c r="B212" t="s">
        <v>2189</v>
      </c>
      <c r="C212" t="s">
        <v>450</v>
      </c>
      <c r="D212" t="s">
        <v>1755</v>
      </c>
      <c r="E212" t="s">
        <v>2190</v>
      </c>
      <c r="F212" t="s">
        <v>1583</v>
      </c>
      <c r="G212" s="9" t="str">
        <f>+IF(PMG_D__Remuneracion[[#This Row],[Precio Valorizado]]="Nudo",VLOOKUP(PMG_D__Remuneracion[[#This Row],[Barra]]&amp;"_"&amp;PMG_D__Remuneracion[[#This Row],[Tensión]],Tabla3[aux],1,0),"-")</f>
        <v>ELPEUMO_23</v>
      </c>
      <c r="H21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13" spans="1:8">
      <c r="A213" t="s">
        <v>2191</v>
      </c>
      <c r="B213" t="s">
        <v>2192</v>
      </c>
      <c r="C213" t="s">
        <v>325</v>
      </c>
      <c r="D213" t="s">
        <v>1756</v>
      </c>
      <c r="E213" t="s">
        <v>2193</v>
      </c>
      <c r="F213" t="s">
        <v>1583</v>
      </c>
      <c r="G213" s="9" t="str">
        <f>+IF(PMG_D__Remuneracion[[#This Row],[Precio Valorizado]]="Nudo",VLOOKUP(PMG_D__Remuneracion[[#This Row],[Barra]]&amp;"_"&amp;PMG_D__Remuneracion[[#This Row],[Tensión]],Tabla3[aux],1,0),"-")</f>
        <v>COMBARBALA_13</v>
      </c>
      <c r="H21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14" spans="1:8">
      <c r="A214" t="s">
        <v>2194</v>
      </c>
      <c r="B214" t="s">
        <v>2195</v>
      </c>
      <c r="C214" t="s">
        <v>450</v>
      </c>
      <c r="D214" t="s">
        <v>1755</v>
      </c>
      <c r="E214" t="s">
        <v>2196</v>
      </c>
      <c r="F214" t="s">
        <v>1583</v>
      </c>
      <c r="G214" s="9" t="str">
        <f>+IF(PMG_D__Remuneracion[[#This Row],[Precio Valorizado]]="Nudo",VLOOKUP(PMG_D__Remuneracion[[#This Row],[Barra]]&amp;"_"&amp;PMG_D__Remuneracion[[#This Row],[Tensión]],Tabla3[aux],1,0),"-")</f>
        <v>ELPEUMO_23</v>
      </c>
      <c r="H21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15" spans="1:8">
      <c r="A215" t="s">
        <v>2197</v>
      </c>
      <c r="B215" t="s">
        <v>2198</v>
      </c>
      <c r="C215" t="s">
        <v>450</v>
      </c>
      <c r="D215" t="s">
        <v>1755</v>
      </c>
      <c r="E215" t="s">
        <v>6317</v>
      </c>
      <c r="F215" t="s">
        <v>1583</v>
      </c>
      <c r="G215" s="9" t="str">
        <f>+IF(PMG_D__Remuneracion[[#This Row],[Precio Valorizado]]="Nudo",VLOOKUP(PMG_D__Remuneracion[[#This Row],[Barra]]&amp;"_"&amp;PMG_D__Remuneracion[[#This Row],[Tensión]],Tabla3[aux],1,0),"-")</f>
        <v>ELPEUMO_23</v>
      </c>
      <c r="H21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16" spans="1:8">
      <c r="A216" t="s">
        <v>2199</v>
      </c>
      <c r="B216" t="s">
        <v>2200</v>
      </c>
      <c r="C216" t="s">
        <v>651</v>
      </c>
      <c r="D216" t="s">
        <v>1756</v>
      </c>
      <c r="E216" t="s">
        <v>2334</v>
      </c>
      <c r="F216" t="s">
        <v>1583</v>
      </c>
      <c r="G216" s="9" t="str">
        <f>+IF(PMG_D__Remuneracion[[#This Row],[Precio Valorizado]]="Nudo",VLOOKUP(PMG_D__Remuneracion[[#This Row],[Barra]]&amp;"_"&amp;PMG_D__Remuneracion[[#This Row],[Tensión]],Tabla3[aux],1,0),"-")</f>
        <v>LAPALMA_13</v>
      </c>
      <c r="H21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17" spans="1:8">
      <c r="A217" t="s">
        <v>3212</v>
      </c>
      <c r="B217" t="s">
        <v>3213</v>
      </c>
      <c r="C217" t="s">
        <v>474</v>
      </c>
      <c r="D217" t="s">
        <v>1756</v>
      </c>
      <c r="E217" t="s">
        <v>3214</v>
      </c>
      <c r="F217" t="s">
        <v>1758</v>
      </c>
      <c r="G217" s="9" t="str">
        <f>+IF(PMG_D__Remuneracion[[#This Row],[Precio Valorizado]]="Nudo",VLOOKUP(PMG_D__Remuneracion[[#This Row],[Barra]]&amp;"_"&amp;PMG_D__Remuneracion[[#This Row],[Tensión]],Tabla3[aux],1,0),"-")</f>
        <v>-</v>
      </c>
      <c r="H217" s="9" t="str">
        <f>+IF(PMG_D__Remuneracion[[#This Row],[Precio Valorizado]]="Estabilizado",VLOOKUP(PMG_D__Remuneracion[[#This Row],[Barra]]&amp;"_"&amp;PMG_D__Remuneracion[[#This Row],[Tensión]],'FACTORES DE REFERENCIACION'!N:N,1,0),"-")</f>
        <v>ESPERANZA_13</v>
      </c>
    </row>
    <row r="218" spans="1:8">
      <c r="A218" t="s">
        <v>2201</v>
      </c>
      <c r="B218" t="s">
        <v>2202</v>
      </c>
      <c r="C218" t="s">
        <v>1107</v>
      </c>
      <c r="D218" t="s">
        <v>1755</v>
      </c>
      <c r="E218" t="s">
        <v>3206</v>
      </c>
      <c r="F218" t="s">
        <v>1583</v>
      </c>
      <c r="G218" s="9" t="str">
        <f>+IF(PMG_D__Remuneracion[[#This Row],[Precio Valorizado]]="Nudo",VLOOKUP(PMG_D__Remuneracion[[#This Row],[Barra]]&amp;"_"&amp;PMG_D__Remuneracion[[#This Row],[Tensión]],Tabla3[aux],1,0),"-")</f>
        <v>PUEBLOSECO_23</v>
      </c>
      <c r="H21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19" spans="1:8">
      <c r="A219" t="s">
        <v>3215</v>
      </c>
      <c r="B219" t="s">
        <v>3216</v>
      </c>
      <c r="C219" t="s">
        <v>1273</v>
      </c>
      <c r="D219" t="s">
        <v>1756</v>
      </c>
      <c r="E219" t="s">
        <v>3217</v>
      </c>
      <c r="F219" t="s">
        <v>1583</v>
      </c>
      <c r="G219" s="9" t="str">
        <f>+IF(PMG_D__Remuneracion[[#This Row],[Precio Valorizado]]="Nudo",VLOOKUP(PMG_D__Remuneracion[[#This Row],[Barra]]&amp;"_"&amp;PMG_D__Remuneracion[[#This Row],[Tensión]],Tabla3[aux],1,0),"-")</f>
        <v>S.RAFAEL_13</v>
      </c>
      <c r="H21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20" spans="1:8">
      <c r="A220" t="s">
        <v>2203</v>
      </c>
      <c r="B220" t="s">
        <v>2204</v>
      </c>
      <c r="C220" t="s">
        <v>651</v>
      </c>
      <c r="D220" t="s">
        <v>1756</v>
      </c>
      <c r="E220" t="s">
        <v>1801</v>
      </c>
      <c r="F220" t="s">
        <v>1583</v>
      </c>
      <c r="G220" s="9" t="str">
        <f>+IF(PMG_D__Remuneracion[[#This Row],[Precio Valorizado]]="Nudo",VLOOKUP(PMG_D__Remuneracion[[#This Row],[Barra]]&amp;"_"&amp;PMG_D__Remuneracion[[#This Row],[Tensión]],Tabla3[aux],1,0),"-")</f>
        <v>LAPALMA_13</v>
      </c>
      <c r="H22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21" spans="1:8">
      <c r="A221" t="s">
        <v>2205</v>
      </c>
      <c r="B221" t="s">
        <v>2206</v>
      </c>
      <c r="C221" t="s">
        <v>739</v>
      </c>
      <c r="D221" t="s">
        <v>1756</v>
      </c>
      <c r="E221" t="s">
        <v>3206</v>
      </c>
      <c r="F221" t="s">
        <v>1583</v>
      </c>
      <c r="G221" s="9" t="str">
        <f>+IF(PMG_D__Remuneracion[[#This Row],[Precio Valorizado]]="Nudo",VLOOKUP(PMG_D__Remuneracion[[#This Row],[Barra]]&amp;"_"&amp;PMG_D__Remuneracion[[#This Row],[Tensión]],Tabla3[aux],1,0),"-")</f>
        <v>LONGAVI_13</v>
      </c>
      <c r="H22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22" spans="1:8">
      <c r="A222" t="s">
        <v>2207</v>
      </c>
      <c r="B222" t="s">
        <v>2208</v>
      </c>
      <c r="C222" t="s">
        <v>1194</v>
      </c>
      <c r="D222" t="s">
        <v>1756</v>
      </c>
      <c r="E222" t="s">
        <v>1801</v>
      </c>
      <c r="F222" t="s">
        <v>1583</v>
      </c>
      <c r="G222" s="9" t="str">
        <f>+IF(PMG_D__Remuneracion[[#This Row],[Precio Valorizado]]="Nudo",VLOOKUP(PMG_D__Remuneracion[[#This Row],[Barra]]&amp;"_"&amp;PMG_D__Remuneracion[[#This Row],[Tensión]],Tabla3[aux],1,0),"-")</f>
        <v>RANGUILI_13</v>
      </c>
      <c r="H22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23" spans="1:8">
      <c r="A223" t="s">
        <v>6560</v>
      </c>
      <c r="B223" t="s">
        <v>6561</v>
      </c>
      <c r="C223" t="s">
        <v>1343</v>
      </c>
      <c r="D223" t="s">
        <v>1756</v>
      </c>
      <c r="E223" t="s">
        <v>6491</v>
      </c>
      <c r="F223" t="s">
        <v>1583</v>
      </c>
      <c r="G223" s="9" t="str">
        <f>+IF(PMG_D__Remuneracion[[#This Row],[Precio Valorizado]]="Nudo",VLOOKUP(PMG_D__Remuneracion[[#This Row],[Barra]]&amp;"_"&amp;PMG_D__Remuneracion[[#This Row],[Tensión]],Tabla3[aux],1,0),"-")</f>
        <v>STA.ELVIRA_13</v>
      </c>
      <c r="H22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24" spans="1:8">
      <c r="A224" t="s">
        <v>2209</v>
      </c>
      <c r="B224" t="s">
        <v>2210</v>
      </c>
      <c r="C224" t="s">
        <v>144</v>
      </c>
      <c r="D224" t="s">
        <v>1755</v>
      </c>
      <c r="E224" t="s">
        <v>1785</v>
      </c>
      <c r="F224" t="s">
        <v>1583</v>
      </c>
      <c r="G224" s="9" t="str">
        <f>+IF(PMG_D__Remuneracion[[#This Row],[Precio Valorizado]]="Nudo",VLOOKUP(PMG_D__Remuneracion[[#This Row],[Barra]]&amp;"_"&amp;PMG_D__Remuneracion[[#This Row],[Tensión]],Tabla3[aux],1,0),"-")</f>
        <v>C.COMBARBALA_23</v>
      </c>
      <c r="H22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25" spans="1:8">
      <c r="A225" t="s">
        <v>2211</v>
      </c>
      <c r="B225" t="s">
        <v>2212</v>
      </c>
      <c r="C225" t="s">
        <v>377</v>
      </c>
      <c r="D225" t="s">
        <v>1756</v>
      </c>
      <c r="E225" t="s">
        <v>1814</v>
      </c>
      <c r="F225" t="s">
        <v>1583</v>
      </c>
      <c r="G225" s="9" t="str">
        <f>+IF(PMG_D__Remuneracion[[#This Row],[Precio Valorizado]]="Nudo",VLOOKUP(PMG_D__Remuneracion[[#This Row],[Barra]]&amp;"_"&amp;PMG_D__Remuneracion[[#This Row],[Tensión]],Tabla3[aux],1,0),"-")</f>
        <v>CURICO_13</v>
      </c>
      <c r="H22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26" spans="1:8">
      <c r="A226" t="s">
        <v>6589</v>
      </c>
      <c r="B226" t="s">
        <v>6590</v>
      </c>
      <c r="C226" t="s">
        <v>281</v>
      </c>
      <c r="D226" t="s">
        <v>1756</v>
      </c>
      <c r="E226" t="s">
        <v>6591</v>
      </c>
      <c r="F226" t="s">
        <v>1583</v>
      </c>
      <c r="G226" s="9" t="str">
        <f>+IF(PMG_D__Remuneracion[[#This Row],[Precio Valorizado]]="Nudo",VLOOKUP(PMG_D__Remuneracion[[#This Row],[Barra]]&amp;"_"&amp;PMG_D__Remuneracion[[#This Row],[Tensión]],Tabla3[aux],1,0),"-")</f>
        <v>CHOLGUAN_13</v>
      </c>
      <c r="H22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27" spans="1:8">
      <c r="A227" t="s">
        <v>2213</v>
      </c>
      <c r="B227" t="s">
        <v>2214</v>
      </c>
      <c r="C227" t="s">
        <v>212</v>
      </c>
      <c r="D227" t="s">
        <v>1756</v>
      </c>
      <c r="E227" t="s">
        <v>1828</v>
      </c>
      <c r="F227" t="s">
        <v>1583</v>
      </c>
      <c r="G227" s="9" t="str">
        <f>+IF(PMG_D__Remuneracion[[#This Row],[Precio Valorizado]]="Nudo",VLOOKUP(PMG_D__Remuneracion[[#This Row],[Barra]]&amp;"_"&amp;PMG_D__Remuneracion[[#This Row],[Tensión]],Tabla3[aux],1,0),"-")</f>
        <v>CATEMU_13</v>
      </c>
      <c r="H22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28" spans="1:8">
      <c r="A228" t="s">
        <v>6327</v>
      </c>
      <c r="B228" t="s">
        <v>6328</v>
      </c>
      <c r="C228" t="s">
        <v>1166</v>
      </c>
      <c r="D228" t="s">
        <v>1756</v>
      </c>
      <c r="E228" t="s">
        <v>6329</v>
      </c>
      <c r="F228" t="s">
        <v>1583</v>
      </c>
      <c r="G228" s="9" t="str">
        <f>+IF(PMG_D__Remuneracion[[#This Row],[Precio Valorizado]]="Nudo",VLOOKUP(PMG_D__Remuneracion[[#This Row],[Barra]]&amp;"_"&amp;PMG_D__Remuneracion[[#This Row],[Tensión]],Tabla3[aux],1,0),"-")</f>
        <v>QUINTA_13</v>
      </c>
      <c r="H22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29" spans="1:8">
      <c r="A229" t="s">
        <v>2215</v>
      </c>
      <c r="B229" t="s">
        <v>2216</v>
      </c>
      <c r="C229" t="s">
        <v>288</v>
      </c>
      <c r="D229" t="s">
        <v>1756</v>
      </c>
      <c r="E229" t="s">
        <v>2217</v>
      </c>
      <c r="F229" t="s">
        <v>1583</v>
      </c>
      <c r="G229" s="9" t="str">
        <f>+IF(PMG_D__Remuneracion[[#This Row],[Precio Valorizado]]="Nudo",VLOOKUP(PMG_D__Remuneracion[[#This Row],[Barra]]&amp;"_"&amp;PMG_D__Remuneracion[[#This Row],[Tensión]],Tabla3[aux],1,0),"-")</f>
        <v>CHUMAQUITO_13</v>
      </c>
      <c r="H22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30" spans="1:8">
      <c r="A230" t="s">
        <v>2218</v>
      </c>
      <c r="B230" t="s">
        <v>2219</v>
      </c>
      <c r="C230" t="s">
        <v>1245</v>
      </c>
      <c r="D230" t="s">
        <v>1756</v>
      </c>
      <c r="E230" t="s">
        <v>1801</v>
      </c>
      <c r="F230" t="s">
        <v>1583</v>
      </c>
      <c r="G230" s="9" t="str">
        <f>+IF(PMG_D__Remuneracion[[#This Row],[Precio Valorizado]]="Nudo",VLOOKUP(PMG_D__Remuneracion[[#This Row],[Barra]]&amp;"_"&amp;PMG_D__Remuneracion[[#This Row],[Tensión]],Tabla3[aux],1,0),"-")</f>
        <v>S.FELIPE_13</v>
      </c>
      <c r="H23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31" spans="1:8">
      <c r="A231" t="s">
        <v>2220</v>
      </c>
      <c r="B231" t="s">
        <v>2221</v>
      </c>
      <c r="C231" t="s">
        <v>1060</v>
      </c>
      <c r="D231" t="s">
        <v>1756</v>
      </c>
      <c r="E231" t="s">
        <v>2222</v>
      </c>
      <c r="F231" t="s">
        <v>1583</v>
      </c>
      <c r="G231" s="9" t="str">
        <f>+IF(PMG_D__Remuneracion[[#This Row],[Precio Valorizado]]="Nudo",VLOOKUP(PMG_D__Remuneracion[[#This Row],[Barra]]&amp;"_"&amp;PMG_D__Remuneracion[[#This Row],[Tensión]],Tabla3[aux],1,0),"-")</f>
        <v>PIDUCO_13</v>
      </c>
      <c r="H23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32" spans="1:8">
      <c r="A232" t="s">
        <v>2223</v>
      </c>
      <c r="B232" t="s">
        <v>2224</v>
      </c>
      <c r="C232" t="s">
        <v>1245</v>
      </c>
      <c r="D232" t="s">
        <v>1756</v>
      </c>
      <c r="E232" t="s">
        <v>2225</v>
      </c>
      <c r="F232" t="s">
        <v>1583</v>
      </c>
      <c r="G232" s="9" t="str">
        <f>+IF(PMG_D__Remuneracion[[#This Row],[Precio Valorizado]]="Nudo",VLOOKUP(PMG_D__Remuneracion[[#This Row],[Barra]]&amp;"_"&amp;PMG_D__Remuneracion[[#This Row],[Tensión]],Tabla3[aux],1,0),"-")</f>
        <v>S.FELIPE_13</v>
      </c>
      <c r="H23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33" spans="1:8">
      <c r="A233" t="s">
        <v>2226</v>
      </c>
      <c r="B233" t="s">
        <v>2227</v>
      </c>
      <c r="C233" t="s">
        <v>158</v>
      </c>
      <c r="D233" t="s">
        <v>1755</v>
      </c>
      <c r="E233" t="s">
        <v>2228</v>
      </c>
      <c r="F233" t="s">
        <v>1583</v>
      </c>
      <c r="G233" s="9" t="str">
        <f>+IF(PMG_D__Remuneracion[[#This Row],[Precio Valorizado]]="Nudo",VLOOKUP(PMG_D__Remuneracion[[#This Row],[Barra]]&amp;"_"&amp;PMG_D__Remuneracion[[#This Row],[Tensión]],Tabla3[aux],1,0),"-")</f>
        <v>CABILDO_23</v>
      </c>
      <c r="H23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34" spans="1:8">
      <c r="A234" t="s">
        <v>6346</v>
      </c>
      <c r="B234" t="s">
        <v>6347</v>
      </c>
      <c r="C234" t="s">
        <v>1019</v>
      </c>
      <c r="D234" t="s">
        <v>1756</v>
      </c>
      <c r="E234" t="s">
        <v>6348</v>
      </c>
      <c r="F234" t="s">
        <v>1583</v>
      </c>
      <c r="G234" s="9" t="str">
        <f>+IF(PMG_D__Remuneracion[[#This Row],[Precio Valorizado]]="Nudo",VLOOKUP(PMG_D__Remuneracion[[#This Row],[Barra]]&amp;"_"&amp;PMG_D__Remuneracion[[#This Row],[Tensión]],Tabla3[aux],1,0),"-")</f>
        <v>PARRAL_13</v>
      </c>
      <c r="H23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35" spans="1:8">
      <c r="A235" t="s">
        <v>6378</v>
      </c>
      <c r="B235" t="s">
        <v>6379</v>
      </c>
      <c r="C235" t="s">
        <v>118</v>
      </c>
      <c r="D235" t="s">
        <v>1756</v>
      </c>
      <c r="E235" t="s">
        <v>6380</v>
      </c>
      <c r="F235" t="s">
        <v>1583</v>
      </c>
      <c r="G235" s="9" t="str">
        <f>+IF(PMG_D__Remuneracion[[#This Row],[Precio Valorizado]]="Nudo",VLOOKUP(PMG_D__Remuneracion[[#This Row],[Barra]]&amp;"_"&amp;PMG_D__Remuneracion[[#This Row],[Tensión]],Tabla3[aux],1,0),"-")</f>
        <v>BOLLENAR_13</v>
      </c>
      <c r="H23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36" spans="1:8">
      <c r="A236" t="s">
        <v>2229</v>
      </c>
      <c r="B236" t="s">
        <v>2230</v>
      </c>
      <c r="C236" t="s">
        <v>48</v>
      </c>
      <c r="D236" t="s">
        <v>1755</v>
      </c>
      <c r="E236" t="s">
        <v>2231</v>
      </c>
      <c r="F236" t="s">
        <v>1583</v>
      </c>
      <c r="G236" s="9" t="str">
        <f>+IF(PMG_D__Remuneracion[[#This Row],[Precio Valorizado]]="Nudo",VLOOKUP(PMG_D__Remuneracion[[#This Row],[Barra]]&amp;"_"&amp;PMG_D__Remuneracion[[#This Row],[Tensión]],Tabla3[aux],1,0),"-")</f>
        <v>ALHUE_23</v>
      </c>
      <c r="H23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37" spans="1:8">
      <c r="A237" t="s">
        <v>2232</v>
      </c>
      <c r="B237" t="s">
        <v>2233</v>
      </c>
      <c r="C237" t="s">
        <v>1259</v>
      </c>
      <c r="D237" t="s">
        <v>1756</v>
      </c>
      <c r="E237" t="s">
        <v>2234</v>
      </c>
      <c r="F237" t="s">
        <v>1583</v>
      </c>
      <c r="G237" s="9" t="str">
        <f>+IF(PMG_D__Remuneracion[[#This Row],[Precio Valorizado]]="Nudo",VLOOKUP(PMG_D__Remuneracion[[#This Row],[Barra]]&amp;"_"&amp;PMG_D__Remuneracion[[#This Row],[Tensión]],Tabla3[aux],1,0),"-")</f>
        <v>S.JERONIMO_13</v>
      </c>
      <c r="H23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38" spans="1:8">
      <c r="A238" t="s">
        <v>2235</v>
      </c>
      <c r="B238" t="s">
        <v>2236</v>
      </c>
      <c r="C238" t="s">
        <v>837</v>
      </c>
      <c r="D238" t="s">
        <v>1756</v>
      </c>
      <c r="E238" t="s">
        <v>2237</v>
      </c>
      <c r="F238" t="s">
        <v>1583</v>
      </c>
      <c r="G238" s="9" t="str">
        <f>+IF(PMG_D__Remuneracion[[#This Row],[Precio Valorizado]]="Nudo",VLOOKUP(PMG_D__Remuneracion[[#This Row],[Barra]]&amp;"_"&amp;PMG_D__Remuneracion[[#This Row],[Tensión]],Tabla3[aux],1,0),"-")</f>
        <v>MEJILLONES_13</v>
      </c>
      <c r="H23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39" spans="1:8">
      <c r="A239" t="s">
        <v>3321</v>
      </c>
      <c r="B239" t="s">
        <v>3322</v>
      </c>
      <c r="C239" t="s">
        <v>714</v>
      </c>
      <c r="D239" t="s">
        <v>1759</v>
      </c>
      <c r="E239" t="s">
        <v>2667</v>
      </c>
      <c r="F239" t="s">
        <v>1583</v>
      </c>
      <c r="G239" s="9" t="str">
        <f>+IF(PMG_D__Remuneracion[[#This Row],[Precio Valorizado]]="Nudo",VLOOKUP(PMG_D__Remuneracion[[#This Row],[Barra]]&amp;"_"&amp;PMG_D__Remuneracion[[#This Row],[Tensión]],Tabla3[aux],1,0),"-")</f>
        <v>LO_AGUIRRE_12</v>
      </c>
      <c r="H23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40" spans="1:8">
      <c r="A240" t="s">
        <v>2238</v>
      </c>
      <c r="B240" t="s">
        <v>2239</v>
      </c>
      <c r="C240" t="s">
        <v>1245</v>
      </c>
      <c r="D240" t="s">
        <v>1756</v>
      </c>
      <c r="E240" t="s">
        <v>3206</v>
      </c>
      <c r="F240" t="s">
        <v>1583</v>
      </c>
      <c r="G240" s="9" t="str">
        <f>+IF(PMG_D__Remuneracion[[#This Row],[Precio Valorizado]]="Nudo",VLOOKUP(PMG_D__Remuneracion[[#This Row],[Barra]]&amp;"_"&amp;PMG_D__Remuneracion[[#This Row],[Tensión]],Tabla3[aux],1,0),"-")</f>
        <v>S.FELIPE_13</v>
      </c>
      <c r="H24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41" spans="1:8">
      <c r="A241" t="s">
        <v>2240</v>
      </c>
      <c r="B241" t="s">
        <v>2241</v>
      </c>
      <c r="C241" t="s">
        <v>493</v>
      </c>
      <c r="D241" t="s">
        <v>1759</v>
      </c>
      <c r="E241" t="s">
        <v>2242</v>
      </c>
      <c r="F241" t="s">
        <v>1583</v>
      </c>
      <c r="G241" s="9" t="str">
        <f>+IF(PMG_D__Remuneracion[[#This Row],[Precio Valorizado]]="Nudo",VLOOKUP(PMG_D__Remuneracion[[#This Row],[Barra]]&amp;"_"&amp;PMG_D__Remuneracion[[#This Row],[Tensión]],Tabla3[aux],1,0),"-")</f>
        <v>FLORIDA_12</v>
      </c>
      <c r="H24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42" spans="1:8">
      <c r="A242" t="s">
        <v>2243</v>
      </c>
      <c r="B242" t="s">
        <v>2244</v>
      </c>
      <c r="C242" t="s">
        <v>699</v>
      </c>
      <c r="D242" t="s">
        <v>1756</v>
      </c>
      <c r="E242" t="s">
        <v>2245</v>
      </c>
      <c r="F242" t="s">
        <v>1583</v>
      </c>
      <c r="G242" s="9" t="str">
        <f>+IF(PMG_D__Remuneracion[[#This Row],[Precio Valorizado]]="Nudo",VLOOKUP(PMG_D__Remuneracion[[#This Row],[Barra]]&amp;"_"&amp;PMG_D__Remuneracion[[#This Row],[Tensión]],Tabla3[aux],1,0),"-")</f>
        <v>LIN.NORTE_13</v>
      </c>
      <c r="H24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43" spans="1:8">
      <c r="A243" t="s">
        <v>3338</v>
      </c>
      <c r="B243" t="s">
        <v>3339</v>
      </c>
      <c r="C243" t="s">
        <v>204</v>
      </c>
      <c r="D243" t="s">
        <v>1755</v>
      </c>
      <c r="E243" t="s">
        <v>3340</v>
      </c>
      <c r="F243" t="s">
        <v>1758</v>
      </c>
      <c r="G243" s="9" t="str">
        <f>+IF(PMG_D__Remuneracion[[#This Row],[Precio Valorizado]]="Nudo",VLOOKUP(PMG_D__Remuneracion[[#This Row],[Barra]]&amp;"_"&amp;PMG_D__Remuneracion[[#This Row],[Tensión]],Tabla3[aux],1,0),"-")</f>
        <v>-</v>
      </c>
      <c r="H243" s="9" t="str">
        <f>+IF(PMG_D__Remuneracion[[#This Row],[Precio Valorizado]]="Estabilizado",VLOOKUP(PMG_D__Remuneracion[[#This Row],[Barra]]&amp;"_"&amp;PMG_D__Remuneracion[[#This Row],[Tensión]],'FACTORES DE REFERENCIACION'!N:N,1,0),"-")</f>
        <v>CASASVIEJAS_23</v>
      </c>
    </row>
    <row r="244" spans="1:8">
      <c r="A244" t="s">
        <v>2246</v>
      </c>
      <c r="B244" t="s">
        <v>2247</v>
      </c>
      <c r="C244" t="s">
        <v>504</v>
      </c>
      <c r="D244" t="s">
        <v>1754</v>
      </c>
      <c r="E244" t="s">
        <v>1840</v>
      </c>
      <c r="F244" t="s">
        <v>1583</v>
      </c>
      <c r="G244" s="9" t="str">
        <f>+IF(PMG_D__Remuneracion[[#This Row],[Precio Valorizado]]="Nudo",VLOOKUP(PMG_D__Remuneracion[[#This Row],[Barra]]&amp;"_"&amp;PMG_D__Remuneracion[[#This Row],[Tensión]],Tabla3[aux],1,0),"-")</f>
        <v>GRANEROS_15</v>
      </c>
      <c r="H24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45" spans="1:8">
      <c r="A245" t="s">
        <v>2248</v>
      </c>
      <c r="B245" t="s">
        <v>2249</v>
      </c>
      <c r="C245" t="s">
        <v>903</v>
      </c>
      <c r="D245" t="s">
        <v>1755</v>
      </c>
      <c r="E245" t="s">
        <v>3274</v>
      </c>
      <c r="F245" t="s">
        <v>1583</v>
      </c>
      <c r="G245" s="9" t="str">
        <f>+IF(PMG_D__Remuneracion[[#This Row],[Precio Valorizado]]="Nudo",VLOOKUP(PMG_D__Remuneracion[[#This Row],[Barra]]&amp;"_"&amp;PMG_D__Remuneracion[[#This Row],[Tensión]],Tabla3[aux],1,0),"-")</f>
        <v>NEGRETE_23</v>
      </c>
      <c r="H24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46" spans="1:8">
      <c r="A246" t="s">
        <v>2251</v>
      </c>
      <c r="B246" t="s">
        <v>2252</v>
      </c>
      <c r="C246" t="s">
        <v>108</v>
      </c>
      <c r="D246" t="s">
        <v>1756</v>
      </c>
      <c r="E246" t="s">
        <v>2253</v>
      </c>
      <c r="F246" t="s">
        <v>1583</v>
      </c>
      <c r="G246" s="9" t="str">
        <f>+IF(PMG_D__Remuneracion[[#This Row],[Precio Valorizado]]="Nudo",VLOOKUP(PMG_D__Remuneracion[[#This Row],[Barra]]&amp;"_"&amp;PMG_D__Remuneracion[[#This Row],[Tensión]],Tabla3[aux],1,0),"-")</f>
        <v>BATUCO_13</v>
      </c>
      <c r="H24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47" spans="1:8">
      <c r="A247" t="s">
        <v>2254</v>
      </c>
      <c r="B247" t="s">
        <v>2255</v>
      </c>
      <c r="C247" t="s">
        <v>1128</v>
      </c>
      <c r="D247" t="s">
        <v>1756</v>
      </c>
      <c r="E247" t="s">
        <v>6551</v>
      </c>
      <c r="F247" t="s">
        <v>1583</v>
      </c>
      <c r="G247" s="9" t="str">
        <f>+IF(PMG_D__Remuneracion[[#This Row],[Precio Valorizado]]="Nudo",VLOOKUP(PMG_D__Remuneracion[[#This Row],[Barra]]&amp;"_"&amp;PMG_D__Remuneracion[[#This Row],[Tensión]],Tabla3[aux],1,0),"-")</f>
        <v>QTILCOCO_13</v>
      </c>
      <c r="H24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48" spans="1:8">
      <c r="A248" t="s">
        <v>2256</v>
      </c>
      <c r="B248" t="s">
        <v>2257</v>
      </c>
      <c r="C248" t="s">
        <v>361</v>
      </c>
      <c r="D248" t="s">
        <v>1757</v>
      </c>
      <c r="E248" t="s">
        <v>2258</v>
      </c>
      <c r="F248" t="s">
        <v>1583</v>
      </c>
      <c r="G248" s="9" t="str">
        <f>+IF(PMG_D__Remuneracion[[#This Row],[Precio Valorizado]]="Nudo",VLOOKUP(PMG_D__Remuneracion[[#This Row],[Barra]]&amp;"_"&amp;PMG_D__Remuneracion[[#This Row],[Tensión]],Tabla3[aux],1,0),"-")</f>
        <v>CTR_MACHICURA_220</v>
      </c>
      <c r="H24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49" spans="1:8">
      <c r="A249" t="s">
        <v>2259</v>
      </c>
      <c r="B249" t="s">
        <v>2260</v>
      </c>
      <c r="C249" t="s">
        <v>1460</v>
      </c>
      <c r="D249" t="s">
        <v>1756</v>
      </c>
      <c r="E249" t="s">
        <v>2261</v>
      </c>
      <c r="F249" t="s">
        <v>1758</v>
      </c>
      <c r="G249" s="9" t="str">
        <f>+IF(PMG_D__Remuneracion[[#This Row],[Precio Valorizado]]="Nudo",VLOOKUP(PMG_D__Remuneracion[[#This Row],[Barra]]&amp;"_"&amp;PMG_D__Remuneracion[[#This Row],[Tensión]],Tabla3[aux],1,0),"-")</f>
        <v>-</v>
      </c>
      <c r="H249" s="9" t="str">
        <f>+IF(PMG_D__Remuneracion[[#This Row],[Precio Valorizado]]="Estabilizado",VLOOKUP(PMG_D__Remuneracion[[#This Row],[Barra]]&amp;"_"&amp;PMG_D__Remuneracion[[#This Row],[Tensión]],'FACTORES DE REFERENCIACION'!N:N,1,0),"-")</f>
        <v>TENO_13</v>
      </c>
    </row>
    <row r="250" spans="1:8">
      <c r="A250" t="s">
        <v>2262</v>
      </c>
      <c r="B250" t="s">
        <v>2263</v>
      </c>
      <c r="C250" t="s">
        <v>1162</v>
      </c>
      <c r="D250" t="s">
        <v>1755</v>
      </c>
      <c r="E250" t="s">
        <v>2264</v>
      </c>
      <c r="F250" t="s">
        <v>1583</v>
      </c>
      <c r="G250" s="9" t="str">
        <f>+IF(PMG_D__Remuneracion[[#This Row],[Precio Valorizado]]="Nudo",VLOOKUP(PMG_D__Remuneracion[[#This Row],[Barra]]&amp;"_"&amp;PMG_D__Remuneracion[[#This Row],[Tensión]],Tabla3[aux],1,0),"-")</f>
        <v>QUINQUIMO_23</v>
      </c>
      <c r="H25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51" spans="1:8">
      <c r="A251" t="s">
        <v>2265</v>
      </c>
      <c r="B251" t="s">
        <v>2266</v>
      </c>
      <c r="C251" t="s">
        <v>485</v>
      </c>
      <c r="D251" t="s">
        <v>1754</v>
      </c>
      <c r="E251" t="s">
        <v>2267</v>
      </c>
      <c r="F251" t="s">
        <v>1583</v>
      </c>
      <c r="G251" s="9" t="str">
        <f>+IF(PMG_D__Remuneracion[[#This Row],[Precio Valorizado]]="Nudo",VLOOKUP(PMG_D__Remuneracion[[#This Row],[Barra]]&amp;"_"&amp;PMG_D__Remuneracion[[#This Row],[Tensión]],Tabla3[aux],1,0),"-")</f>
        <v>FATIMA_15</v>
      </c>
      <c r="H25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52" spans="1:8">
      <c r="A252" t="s">
        <v>2268</v>
      </c>
      <c r="B252" t="s">
        <v>2269</v>
      </c>
      <c r="C252" t="s">
        <v>328</v>
      </c>
      <c r="D252" t="s">
        <v>1756</v>
      </c>
      <c r="E252" t="s">
        <v>2270</v>
      </c>
      <c r="F252" t="s">
        <v>1583</v>
      </c>
      <c r="G252" s="9" t="str">
        <f>+IF(PMG_D__Remuneracion[[#This Row],[Precio Valorizado]]="Nudo",VLOOKUP(PMG_D__Remuneracion[[#This Row],[Barra]]&amp;"_"&amp;PMG_D__Remuneracion[[#This Row],[Tensión]],Tabla3[aux],1,0),"-")</f>
        <v>COMPANIA_13</v>
      </c>
      <c r="H25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53" spans="1:8">
      <c r="A253" t="s">
        <v>3245</v>
      </c>
      <c r="B253" t="s">
        <v>3275</v>
      </c>
      <c r="C253" t="s">
        <v>699</v>
      </c>
      <c r="D253" t="s">
        <v>1756</v>
      </c>
      <c r="E253" t="s">
        <v>3276</v>
      </c>
      <c r="F253" t="s">
        <v>1583</v>
      </c>
      <c r="G253" s="9" t="str">
        <f>+IF(PMG_D__Remuneracion[[#This Row],[Precio Valorizado]]="Nudo",VLOOKUP(PMG_D__Remuneracion[[#This Row],[Barra]]&amp;"_"&amp;PMG_D__Remuneracion[[#This Row],[Tensión]],Tabla3[aux],1,0),"-")</f>
        <v>LIN.NORTE_13</v>
      </c>
      <c r="H25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54" spans="1:8">
      <c r="A254" t="s">
        <v>2271</v>
      </c>
      <c r="B254" t="s">
        <v>2272</v>
      </c>
      <c r="C254" t="s">
        <v>371</v>
      </c>
      <c r="D254" t="s">
        <v>1759</v>
      </c>
      <c r="E254" t="s">
        <v>3206</v>
      </c>
      <c r="F254" t="s">
        <v>1583</v>
      </c>
      <c r="G254" s="9" t="str">
        <f>+IF(PMG_D__Remuneracion[[#This Row],[Precio Valorizado]]="Nudo",VLOOKUP(PMG_D__Remuneracion[[#This Row],[Barra]]&amp;"_"&amp;PMG_D__Remuneracion[[#This Row],[Tensión]],Tabla3[aux],1,0),"-")</f>
        <v>CURACAVI_12</v>
      </c>
      <c r="H25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55" spans="1:8">
      <c r="A255" t="s">
        <v>2273</v>
      </c>
      <c r="B255" t="s">
        <v>2274</v>
      </c>
      <c r="C255" t="s">
        <v>1215</v>
      </c>
      <c r="D255" t="s">
        <v>1756</v>
      </c>
      <c r="E255" t="s">
        <v>3206</v>
      </c>
      <c r="F255" t="s">
        <v>1583</v>
      </c>
      <c r="G255" s="9" t="str">
        <f>+IF(PMG_D__Remuneracion[[#This Row],[Precio Valorizado]]="Nudo",VLOOKUP(PMG_D__Remuneracion[[#This Row],[Barra]]&amp;"_"&amp;PMG_D__Remuneracion[[#This Row],[Tensión]],Tabla3[aux],1,0),"-")</f>
        <v>RETIRO_13</v>
      </c>
      <c r="H25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56" spans="1:8">
      <c r="A256" t="s">
        <v>2275</v>
      </c>
      <c r="B256" t="s">
        <v>2276</v>
      </c>
      <c r="C256" t="s">
        <v>699</v>
      </c>
      <c r="D256" t="s">
        <v>1756</v>
      </c>
      <c r="E256" t="s">
        <v>2277</v>
      </c>
      <c r="F256" t="s">
        <v>1583</v>
      </c>
      <c r="G256" s="9" t="str">
        <f>+IF(PMG_D__Remuneracion[[#This Row],[Precio Valorizado]]="Nudo",VLOOKUP(PMG_D__Remuneracion[[#This Row],[Barra]]&amp;"_"&amp;PMG_D__Remuneracion[[#This Row],[Tensión]],Tabla3[aux],1,0),"-")</f>
        <v>LIN.NORTE_13</v>
      </c>
      <c r="H25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57" spans="1:8">
      <c r="A257" t="s">
        <v>2278</v>
      </c>
      <c r="B257" t="s">
        <v>2279</v>
      </c>
      <c r="C257" t="s">
        <v>929</v>
      </c>
      <c r="D257" t="s">
        <v>1755</v>
      </c>
      <c r="E257" t="s">
        <v>1785</v>
      </c>
      <c r="F257" t="s">
        <v>1583</v>
      </c>
      <c r="G257" s="9" t="str">
        <f>+IF(PMG_D__Remuneracion[[#This Row],[Precio Valorizado]]="Nudo",VLOOKUP(PMG_D__Remuneracion[[#This Row],[Barra]]&amp;"_"&amp;PMG_D__Remuneracion[[#This Row],[Tensión]],Tabla3[aux],1,0),"-")</f>
        <v>OVALLE_23</v>
      </c>
      <c r="H25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58" spans="1:8">
      <c r="A258" t="s">
        <v>2280</v>
      </c>
      <c r="B258" t="s">
        <v>2281</v>
      </c>
      <c r="C258" t="s">
        <v>1094</v>
      </c>
      <c r="D258" t="s">
        <v>1755</v>
      </c>
      <c r="E258" t="s">
        <v>2282</v>
      </c>
      <c r="F258" t="s">
        <v>1583</v>
      </c>
      <c r="G258" s="9" t="str">
        <f>+IF(PMG_D__Remuneracion[[#This Row],[Precio Valorizado]]="Nudo",VLOOKUP(PMG_D__Remuneracion[[#This Row],[Barra]]&amp;"_"&amp;PMG_D__Remuneracion[[#This Row],[Tensión]],Tabla3[aux],1,0),"-")</f>
        <v>PORTEZUELO_23</v>
      </c>
      <c r="H25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59" spans="1:8">
      <c r="A259" t="s">
        <v>2283</v>
      </c>
      <c r="B259" t="s">
        <v>2284</v>
      </c>
      <c r="C259" t="s">
        <v>1273</v>
      </c>
      <c r="D259" t="s">
        <v>1756</v>
      </c>
      <c r="E259" t="s">
        <v>2285</v>
      </c>
      <c r="F259" t="s">
        <v>1583</v>
      </c>
      <c r="G259" s="9" t="str">
        <f>+IF(PMG_D__Remuneracion[[#This Row],[Precio Valorizado]]="Nudo",VLOOKUP(PMG_D__Remuneracion[[#This Row],[Barra]]&amp;"_"&amp;PMG_D__Remuneracion[[#This Row],[Tensión]],Tabla3[aux],1,0),"-")</f>
        <v>S.RAFAEL_13</v>
      </c>
      <c r="H25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60" spans="1:8">
      <c r="A260" t="s">
        <v>2286</v>
      </c>
      <c r="B260" t="s">
        <v>2287</v>
      </c>
      <c r="C260" t="s">
        <v>804</v>
      </c>
      <c r="D260" t="s">
        <v>1756</v>
      </c>
      <c r="E260" t="s">
        <v>2288</v>
      </c>
      <c r="F260" t="s">
        <v>1583</v>
      </c>
      <c r="G260" s="9" t="str">
        <f>+IF(PMG_D__Remuneracion[[#This Row],[Precio Valorizado]]="Nudo",VLOOKUP(PMG_D__Remuneracion[[#This Row],[Barra]]&amp;"_"&amp;PMG_D__Remuneracion[[#This Row],[Tensión]],Tabla3[aux],1,0),"-")</f>
        <v>MALLOCO_13</v>
      </c>
      <c r="H26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61" spans="1:8">
      <c r="A261" t="s">
        <v>2289</v>
      </c>
      <c r="B261" t="s">
        <v>2290</v>
      </c>
      <c r="C261" t="s">
        <v>1131</v>
      </c>
      <c r="D261" t="s">
        <v>1756</v>
      </c>
      <c r="E261" t="s">
        <v>2291</v>
      </c>
      <c r="F261" t="s">
        <v>1583</v>
      </c>
      <c r="G261" s="9" t="str">
        <f>+IF(PMG_D__Remuneracion[[#This Row],[Precio Valorizado]]="Nudo",VLOOKUP(PMG_D__Remuneracion[[#This Row],[Barra]]&amp;"_"&amp;PMG_D__Remuneracion[[#This Row],[Tensión]],Tabla3[aux],1,0),"-")</f>
        <v>QUELENTARO_13</v>
      </c>
      <c r="H26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62" spans="1:8">
      <c r="A262" t="s">
        <v>6311</v>
      </c>
      <c r="B262" t="s">
        <v>6312</v>
      </c>
      <c r="C262" t="s">
        <v>315</v>
      </c>
      <c r="D262" t="s">
        <v>1754</v>
      </c>
      <c r="E262" t="s">
        <v>6313</v>
      </c>
      <c r="F262" t="s">
        <v>1758</v>
      </c>
      <c r="G262" s="9" t="str">
        <f>+IF(PMG_D__Remuneracion[[#This Row],[Precio Valorizado]]="Nudo",VLOOKUP(PMG_D__Remuneracion[[#This Row],[Barra]]&amp;"_"&amp;PMG_D__Remuneracion[[#This Row],[Tensión]],Tabla3[aux],1,0),"-")</f>
        <v>-</v>
      </c>
      <c r="H262" s="9" t="str">
        <f>+IF(PMG_D__Remuneracion[[#This Row],[Precio Valorizado]]="Estabilizado",VLOOKUP(PMG_D__Remuneracion[[#This Row],[Barra]]&amp;"_"&amp;PMG_D__Remuneracion[[#This Row],[Tensión]],'FACTORES DE REFERENCIACION'!N:N,1,0),"-")</f>
        <v>COLCHAGUA_15</v>
      </c>
    </row>
    <row r="263" spans="1:8">
      <c r="A263" t="s">
        <v>2292</v>
      </c>
      <c r="B263" t="s">
        <v>2293</v>
      </c>
      <c r="C263" t="s">
        <v>599</v>
      </c>
      <c r="D263" t="s">
        <v>1756</v>
      </c>
      <c r="E263" t="s">
        <v>3099</v>
      </c>
      <c r="F263" t="s">
        <v>1583</v>
      </c>
      <c r="G263" s="9" t="str">
        <f>+IF(PMG_D__Remuneracion[[#This Row],[Precio Valorizado]]="Nudo",VLOOKUP(PMG_D__Remuneracion[[#This Row],[Barra]]&amp;"_"&amp;PMG_D__Remuneracion[[#This Row],[Tensión]],Tabla3[aux],1,0),"-")</f>
        <v>L.VEGAS_13</v>
      </c>
      <c r="H26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64" spans="1:8">
      <c r="A264" t="s">
        <v>6451</v>
      </c>
      <c r="B264" t="s">
        <v>6452</v>
      </c>
      <c r="C264" t="s">
        <v>758</v>
      </c>
      <c r="D264" t="s">
        <v>1755</v>
      </c>
      <c r="E264" t="s">
        <v>6453</v>
      </c>
      <c r="F264" t="s">
        <v>1583</v>
      </c>
      <c r="G264" s="9" t="str">
        <f>+IF(PMG_D__Remuneracion[[#This Row],[Precio Valorizado]]="Nudo",VLOOKUP(PMG_D__Remuneracion[[#This Row],[Barra]]&amp;"_"&amp;PMG_D__Remuneracion[[#This Row],[Tensión]],Tabla3[aux],1,0),"-")</f>
        <v>LOS_SAUCES_23</v>
      </c>
      <c r="H26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65" spans="1:8">
      <c r="A265" t="s">
        <v>6546</v>
      </c>
      <c r="B265" t="s">
        <v>6547</v>
      </c>
      <c r="C265" t="s">
        <v>1373</v>
      </c>
      <c r="D265" t="s">
        <v>1756</v>
      </c>
      <c r="E265" t="s">
        <v>6317</v>
      </c>
      <c r="F265" t="s">
        <v>1583</v>
      </c>
      <c r="G265" s="9" t="str">
        <f>+IF(PMG_D__Remuneracion[[#This Row],[Precio Valorizado]]="Nudo",VLOOKUP(PMG_D__Remuneracion[[#This Row],[Barra]]&amp;"_"&amp;PMG_D__Remuneracion[[#This Row],[Tensión]],Tabla3[aux],1,0),"-")</f>
        <v>TALCA_13</v>
      </c>
      <c r="H26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66" spans="1:8">
      <c r="A266" t="s">
        <v>2294</v>
      </c>
      <c r="B266" t="s">
        <v>2295</v>
      </c>
      <c r="C266" t="s">
        <v>355</v>
      </c>
      <c r="D266" t="s">
        <v>1755</v>
      </c>
      <c r="E266" t="s">
        <v>2296</v>
      </c>
      <c r="F266" t="s">
        <v>1758</v>
      </c>
      <c r="G266" s="9" t="str">
        <f>+IF(PMG_D__Remuneracion[[#This Row],[Precio Valorizado]]="Nudo",VLOOKUP(PMG_D__Remuneracion[[#This Row],[Barra]]&amp;"_"&amp;PMG_D__Remuneracion[[#This Row],[Tensión]],Tabla3[aux],1,0),"-")</f>
        <v>-</v>
      </c>
      <c r="H266" s="9" t="str">
        <f>+IF(PMG_D__Remuneracion[[#This Row],[Precio Valorizado]]="Estabilizado",VLOOKUP(PMG_D__Remuneracion[[#This Row],[Barra]]&amp;"_"&amp;PMG_D__Remuneracion[[#This Row],[Tensión]],'FACTORES DE REFERENCIACION'!N:N,1,0),"-")</f>
        <v>CORRALES_23</v>
      </c>
    </row>
    <row r="267" spans="1:8">
      <c r="A267" t="s">
        <v>2297</v>
      </c>
      <c r="B267" t="s">
        <v>2298</v>
      </c>
      <c r="C267" t="s">
        <v>1242</v>
      </c>
      <c r="D267" t="s">
        <v>1756</v>
      </c>
      <c r="E267" t="s">
        <v>1840</v>
      </c>
      <c r="F267" t="s">
        <v>1583</v>
      </c>
      <c r="G267" s="9" t="str">
        <f>+IF(PMG_D__Remuneracion[[#This Row],[Precio Valorizado]]="Nudo",VLOOKUP(PMG_D__Remuneracion[[#This Row],[Barra]]&amp;"_"&amp;PMG_D__Remuneracion[[#This Row],[Tensión]],Tabla3[aux],1,0),"-")</f>
        <v>S.F.MOSTAZAL_13</v>
      </c>
      <c r="H26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68" spans="1:8">
      <c r="A268" t="s">
        <v>2299</v>
      </c>
      <c r="B268" t="s">
        <v>2300</v>
      </c>
      <c r="C268" t="s">
        <v>485</v>
      </c>
      <c r="D268" t="s">
        <v>1754</v>
      </c>
      <c r="E268" t="s">
        <v>3099</v>
      </c>
      <c r="F268" t="s">
        <v>1583</v>
      </c>
      <c r="G268" s="9" t="str">
        <f>+IF(PMG_D__Remuneracion[[#This Row],[Precio Valorizado]]="Nudo",VLOOKUP(PMG_D__Remuneracion[[#This Row],[Barra]]&amp;"_"&amp;PMG_D__Remuneracion[[#This Row],[Tensión]],Tabla3[aux],1,0),"-")</f>
        <v>FATIMA_15</v>
      </c>
      <c r="H26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69" spans="1:8">
      <c r="A269" t="s">
        <v>2301</v>
      </c>
      <c r="B269" t="s">
        <v>2302</v>
      </c>
      <c r="C269" t="s">
        <v>1245</v>
      </c>
      <c r="D269" t="s">
        <v>1756</v>
      </c>
      <c r="E269" t="s">
        <v>2303</v>
      </c>
      <c r="F269" t="s">
        <v>1583</v>
      </c>
      <c r="G269" s="9" t="str">
        <f>+IF(PMG_D__Remuneracion[[#This Row],[Precio Valorizado]]="Nudo",VLOOKUP(PMG_D__Remuneracion[[#This Row],[Barra]]&amp;"_"&amp;PMG_D__Remuneracion[[#This Row],[Tensión]],Tabla3[aux],1,0),"-")</f>
        <v>S.FELIPE_13</v>
      </c>
      <c r="H26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70" spans="1:8">
      <c r="A270" t="s">
        <v>6443</v>
      </c>
      <c r="B270" t="s">
        <v>6444</v>
      </c>
      <c r="C270" t="s">
        <v>1278</v>
      </c>
      <c r="D270" t="s">
        <v>1756</v>
      </c>
      <c r="E270" t="s">
        <v>6445</v>
      </c>
      <c r="F270" t="s">
        <v>1583</v>
      </c>
      <c r="G270" s="9" t="str">
        <f>+IF(PMG_D__Remuneracion[[#This Row],[Precio Valorizado]]="Nudo",VLOOKUP(PMG_D__Remuneracion[[#This Row],[Barra]]&amp;"_"&amp;PMG_D__Remuneracion[[#This Row],[Tensión]],Tabla3[aux],1,0),"-")</f>
        <v>S.RAFAEL_S_13</v>
      </c>
      <c r="H27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71" spans="1:8">
      <c r="A271" t="s">
        <v>6788</v>
      </c>
      <c r="B271" t="s">
        <v>6789</v>
      </c>
      <c r="C271" t="s">
        <v>3592</v>
      </c>
      <c r="D271" t="s">
        <v>1756</v>
      </c>
      <c r="E271" t="s">
        <v>1840</v>
      </c>
      <c r="F271" t="s">
        <v>1758</v>
      </c>
      <c r="G271" s="9" t="str">
        <f>+IF(PMG_D__Remuneracion[[#This Row],[Precio Valorizado]]="Nudo",VLOOKUP(PMG_D__Remuneracion[[#This Row],[Barra]]&amp;"_"&amp;PMG_D__Remuneracion[[#This Row],[Tensión]],Tabla3[aux],1,0),"-")</f>
        <v>-</v>
      </c>
      <c r="H271" s="9" t="str">
        <f>+IF(PMG_D__Remuneracion[[#This Row],[Precio Valorizado]]="Estabilizado",VLOOKUP(PMG_D__Remuneracion[[#This Row],[Barra]]&amp;"_"&amp;PMG_D__Remuneracion[[#This Row],[Tensión]],'FACTORES DE REFERENCIACION'!N:N,1,0),"-")</f>
        <v>T.PINOS_13</v>
      </c>
    </row>
    <row r="272" spans="1:8">
      <c r="A272" t="s">
        <v>2304</v>
      </c>
      <c r="B272" t="s">
        <v>2305</v>
      </c>
      <c r="C272" t="s">
        <v>1340</v>
      </c>
      <c r="D272" t="s">
        <v>1755</v>
      </c>
      <c r="E272" t="s">
        <v>2306</v>
      </c>
      <c r="F272" t="s">
        <v>1583</v>
      </c>
      <c r="G272" s="9" t="str">
        <f>+IF(PMG_D__Remuneracion[[#This Row],[Precio Valorizado]]="Nudo",VLOOKUP(PMG_D__Remuneracion[[#This Row],[Barra]]&amp;"_"&amp;PMG_D__Remuneracion[[#This Row],[Tensión]],Tabla3[aux],1,0),"-")</f>
        <v>STA.ELISA_23</v>
      </c>
      <c r="H27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73" spans="1:8">
      <c r="A273" t="s">
        <v>2307</v>
      </c>
      <c r="B273" t="s">
        <v>2308</v>
      </c>
      <c r="C273" t="s">
        <v>1117</v>
      </c>
      <c r="D273" t="s">
        <v>1756</v>
      </c>
      <c r="E273" t="s">
        <v>1785</v>
      </c>
      <c r="F273" t="s">
        <v>1583</v>
      </c>
      <c r="G273" s="9" t="str">
        <f>+IF(PMG_D__Remuneracion[[#This Row],[Precio Valorizado]]="Nudo",VLOOKUP(PMG_D__Remuneracion[[#This Row],[Barra]]&amp;"_"&amp;PMG_D__Remuneracion[[#This Row],[Tensión]],Tabla3[aux],1,0),"-")</f>
        <v>PUNITAQUI_13</v>
      </c>
      <c r="H27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74" spans="1:8">
      <c r="A274" t="s">
        <v>2309</v>
      </c>
      <c r="B274" t="s">
        <v>2310</v>
      </c>
      <c r="C274" t="s">
        <v>563</v>
      </c>
      <c r="D274" t="s">
        <v>1756</v>
      </c>
      <c r="E274" t="s">
        <v>2311</v>
      </c>
      <c r="F274" t="s">
        <v>1583</v>
      </c>
      <c r="G274" s="9" t="str">
        <f>+IF(PMG_D__Remuneracion[[#This Row],[Precio Valorizado]]="Nudo",VLOOKUP(PMG_D__Remuneracion[[#This Row],[Barra]]&amp;"_"&amp;PMG_D__Remuneracion[[#This Row],[Tensión]],Tabla3[aux],1,0),"-")</f>
        <v>L.ANGELES_13</v>
      </c>
      <c r="H27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75" spans="1:8">
      <c r="A275" t="s">
        <v>2312</v>
      </c>
      <c r="B275" t="s">
        <v>2313</v>
      </c>
      <c r="C275" t="s">
        <v>234</v>
      </c>
      <c r="D275" t="s">
        <v>1756</v>
      </c>
      <c r="E275" t="s">
        <v>1918</v>
      </c>
      <c r="F275" t="s">
        <v>1583</v>
      </c>
      <c r="G275" s="9" t="str">
        <f>+IF(PMG_D__Remuneracion[[#This Row],[Precio Valorizado]]="Nudo",VLOOKUP(PMG_D__Remuneracion[[#This Row],[Barra]]&amp;"_"&amp;PMG_D__Remuneracion[[#This Row],[Tensión]],Tabla3[aux],1,0),"-")</f>
        <v>CHACABUCO_13</v>
      </c>
      <c r="H27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76" spans="1:8">
      <c r="A276" t="s">
        <v>2314</v>
      </c>
      <c r="B276" t="s">
        <v>2315</v>
      </c>
      <c r="C276" t="s">
        <v>1286</v>
      </c>
      <c r="D276" t="s">
        <v>1756</v>
      </c>
      <c r="E276" t="s">
        <v>2316</v>
      </c>
      <c r="F276" t="s">
        <v>1583</v>
      </c>
      <c r="G276" s="9" t="str">
        <f>+IF(PMG_D__Remuneracion[[#This Row],[Precio Valorizado]]="Nudo",VLOOKUP(PMG_D__Remuneracion[[#This Row],[Barra]]&amp;"_"&amp;PMG_D__Remuneracion[[#This Row],[Tensión]],Tabla3[aux],1,0),"-")</f>
        <v>S.VICENTETT_13</v>
      </c>
      <c r="H27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77" spans="1:8">
      <c r="A277" t="s">
        <v>2317</v>
      </c>
      <c r="B277" t="s">
        <v>2318</v>
      </c>
      <c r="C277" t="s">
        <v>532</v>
      </c>
      <c r="D277" t="s">
        <v>1755</v>
      </c>
      <c r="E277" t="s">
        <v>6404</v>
      </c>
      <c r="F277" t="s">
        <v>1583</v>
      </c>
      <c r="G277" s="9" t="str">
        <f>+IF(PMG_D__Remuneracion[[#This Row],[Precio Valorizado]]="Nudo",VLOOKUP(PMG_D__Remuneracion[[#This Row],[Barra]]&amp;"_"&amp;PMG_D__Remuneracion[[#This Row],[Tensión]],Tabla3[aux],1,0),"-")</f>
        <v>ILLAPEL_23</v>
      </c>
      <c r="H27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78" spans="1:8">
      <c r="A278" t="s">
        <v>2319</v>
      </c>
      <c r="B278" t="s">
        <v>2320</v>
      </c>
      <c r="C278" t="s">
        <v>1090</v>
      </c>
      <c r="D278" t="s">
        <v>1755</v>
      </c>
      <c r="E278" t="s">
        <v>2321</v>
      </c>
      <c r="F278" t="s">
        <v>1583</v>
      </c>
      <c r="G278" s="9" t="str">
        <f>+IF(PMG_D__Remuneracion[[#This Row],[Precio Valorizado]]="Nudo",VLOOKUP(PMG_D__Remuneracion[[#This Row],[Barra]]&amp;"_"&amp;PMG_D__Remuneracion[[#This Row],[Tensión]],Tabla3[aux],1,0),"-")</f>
        <v>POLPAICO_23</v>
      </c>
      <c r="H27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79" spans="1:8">
      <c r="A279" t="s">
        <v>2322</v>
      </c>
      <c r="B279" t="s">
        <v>2323</v>
      </c>
      <c r="C279" t="s">
        <v>548</v>
      </c>
      <c r="D279" t="s">
        <v>1756</v>
      </c>
      <c r="E279" t="s">
        <v>3099</v>
      </c>
      <c r="F279" t="s">
        <v>1583</v>
      </c>
      <c r="G279" s="9" t="str">
        <f>+IF(PMG_D__Remuneracion[[#This Row],[Precio Valorizado]]="Nudo",VLOOKUP(PMG_D__Remuneracion[[#This Row],[Barra]]&amp;"_"&amp;PMG_D__Remuneracion[[#This Row],[Tensión]],Tabla3[aux],1,0),"-")</f>
        <v>ITAHUE_13</v>
      </c>
      <c r="H27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80" spans="1:8">
      <c r="A280" t="s">
        <v>2324</v>
      </c>
      <c r="B280" t="s">
        <v>2325</v>
      </c>
      <c r="C280" t="s">
        <v>1239</v>
      </c>
      <c r="D280" t="s">
        <v>1756</v>
      </c>
      <c r="E280" t="s">
        <v>2326</v>
      </c>
      <c r="F280" t="s">
        <v>1583</v>
      </c>
      <c r="G280" s="9" t="str">
        <f>+IF(PMG_D__Remuneracion[[#This Row],[Precio Valorizado]]="Nudo",VLOOKUP(PMG_D__Remuneracion[[#This Row],[Barra]]&amp;"_"&amp;PMG_D__Remuneracion[[#This Row],[Tensión]],Tabla3[aux],1,0),"-")</f>
        <v>S.CARLOS_13</v>
      </c>
      <c r="H28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81" spans="1:8">
      <c r="A281" t="s">
        <v>6470</v>
      </c>
      <c r="B281" t="s">
        <v>6471</v>
      </c>
      <c r="C281" t="s">
        <v>325</v>
      </c>
      <c r="D281" t="s">
        <v>1756</v>
      </c>
      <c r="E281" t="s">
        <v>6472</v>
      </c>
      <c r="F281" t="s">
        <v>1583</v>
      </c>
      <c r="G281" s="9" t="str">
        <f>+IF(PMG_D__Remuneracion[[#This Row],[Precio Valorizado]]="Nudo",VLOOKUP(PMG_D__Remuneracion[[#This Row],[Barra]]&amp;"_"&amp;PMG_D__Remuneracion[[#This Row],[Tensión]],Tabla3[aux],1,0),"-")</f>
        <v>COMBARBALA_13</v>
      </c>
      <c r="H28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82" spans="1:8">
      <c r="A282" t="s">
        <v>2327</v>
      </c>
      <c r="B282" t="s">
        <v>2328</v>
      </c>
      <c r="C282" t="s">
        <v>1245</v>
      </c>
      <c r="D282" t="s">
        <v>1756</v>
      </c>
      <c r="E282" t="s">
        <v>2329</v>
      </c>
      <c r="F282" t="s">
        <v>1583</v>
      </c>
      <c r="G282" s="9" t="str">
        <f>+IF(PMG_D__Remuneracion[[#This Row],[Precio Valorizado]]="Nudo",VLOOKUP(PMG_D__Remuneracion[[#This Row],[Barra]]&amp;"_"&amp;PMG_D__Remuneracion[[#This Row],[Tensión]],Tabla3[aux],1,0),"-")</f>
        <v>S.FELIPE_13</v>
      </c>
      <c r="H28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83" spans="1:8">
      <c r="A283" t="s">
        <v>2330</v>
      </c>
      <c r="B283" t="s">
        <v>2331</v>
      </c>
      <c r="C283" t="s">
        <v>158</v>
      </c>
      <c r="D283" t="s">
        <v>1755</v>
      </c>
      <c r="E283" t="s">
        <v>3099</v>
      </c>
      <c r="F283" t="s">
        <v>1583</v>
      </c>
      <c r="G283" s="9" t="str">
        <f>+IF(PMG_D__Remuneracion[[#This Row],[Precio Valorizado]]="Nudo",VLOOKUP(PMG_D__Remuneracion[[#This Row],[Barra]]&amp;"_"&amp;PMG_D__Remuneracion[[#This Row],[Tensión]],Tabla3[aux],1,0),"-")</f>
        <v>CABILDO_23</v>
      </c>
      <c r="H28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84" spans="1:8">
      <c r="A284" t="s">
        <v>2332</v>
      </c>
      <c r="B284" t="s">
        <v>2333</v>
      </c>
      <c r="C284" t="s">
        <v>1162</v>
      </c>
      <c r="D284" t="s">
        <v>1755</v>
      </c>
      <c r="E284" t="s">
        <v>2334</v>
      </c>
      <c r="F284" t="s">
        <v>1583</v>
      </c>
      <c r="G284" s="9" t="str">
        <f>+IF(PMG_D__Remuneracion[[#This Row],[Precio Valorizado]]="Nudo",VLOOKUP(PMG_D__Remuneracion[[#This Row],[Barra]]&amp;"_"&amp;PMG_D__Remuneracion[[#This Row],[Tensión]],Tabla3[aux],1,0),"-")</f>
        <v>QUINQUIMO_23</v>
      </c>
      <c r="H28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85" spans="1:8">
      <c r="A285" t="s">
        <v>2335</v>
      </c>
      <c r="B285" t="s">
        <v>2336</v>
      </c>
      <c r="C285" t="s">
        <v>132</v>
      </c>
      <c r="D285" t="s">
        <v>1756</v>
      </c>
      <c r="E285" t="s">
        <v>2337</v>
      </c>
      <c r="F285" t="s">
        <v>1583</v>
      </c>
      <c r="G285" s="9" t="str">
        <f>+IF(PMG_D__Remuneracion[[#This Row],[Precio Valorizado]]="Nudo",VLOOKUP(PMG_D__Remuneracion[[#This Row],[Barra]]&amp;"_"&amp;PMG_D__Remuneracion[[#This Row],[Tensión]],Tabla3[aux],1,0),"-")</f>
        <v>BUIN_13</v>
      </c>
      <c r="H28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86" spans="1:8">
      <c r="A286" t="s">
        <v>2338</v>
      </c>
      <c r="B286" t="s">
        <v>2339</v>
      </c>
      <c r="C286" t="s">
        <v>377</v>
      </c>
      <c r="D286" t="s">
        <v>1756</v>
      </c>
      <c r="E286" t="s">
        <v>2334</v>
      </c>
      <c r="F286" t="s">
        <v>1583</v>
      </c>
      <c r="G286" s="9" t="str">
        <f>+IF(PMG_D__Remuneracion[[#This Row],[Precio Valorizado]]="Nudo",VLOOKUP(PMG_D__Remuneracion[[#This Row],[Barra]]&amp;"_"&amp;PMG_D__Remuneracion[[#This Row],[Tensión]],Tabla3[aux],1,0),"-")</f>
        <v>CURICO_13</v>
      </c>
      <c r="H28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87" spans="1:8">
      <c r="A287" t="s">
        <v>2340</v>
      </c>
      <c r="B287" t="s">
        <v>2341</v>
      </c>
      <c r="C287" t="s">
        <v>228</v>
      </c>
      <c r="D287" t="s">
        <v>1756</v>
      </c>
      <c r="E287" t="s">
        <v>3206</v>
      </c>
      <c r="F287" t="s">
        <v>1583</v>
      </c>
      <c r="G287" s="9" t="str">
        <f>+IF(PMG_D__Remuneracion[[#This Row],[Precio Valorizado]]="Nudo",VLOOKUP(PMG_D__Remuneracion[[#This Row],[Barra]]&amp;"_"&amp;PMG_D__Remuneracion[[#This Row],[Tensión]],Tabla3[aux],1,0),"-")</f>
        <v>CERRILLOS_13</v>
      </c>
      <c r="H28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88" spans="1:8">
      <c r="A288" t="s">
        <v>2342</v>
      </c>
      <c r="B288" t="s">
        <v>2343</v>
      </c>
      <c r="C288" t="s">
        <v>511</v>
      </c>
      <c r="D288" t="s">
        <v>1756</v>
      </c>
      <c r="E288" t="s">
        <v>1801</v>
      </c>
      <c r="F288" t="s">
        <v>1583</v>
      </c>
      <c r="G288" s="9" t="str">
        <f>+IF(PMG_D__Remuneracion[[#This Row],[Precio Valorizado]]="Nudo",VLOOKUP(PMG_D__Remuneracion[[#This Row],[Barra]]&amp;"_"&amp;PMG_D__Remuneracion[[#This Row],[Tensión]],Tabla3[aux],1,0),"-")</f>
        <v>H.FUENTES_13</v>
      </c>
      <c r="H28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89" spans="1:8">
      <c r="A289" t="s">
        <v>2344</v>
      </c>
      <c r="B289" t="s">
        <v>2345</v>
      </c>
      <c r="C289" t="s">
        <v>511</v>
      </c>
      <c r="D289" t="s">
        <v>1756</v>
      </c>
      <c r="E289" t="s">
        <v>1801</v>
      </c>
      <c r="F289" t="s">
        <v>1583</v>
      </c>
      <c r="G289" s="9" t="str">
        <f>+IF(PMG_D__Remuneracion[[#This Row],[Precio Valorizado]]="Nudo",VLOOKUP(PMG_D__Remuneracion[[#This Row],[Barra]]&amp;"_"&amp;PMG_D__Remuneracion[[#This Row],[Tensión]],Tabla3[aux],1,0),"-")</f>
        <v>H.FUENTES_13</v>
      </c>
      <c r="H28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90" spans="1:8">
      <c r="A290" t="s">
        <v>2346</v>
      </c>
      <c r="B290" t="s">
        <v>2347</v>
      </c>
      <c r="C290" t="s">
        <v>108</v>
      </c>
      <c r="D290" t="s">
        <v>1756</v>
      </c>
      <c r="E290" t="s">
        <v>2348</v>
      </c>
      <c r="F290" t="s">
        <v>1583</v>
      </c>
      <c r="G290" s="9" t="str">
        <f>+IF(PMG_D__Remuneracion[[#This Row],[Precio Valorizado]]="Nudo",VLOOKUP(PMG_D__Remuneracion[[#This Row],[Barra]]&amp;"_"&amp;PMG_D__Remuneracion[[#This Row],[Tensión]],Tabla3[aux],1,0),"-")</f>
        <v>BATUCO_13</v>
      </c>
      <c r="H29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91" spans="1:8">
      <c r="A291" t="s">
        <v>2349</v>
      </c>
      <c r="B291" t="s">
        <v>2350</v>
      </c>
      <c r="C291" t="s">
        <v>1245</v>
      </c>
      <c r="D291" t="s">
        <v>1756</v>
      </c>
      <c r="E291" t="s">
        <v>2351</v>
      </c>
      <c r="F291" t="s">
        <v>1583</v>
      </c>
      <c r="G291" s="9" t="str">
        <f>+IF(PMG_D__Remuneracion[[#This Row],[Precio Valorizado]]="Nudo",VLOOKUP(PMG_D__Remuneracion[[#This Row],[Barra]]&amp;"_"&amp;PMG_D__Remuneracion[[#This Row],[Tensión]],Tabla3[aux],1,0),"-")</f>
        <v>S.FELIPE_13</v>
      </c>
      <c r="H29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92" spans="1:8">
      <c r="A292" t="s">
        <v>2352</v>
      </c>
      <c r="B292" t="s">
        <v>2353</v>
      </c>
      <c r="C292" t="s">
        <v>1157</v>
      </c>
      <c r="D292" t="s">
        <v>1756</v>
      </c>
      <c r="E292" t="s">
        <v>2354</v>
      </c>
      <c r="F292" t="s">
        <v>1583</v>
      </c>
      <c r="G292" s="9" t="str">
        <f>+IF(PMG_D__Remuneracion[[#This Row],[Precio Valorizado]]="Nudo",VLOOKUP(PMG_D__Remuneracion[[#This Row],[Barra]]&amp;"_"&amp;PMG_D__Remuneracion[[#This Row],[Tensión]],Tabla3[aux],1,0),"-")</f>
        <v>QUILPUE_13</v>
      </c>
      <c r="H29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93" spans="1:8">
      <c r="A293" t="s">
        <v>2355</v>
      </c>
      <c r="B293" t="s">
        <v>2356</v>
      </c>
      <c r="C293" t="s">
        <v>929</v>
      </c>
      <c r="D293" t="s">
        <v>1755</v>
      </c>
      <c r="E293" t="s">
        <v>2357</v>
      </c>
      <c r="F293" t="s">
        <v>1583</v>
      </c>
      <c r="G293" s="9" t="str">
        <f>+IF(PMG_D__Remuneracion[[#This Row],[Precio Valorizado]]="Nudo",VLOOKUP(PMG_D__Remuneracion[[#This Row],[Barra]]&amp;"_"&amp;PMG_D__Remuneracion[[#This Row],[Tensión]],Tabla3[aux],1,0),"-")</f>
        <v>OVALLE_23</v>
      </c>
      <c r="H29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94" spans="1:8">
      <c r="A294" t="s">
        <v>2358</v>
      </c>
      <c r="B294" t="s">
        <v>2359</v>
      </c>
      <c r="C294" t="s">
        <v>485</v>
      </c>
      <c r="D294" t="s">
        <v>1754</v>
      </c>
      <c r="E294" t="s">
        <v>6317</v>
      </c>
      <c r="F294" t="s">
        <v>1583</v>
      </c>
      <c r="G294" s="9" t="str">
        <f>+IF(PMG_D__Remuneracion[[#This Row],[Precio Valorizado]]="Nudo",VLOOKUP(PMG_D__Remuneracion[[#This Row],[Barra]]&amp;"_"&amp;PMG_D__Remuneracion[[#This Row],[Tensión]],Tabla3[aux],1,0),"-")</f>
        <v>FATIMA_15</v>
      </c>
      <c r="H29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95" spans="1:8">
      <c r="A295" t="s">
        <v>6363</v>
      </c>
      <c r="B295" t="s">
        <v>6364</v>
      </c>
      <c r="C295" t="s">
        <v>1239</v>
      </c>
      <c r="D295" t="s">
        <v>1756</v>
      </c>
      <c r="E295" t="s">
        <v>6365</v>
      </c>
      <c r="F295" t="s">
        <v>1583</v>
      </c>
      <c r="G295" s="9" t="str">
        <f>+IF(PMG_D__Remuneracion[[#This Row],[Precio Valorizado]]="Nudo",VLOOKUP(PMG_D__Remuneracion[[#This Row],[Barra]]&amp;"_"&amp;PMG_D__Remuneracion[[#This Row],[Tensión]],Tabla3[aux],1,0),"-")</f>
        <v>S.CARLOS_13</v>
      </c>
      <c r="H29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96" spans="1:8">
      <c r="A296" t="s">
        <v>2360</v>
      </c>
      <c r="B296" t="s">
        <v>2361</v>
      </c>
      <c r="C296" t="s">
        <v>903</v>
      </c>
      <c r="D296" t="s">
        <v>1755</v>
      </c>
      <c r="E296" t="s">
        <v>2362</v>
      </c>
      <c r="F296" t="s">
        <v>1758</v>
      </c>
      <c r="G296" s="9" t="str">
        <f>+IF(PMG_D__Remuneracion[[#This Row],[Precio Valorizado]]="Nudo",VLOOKUP(PMG_D__Remuneracion[[#This Row],[Barra]]&amp;"_"&amp;PMG_D__Remuneracion[[#This Row],[Tensión]],Tabla3[aux],1,0),"-")</f>
        <v>-</v>
      </c>
      <c r="H296" s="9" t="str">
        <f>+IF(PMG_D__Remuneracion[[#This Row],[Precio Valorizado]]="Estabilizado",VLOOKUP(PMG_D__Remuneracion[[#This Row],[Barra]]&amp;"_"&amp;PMG_D__Remuneracion[[#This Row],[Tensión]],'FACTORES DE REFERENCIACION'!N:N,1,0),"-")</f>
        <v>NEGRETE_23</v>
      </c>
    </row>
    <row r="297" spans="1:8">
      <c r="A297" t="s">
        <v>2363</v>
      </c>
      <c r="B297" t="s">
        <v>2364</v>
      </c>
      <c r="C297" t="s">
        <v>474</v>
      </c>
      <c r="D297" t="s">
        <v>1756</v>
      </c>
      <c r="E297" t="s">
        <v>2365</v>
      </c>
      <c r="F297" t="s">
        <v>1583</v>
      </c>
      <c r="G297" s="9" t="str">
        <f>+IF(PMG_D__Remuneracion[[#This Row],[Precio Valorizado]]="Nudo",VLOOKUP(PMG_D__Remuneracion[[#This Row],[Barra]]&amp;"_"&amp;PMG_D__Remuneracion[[#This Row],[Tensión]],Tabla3[aux],1,0),"-")</f>
        <v>ESPERANZA_13</v>
      </c>
      <c r="H29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98" spans="1:8">
      <c r="A298" t="s">
        <v>2366</v>
      </c>
      <c r="B298" t="s">
        <v>2367</v>
      </c>
      <c r="C298" t="s">
        <v>48</v>
      </c>
      <c r="D298" t="s">
        <v>1755</v>
      </c>
      <c r="E298" t="s">
        <v>1801</v>
      </c>
      <c r="F298" t="s">
        <v>1583</v>
      </c>
      <c r="G298" s="9" t="str">
        <f>+IF(PMG_D__Remuneracion[[#This Row],[Precio Valorizado]]="Nudo",VLOOKUP(PMG_D__Remuneracion[[#This Row],[Barra]]&amp;"_"&amp;PMG_D__Remuneracion[[#This Row],[Tensión]],Tabla3[aux],1,0),"-")</f>
        <v>ALHUE_23</v>
      </c>
      <c r="H29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299" spans="1:8">
      <c r="A299" t="s">
        <v>2368</v>
      </c>
      <c r="B299" t="s">
        <v>2369</v>
      </c>
      <c r="C299" t="s">
        <v>518</v>
      </c>
      <c r="D299" t="s">
        <v>1756</v>
      </c>
      <c r="E299" t="s">
        <v>2370</v>
      </c>
      <c r="F299" t="s">
        <v>1583</v>
      </c>
      <c r="G299" s="9" t="str">
        <f>+IF(PMG_D__Remuneracion[[#This Row],[Precio Valorizado]]="Nudo",VLOOKUP(PMG_D__Remuneracion[[#This Row],[Barra]]&amp;"_"&amp;PMG_D__Remuneracion[[#This Row],[Tensión]],Tabla3[aux],1,0),"-")</f>
        <v>HUALANE_13</v>
      </c>
      <c r="H29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00" spans="1:8">
      <c r="A300" t="s">
        <v>2371</v>
      </c>
      <c r="B300" t="s">
        <v>2372</v>
      </c>
      <c r="C300" t="s">
        <v>1194</v>
      </c>
      <c r="D300" t="s">
        <v>1756</v>
      </c>
      <c r="E300" t="s">
        <v>3206</v>
      </c>
      <c r="F300" t="s">
        <v>1583</v>
      </c>
      <c r="G300" s="9" t="str">
        <f>+IF(PMG_D__Remuneracion[[#This Row],[Precio Valorizado]]="Nudo",VLOOKUP(PMG_D__Remuneracion[[#This Row],[Barra]]&amp;"_"&amp;PMG_D__Remuneracion[[#This Row],[Tensión]],Tabla3[aux],1,0),"-")</f>
        <v>RANGUILI_13</v>
      </c>
      <c r="H30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01" spans="1:8">
      <c r="A301" t="s">
        <v>2373</v>
      </c>
      <c r="B301" t="s">
        <v>2374</v>
      </c>
      <c r="C301" t="s">
        <v>36</v>
      </c>
      <c r="D301" t="s">
        <v>1754</v>
      </c>
      <c r="E301" t="s">
        <v>3099</v>
      </c>
      <c r="F301" t="s">
        <v>1583</v>
      </c>
      <c r="G301" s="9" t="str">
        <f>+IF(PMG_D__Remuneracion[[#This Row],[Precio Valorizado]]="Nudo",VLOOKUP(PMG_D__Remuneracion[[#This Row],[Barra]]&amp;"_"&amp;PMG_D__Remuneracion[[#This Row],[Tensión]],Tabla3[aux],1,0),"-")</f>
        <v>ALAMEDA_15</v>
      </c>
      <c r="H30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02" spans="1:8">
      <c r="A302" t="s">
        <v>3341</v>
      </c>
      <c r="B302" t="s">
        <v>3342</v>
      </c>
      <c r="C302" t="s">
        <v>1507</v>
      </c>
      <c r="D302" t="s">
        <v>1754</v>
      </c>
      <c r="E302" t="s">
        <v>1828</v>
      </c>
      <c r="F302" t="s">
        <v>1583</v>
      </c>
      <c r="G302" s="9" t="str">
        <f>+IF(PMG_D__Remuneracion[[#This Row],[Precio Valorizado]]="Nudo",VLOOKUP(PMG_D__Remuneracion[[#This Row],[Barra]]&amp;"_"&amp;PMG_D__Remuneracion[[#This Row],[Tensión]],Tabla3[aux],1,0),"-")</f>
        <v>TUNICHE_15</v>
      </c>
      <c r="H30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03" spans="1:8">
      <c r="A303" t="s">
        <v>2375</v>
      </c>
      <c r="B303" t="s">
        <v>2376</v>
      </c>
      <c r="C303" t="s">
        <v>1023</v>
      </c>
      <c r="D303" t="s">
        <v>1756</v>
      </c>
      <c r="E303" t="s">
        <v>2377</v>
      </c>
      <c r="F303" t="s">
        <v>1583</v>
      </c>
      <c r="G303" s="9" t="str">
        <f>+IF(PMG_D__Remuneracion[[#This Row],[Precio Valorizado]]="Nudo",VLOOKUP(PMG_D__Remuneracion[[#This Row],[Barra]]&amp;"_"&amp;PMG_D__Remuneracion[[#This Row],[Tensión]],Tabla3[aux],1,0),"-")</f>
        <v>PARRONAL_13</v>
      </c>
      <c r="H30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04" spans="1:8">
      <c r="A304" t="s">
        <v>2378</v>
      </c>
      <c r="B304" t="s">
        <v>2379</v>
      </c>
      <c r="C304" t="s">
        <v>1162</v>
      </c>
      <c r="D304" t="s">
        <v>1755</v>
      </c>
      <c r="E304" t="s">
        <v>2380</v>
      </c>
      <c r="F304" t="s">
        <v>1583</v>
      </c>
      <c r="G304" s="9" t="str">
        <f>+IF(PMG_D__Remuneracion[[#This Row],[Precio Valorizado]]="Nudo",VLOOKUP(PMG_D__Remuneracion[[#This Row],[Barra]]&amp;"_"&amp;PMG_D__Remuneracion[[#This Row],[Tensión]],Tabla3[aux],1,0),"-")</f>
        <v>QUINQUIMO_23</v>
      </c>
      <c r="H30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05" spans="1:8">
      <c r="A305" t="s">
        <v>2381</v>
      </c>
      <c r="B305" t="s">
        <v>2382</v>
      </c>
      <c r="C305" t="s">
        <v>644</v>
      </c>
      <c r="D305" t="s">
        <v>1756</v>
      </c>
      <c r="E305" t="s">
        <v>2383</v>
      </c>
      <c r="F305" t="s">
        <v>1583</v>
      </c>
      <c r="G305" s="9" t="str">
        <f>+IF(PMG_D__Remuneracion[[#This Row],[Precio Valorizado]]="Nudo",VLOOKUP(PMG_D__Remuneracion[[#This Row],[Barra]]&amp;"_"&amp;PMG_D__Remuneracion[[#This Row],[Tensión]],Tabla3[aux],1,0),"-")</f>
        <v>LAMANGA_13</v>
      </c>
      <c r="H30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06" spans="1:8">
      <c r="A306" t="s">
        <v>2384</v>
      </c>
      <c r="B306" t="s">
        <v>2385</v>
      </c>
      <c r="C306" t="s">
        <v>1343</v>
      </c>
      <c r="D306" t="s">
        <v>1756</v>
      </c>
      <c r="E306" t="s">
        <v>1814</v>
      </c>
      <c r="F306" t="s">
        <v>1583</v>
      </c>
      <c r="G306" s="9" t="str">
        <f>+IF(PMG_D__Remuneracion[[#This Row],[Precio Valorizado]]="Nudo",VLOOKUP(PMG_D__Remuneracion[[#This Row],[Barra]]&amp;"_"&amp;PMG_D__Remuneracion[[#This Row],[Tensión]],Tabla3[aux],1,0),"-")</f>
        <v>STA.ELVIRA_13</v>
      </c>
      <c r="H30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07" spans="1:8">
      <c r="A307" t="s">
        <v>2386</v>
      </c>
      <c r="B307" t="s">
        <v>2387</v>
      </c>
      <c r="C307" t="s">
        <v>719</v>
      </c>
      <c r="D307" t="s">
        <v>1756</v>
      </c>
      <c r="E307" t="s">
        <v>6551</v>
      </c>
      <c r="F307" t="s">
        <v>1583</v>
      </c>
      <c r="G307" s="9" t="str">
        <f>+IF(PMG_D__Remuneracion[[#This Row],[Precio Valorizado]]="Nudo",VLOOKUP(PMG_D__Remuneracion[[#This Row],[Barra]]&amp;"_"&amp;PMG_D__Remuneracion[[#This Row],[Tensión]],Tabla3[aux],1,0),"-")</f>
        <v>LO_BOZA_13</v>
      </c>
      <c r="H30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08" spans="1:8">
      <c r="A308" t="s">
        <v>3235</v>
      </c>
      <c r="B308" t="s">
        <v>3277</v>
      </c>
      <c r="C308" t="s">
        <v>563</v>
      </c>
      <c r="D308" t="s">
        <v>1756</v>
      </c>
      <c r="E308" t="s">
        <v>3278</v>
      </c>
      <c r="F308" t="s">
        <v>1583</v>
      </c>
      <c r="G308" s="9" t="str">
        <f>+IF(PMG_D__Remuneracion[[#This Row],[Precio Valorizado]]="Nudo",VLOOKUP(PMG_D__Remuneracion[[#This Row],[Barra]]&amp;"_"&amp;PMG_D__Remuneracion[[#This Row],[Tensión]],Tabla3[aux],1,0),"-")</f>
        <v>L.ANGELES_13</v>
      </c>
      <c r="H30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09" spans="1:8">
      <c r="A309" t="s">
        <v>3236</v>
      </c>
      <c r="B309" t="s">
        <v>3279</v>
      </c>
      <c r="C309" t="s">
        <v>1286</v>
      </c>
      <c r="D309" t="s">
        <v>1756</v>
      </c>
      <c r="E309" t="s">
        <v>3281</v>
      </c>
      <c r="F309" t="s">
        <v>1583</v>
      </c>
      <c r="G309" s="9" t="str">
        <f>+IF(PMG_D__Remuneracion[[#This Row],[Precio Valorizado]]="Nudo",VLOOKUP(PMG_D__Remuneracion[[#This Row],[Barra]]&amp;"_"&amp;PMG_D__Remuneracion[[#This Row],[Tensión]],Tabla3[aux],1,0),"-")</f>
        <v>S.VICENTETT_13</v>
      </c>
      <c r="H30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10" spans="1:8">
      <c r="A310" t="s">
        <v>6415</v>
      </c>
      <c r="B310" t="s">
        <v>6416</v>
      </c>
      <c r="C310" t="s">
        <v>371</v>
      </c>
      <c r="D310" t="s">
        <v>1759</v>
      </c>
      <c r="E310" t="s">
        <v>6417</v>
      </c>
      <c r="F310" t="s">
        <v>1583</v>
      </c>
      <c r="G310" s="9" t="str">
        <f>+IF(PMG_D__Remuneracion[[#This Row],[Precio Valorizado]]="Nudo",VLOOKUP(PMG_D__Remuneracion[[#This Row],[Barra]]&amp;"_"&amp;PMG_D__Remuneracion[[#This Row],[Tensión]],Tabla3[aux],1,0),"-")</f>
        <v>CURACAVI_12</v>
      </c>
      <c r="H31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11" spans="1:8">
      <c r="A311" t="s">
        <v>2388</v>
      </c>
      <c r="B311" t="s">
        <v>2389</v>
      </c>
      <c r="C311" t="s">
        <v>1347</v>
      </c>
      <c r="D311" t="s">
        <v>1755</v>
      </c>
      <c r="E311" t="s">
        <v>2390</v>
      </c>
      <c r="F311" t="s">
        <v>1583</v>
      </c>
      <c r="G311" s="9" t="str">
        <f>+IF(PMG_D__Remuneracion[[#This Row],[Precio Valorizado]]="Nudo",VLOOKUP(PMG_D__Remuneracion[[#This Row],[Barra]]&amp;"_"&amp;PMG_D__Remuneracion[[#This Row],[Tensión]],Tabla3[aux],1,0),"-")</f>
        <v>STA.ROSA_23</v>
      </c>
      <c r="H31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12" spans="1:8">
      <c r="A312" t="s">
        <v>2391</v>
      </c>
      <c r="B312" t="s">
        <v>2392</v>
      </c>
      <c r="C312" t="s">
        <v>215</v>
      </c>
      <c r="D312" t="s">
        <v>1756</v>
      </c>
      <c r="E312" t="s">
        <v>2393</v>
      </c>
      <c r="F312" t="s">
        <v>1583</v>
      </c>
      <c r="G312" s="9" t="str">
        <f>+IF(PMG_D__Remuneracion[[#This Row],[Precio Valorizado]]="Nudo",VLOOKUP(PMG_D__Remuneracion[[#This Row],[Barra]]&amp;"_"&amp;PMG_D__Remuneracion[[#This Row],[Tensión]],Tabla3[aux],1,0),"-")</f>
        <v>CAUQUENES_13</v>
      </c>
      <c r="H31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13" spans="1:8">
      <c r="A313" t="s">
        <v>2394</v>
      </c>
      <c r="B313" t="s">
        <v>2395</v>
      </c>
      <c r="C313" t="s">
        <v>258</v>
      </c>
      <c r="D313" t="s">
        <v>1756</v>
      </c>
      <c r="E313" t="s">
        <v>2396</v>
      </c>
      <c r="F313" t="s">
        <v>1583</v>
      </c>
      <c r="G313" s="9" t="str">
        <f>+IF(PMG_D__Remuneracion[[#This Row],[Precio Valorizado]]="Nudo",VLOOKUP(PMG_D__Remuneracion[[#This Row],[Barra]]&amp;"_"&amp;PMG_D__Remuneracion[[#This Row],[Tensión]],Tabla3[aux],1,0),"-")</f>
        <v>CHILLAN_13</v>
      </c>
      <c r="H31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14" spans="1:8">
      <c r="A314" t="s">
        <v>2397</v>
      </c>
      <c r="B314" t="s">
        <v>2398</v>
      </c>
      <c r="C314" t="s">
        <v>1286</v>
      </c>
      <c r="D314" t="s">
        <v>1756</v>
      </c>
      <c r="E314" t="s">
        <v>2399</v>
      </c>
      <c r="F314" t="s">
        <v>1583</v>
      </c>
      <c r="G314" s="9" t="str">
        <f>+IF(PMG_D__Remuneracion[[#This Row],[Precio Valorizado]]="Nudo",VLOOKUP(PMG_D__Remuneracion[[#This Row],[Barra]]&amp;"_"&amp;PMG_D__Remuneracion[[#This Row],[Tensión]],Tabla3[aux],1,0),"-")</f>
        <v>S.VICENTETT_13</v>
      </c>
      <c r="H31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15" spans="1:8">
      <c r="A315" t="s">
        <v>2400</v>
      </c>
      <c r="B315" t="s">
        <v>2401</v>
      </c>
      <c r="C315" t="s">
        <v>929</v>
      </c>
      <c r="D315" t="s">
        <v>1755</v>
      </c>
      <c r="E315" t="s">
        <v>1840</v>
      </c>
      <c r="F315" t="s">
        <v>1583</v>
      </c>
      <c r="G315" s="9" t="str">
        <f>+IF(PMG_D__Remuneracion[[#This Row],[Precio Valorizado]]="Nudo",VLOOKUP(PMG_D__Remuneracion[[#This Row],[Barra]]&amp;"_"&amp;PMG_D__Remuneracion[[#This Row],[Tensión]],Tabla3[aux],1,0),"-")</f>
        <v>OVALLE_23</v>
      </c>
      <c r="H31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16" spans="1:8">
      <c r="A316" t="s">
        <v>2402</v>
      </c>
      <c r="B316" t="s">
        <v>2403</v>
      </c>
      <c r="C316" t="s">
        <v>639</v>
      </c>
      <c r="D316" t="s">
        <v>1756</v>
      </c>
      <c r="E316" t="s">
        <v>2404</v>
      </c>
      <c r="F316" t="s">
        <v>1583</v>
      </c>
      <c r="G316" s="9" t="str">
        <f>+IF(PMG_D__Remuneracion[[#This Row],[Precio Valorizado]]="Nudo",VLOOKUP(PMG_D__Remuneracion[[#This Row],[Barra]]&amp;"_"&amp;PMG_D__Remuneracion[[#This Row],[Tensión]],Tabla3[aux],1,0),"-")</f>
        <v>LAJA_13</v>
      </c>
      <c r="H31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17" spans="1:8">
      <c r="A317" t="s">
        <v>6562</v>
      </c>
      <c r="B317" t="s">
        <v>6519</v>
      </c>
      <c r="C317" t="s">
        <v>4753</v>
      </c>
      <c r="D317" t="s">
        <v>1756</v>
      </c>
      <c r="E317" t="s">
        <v>6520</v>
      </c>
      <c r="F317" t="s">
        <v>1583</v>
      </c>
      <c r="G317" s="9" t="str">
        <f>+IF(PMG_D__Remuneracion[[#This Row],[Precio Valorizado]]="Nudo",VLOOKUP(PMG_D__Remuneracion[[#This Row],[Barra]]&amp;"_"&amp;PMG_D__Remuneracion[[#This Row],[Tensión]],Tabla3[aux],1,0),"-")</f>
        <v>SANTACRUZ_13</v>
      </c>
      <c r="H31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18" spans="1:8">
      <c r="A318" t="s">
        <v>2405</v>
      </c>
      <c r="B318" t="s">
        <v>2406</v>
      </c>
      <c r="C318" t="s">
        <v>1460</v>
      </c>
      <c r="D318" t="s">
        <v>1756</v>
      </c>
      <c r="E318" t="s">
        <v>2407</v>
      </c>
      <c r="F318" t="s">
        <v>1583</v>
      </c>
      <c r="G318" s="9" t="str">
        <f>+IF(PMG_D__Remuneracion[[#This Row],[Precio Valorizado]]="Nudo",VLOOKUP(PMG_D__Remuneracion[[#This Row],[Barra]]&amp;"_"&amp;PMG_D__Remuneracion[[#This Row],[Tensión]],Tabla3[aux],1,0),"-")</f>
        <v>TENO_13</v>
      </c>
      <c r="H31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19" spans="1:8">
      <c r="A319" t="s">
        <v>2408</v>
      </c>
      <c r="B319" t="s">
        <v>2409</v>
      </c>
      <c r="C319" t="s">
        <v>377</v>
      </c>
      <c r="D319" t="s">
        <v>1756</v>
      </c>
      <c r="E319" t="s">
        <v>2334</v>
      </c>
      <c r="F319" t="s">
        <v>1583</v>
      </c>
      <c r="G319" s="9" t="str">
        <f>+IF(PMG_D__Remuneracion[[#This Row],[Precio Valorizado]]="Nudo",VLOOKUP(PMG_D__Remuneracion[[#This Row],[Barra]]&amp;"_"&amp;PMG_D__Remuneracion[[#This Row],[Tensión]],Tabla3[aux],1,0),"-")</f>
        <v>CURICO_13</v>
      </c>
      <c r="H31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20" spans="1:8">
      <c r="A320" t="s">
        <v>2410</v>
      </c>
      <c r="B320" t="s">
        <v>2411</v>
      </c>
      <c r="C320" t="s">
        <v>567</v>
      </c>
      <c r="D320" t="s">
        <v>1756</v>
      </c>
      <c r="E320" t="s">
        <v>2412</v>
      </c>
      <c r="F320" t="s">
        <v>1583</v>
      </c>
      <c r="G320" s="9" t="str">
        <f>+IF(PMG_D__Remuneracion[[#This Row],[Precio Valorizado]]="Nudo",VLOOKUP(PMG_D__Remuneracion[[#This Row],[Barra]]&amp;"_"&amp;PMG_D__Remuneracion[[#This Row],[Tensión]],Tabla3[aux],1,0),"-")</f>
        <v>L.CABRAS_13</v>
      </c>
      <c r="H32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21" spans="1:8">
      <c r="A321" t="s">
        <v>2413</v>
      </c>
      <c r="B321" t="s">
        <v>2414</v>
      </c>
      <c r="C321" t="s">
        <v>238</v>
      </c>
      <c r="D321" t="s">
        <v>1756</v>
      </c>
      <c r="E321" t="s">
        <v>2415</v>
      </c>
      <c r="F321" t="s">
        <v>1583</v>
      </c>
      <c r="G321" s="9" t="str">
        <f>+IF(PMG_D__Remuneracion[[#This Row],[Precio Valorizado]]="Nudo",VLOOKUP(PMG_D__Remuneracion[[#This Row],[Barra]]&amp;"_"&amp;PMG_D__Remuneracion[[#This Row],[Tensión]],Tabla3[aux],1,0),"-")</f>
        <v>CHACAHUIN_13</v>
      </c>
      <c r="H32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22" spans="1:8">
      <c r="A322" t="s">
        <v>2416</v>
      </c>
      <c r="B322" t="s">
        <v>2417</v>
      </c>
      <c r="C322" t="s">
        <v>474</v>
      </c>
      <c r="D322" t="s">
        <v>1756</v>
      </c>
      <c r="E322" t="s">
        <v>2418</v>
      </c>
      <c r="F322" t="s">
        <v>1583</v>
      </c>
      <c r="G322" s="9" t="str">
        <f>+IF(PMG_D__Remuneracion[[#This Row],[Precio Valorizado]]="Nudo",VLOOKUP(PMG_D__Remuneracion[[#This Row],[Barra]]&amp;"_"&amp;PMG_D__Remuneracion[[#This Row],[Tensión]],Tabla3[aux],1,0),"-")</f>
        <v>ESPERANZA_13</v>
      </c>
      <c r="H32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23" spans="1:8">
      <c r="A323" t="s">
        <v>2419</v>
      </c>
      <c r="B323" t="s">
        <v>2420</v>
      </c>
      <c r="C323" t="s">
        <v>1239</v>
      </c>
      <c r="D323" t="s">
        <v>1756</v>
      </c>
      <c r="E323" t="s">
        <v>6404</v>
      </c>
      <c r="F323" t="s">
        <v>1583</v>
      </c>
      <c r="G323" s="9" t="str">
        <f>+IF(PMG_D__Remuneracion[[#This Row],[Precio Valorizado]]="Nudo",VLOOKUP(PMG_D__Remuneracion[[#This Row],[Barra]]&amp;"_"&amp;PMG_D__Remuneracion[[#This Row],[Tensión]],Tabla3[aux],1,0),"-")</f>
        <v>S.CARLOS_13</v>
      </c>
      <c r="H32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24" spans="1:8">
      <c r="A324" t="s">
        <v>2421</v>
      </c>
      <c r="B324" t="s">
        <v>2422</v>
      </c>
      <c r="C324" t="s">
        <v>60</v>
      </c>
      <c r="D324" t="s">
        <v>1756</v>
      </c>
      <c r="E324" t="s">
        <v>2423</v>
      </c>
      <c r="F324" t="s">
        <v>1583</v>
      </c>
      <c r="G324" s="9" t="str">
        <f>+IF(PMG_D__Remuneracion[[#This Row],[Precio Valorizado]]="Nudo",VLOOKUP(PMG_D__Remuneracion[[#This Row],[Barra]]&amp;"_"&amp;PMG_D__Remuneracion[[#This Row],[Tensión]],Tabla3[aux],1,0),"-")</f>
        <v>ANCOA_13</v>
      </c>
      <c r="H32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25" spans="1:8">
      <c r="A325" t="s">
        <v>2424</v>
      </c>
      <c r="B325" t="s">
        <v>2425</v>
      </c>
      <c r="C325" t="s">
        <v>304</v>
      </c>
      <c r="D325" t="s">
        <v>1756</v>
      </c>
      <c r="E325" t="s">
        <v>2426</v>
      </c>
      <c r="F325" t="s">
        <v>1583</v>
      </c>
      <c r="G325" s="9" t="str">
        <f>+IF(PMG_D__Remuneracion[[#This Row],[Precio Valorizado]]="Nudo",VLOOKUP(PMG_D__Remuneracion[[#This Row],[Barra]]&amp;"_"&amp;PMG_D__Remuneracion[[#This Row],[Tensión]],Tabla3[aux],1,0),"-")</f>
        <v>COCHARCAS_13</v>
      </c>
      <c r="H32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26" spans="1:8">
      <c r="A326" t="s">
        <v>2427</v>
      </c>
      <c r="B326" t="s">
        <v>2428</v>
      </c>
      <c r="C326" t="s">
        <v>288</v>
      </c>
      <c r="D326" t="s">
        <v>1756</v>
      </c>
      <c r="E326" t="s">
        <v>6404</v>
      </c>
      <c r="F326" t="s">
        <v>1583</v>
      </c>
      <c r="G326" s="9" t="str">
        <f>+IF(PMG_D__Remuneracion[[#This Row],[Precio Valorizado]]="Nudo",VLOOKUP(PMG_D__Remuneracion[[#This Row],[Barra]]&amp;"_"&amp;PMG_D__Remuneracion[[#This Row],[Tensión]],Tabla3[aux],1,0),"-")</f>
        <v>CHUMAQUITO_13</v>
      </c>
      <c r="H32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27" spans="1:8">
      <c r="A327" t="s">
        <v>2429</v>
      </c>
      <c r="B327" t="s">
        <v>2430</v>
      </c>
      <c r="C327" t="s">
        <v>687</v>
      </c>
      <c r="D327" t="s">
        <v>1756</v>
      </c>
      <c r="E327" t="s">
        <v>2431</v>
      </c>
      <c r="F327" t="s">
        <v>1583</v>
      </c>
      <c r="G327" s="9" t="str">
        <f>+IF(PMG_D__Remuneracion[[#This Row],[Precio Valorizado]]="Nudo",VLOOKUP(PMG_D__Remuneracion[[#This Row],[Barra]]&amp;"_"&amp;PMG_D__Remuneracion[[#This Row],[Tensión]],Tabla3[aux],1,0),"-")</f>
        <v>LEYDA_13</v>
      </c>
      <c r="H32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28" spans="1:8">
      <c r="A328" t="s">
        <v>2432</v>
      </c>
      <c r="B328" t="s">
        <v>2433</v>
      </c>
      <c r="C328" t="s">
        <v>567</v>
      </c>
      <c r="D328" t="s">
        <v>1756</v>
      </c>
      <c r="E328" t="s">
        <v>2434</v>
      </c>
      <c r="F328" t="s">
        <v>1583</v>
      </c>
      <c r="G328" s="9" t="str">
        <f>+IF(PMG_D__Remuneracion[[#This Row],[Precio Valorizado]]="Nudo",VLOOKUP(PMG_D__Remuneracion[[#This Row],[Barra]]&amp;"_"&amp;PMG_D__Remuneracion[[#This Row],[Tensión]],Tabla3[aux],1,0),"-")</f>
        <v>L.CABRAS_13</v>
      </c>
      <c r="H32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29" spans="1:8">
      <c r="A329" t="s">
        <v>2435</v>
      </c>
      <c r="B329" t="s">
        <v>2436</v>
      </c>
      <c r="C329" t="s">
        <v>191</v>
      </c>
      <c r="D329" t="s">
        <v>1755</v>
      </c>
      <c r="E329" t="s">
        <v>2437</v>
      </c>
      <c r="F329" t="s">
        <v>1758</v>
      </c>
      <c r="G329" s="9" t="str">
        <f>+IF(PMG_D__Remuneracion[[#This Row],[Precio Valorizado]]="Nudo",VLOOKUP(PMG_D__Remuneracion[[#This Row],[Barra]]&amp;"_"&amp;PMG_D__Remuneracion[[#This Row],[Tensión]],Tabla3[aux],1,0),"-")</f>
        <v>-</v>
      </c>
      <c r="H329" s="9" t="str">
        <f>+IF(PMG_D__Remuneracion[[#This Row],[Precio Valorizado]]="Estabilizado",VLOOKUP(PMG_D__Remuneracion[[#This Row],[Barra]]&amp;"_"&amp;PMG_D__Remuneracion[[#This Row],[Tensión]],'FACTORES DE REFERENCIACION'!N:N,1,0),"-")</f>
        <v>CARAMPANGUE_23</v>
      </c>
    </row>
    <row r="330" spans="1:8">
      <c r="A330" t="s">
        <v>6521</v>
      </c>
      <c r="B330" t="s">
        <v>6522</v>
      </c>
      <c r="C330" t="s">
        <v>609</v>
      </c>
      <c r="D330" t="s">
        <v>1756</v>
      </c>
      <c r="E330" t="s">
        <v>6523</v>
      </c>
      <c r="F330" t="s">
        <v>1583</v>
      </c>
      <c r="G330" s="9" t="str">
        <f>+IF(PMG_D__Remuneracion[[#This Row],[Precio Valorizado]]="Nudo",VLOOKUP(PMG_D__Remuneracion[[#This Row],[Barra]]&amp;"_"&amp;PMG_D__Remuneracion[[#This Row],[Tensión]],Tabla3[aux],1,0),"-")</f>
        <v>LA_CALERA_13</v>
      </c>
      <c r="H33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31" spans="1:8">
      <c r="A331" t="s">
        <v>2438</v>
      </c>
      <c r="B331" t="s">
        <v>2439</v>
      </c>
      <c r="C331" t="s">
        <v>996</v>
      </c>
      <c r="D331" t="s">
        <v>1756</v>
      </c>
      <c r="E331" t="s">
        <v>6404</v>
      </c>
      <c r="F331" t="s">
        <v>1583</v>
      </c>
      <c r="G331" s="9" t="str">
        <f>+IF(PMG_D__Remuneracion[[#This Row],[Precio Valorizado]]="Nudo",VLOOKUP(PMG_D__Remuneracion[[#This Row],[Barra]]&amp;"_"&amp;PMG_D__Remuneracion[[#This Row],[Tensión]],Tabla3[aux],1,0),"-")</f>
        <v>PANGUILEMO_13</v>
      </c>
      <c r="H33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32" spans="1:8">
      <c r="A332" t="s">
        <v>2440</v>
      </c>
      <c r="B332" t="s">
        <v>2441</v>
      </c>
      <c r="C332" t="s">
        <v>825</v>
      </c>
      <c r="D332" t="s">
        <v>1755</v>
      </c>
      <c r="E332" t="s">
        <v>2442</v>
      </c>
      <c r="F332" t="s">
        <v>1583</v>
      </c>
      <c r="G332" s="9" t="str">
        <f>+IF(PMG_D__Remuneracion[[#This Row],[Precio Valorizado]]="Nudo",VLOOKUP(PMG_D__Remuneracion[[#This Row],[Barra]]&amp;"_"&amp;PMG_D__Remuneracion[[#This Row],[Tensión]],Tabla3[aux],1,0),"-")</f>
        <v>MARQUESA_23</v>
      </c>
      <c r="H33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33" spans="1:8">
      <c r="A333" t="s">
        <v>6563</v>
      </c>
      <c r="B333" t="s">
        <v>6564</v>
      </c>
      <c r="C333" t="s">
        <v>405</v>
      </c>
      <c r="D333" t="s">
        <v>1755</v>
      </c>
      <c r="E333" t="s">
        <v>6317</v>
      </c>
      <c r="F333" t="s">
        <v>1758</v>
      </c>
      <c r="G333" s="9" t="str">
        <f>+IF(PMG_D__Remuneracion[[#This Row],[Precio Valorizado]]="Nudo",VLOOKUP(PMG_D__Remuneracion[[#This Row],[Barra]]&amp;"_"&amp;PMG_D__Remuneracion[[#This Row],[Tensión]],Tabla3[aux],1,0),"-")</f>
        <v>-</v>
      </c>
      <c r="H333" s="9" t="str">
        <f>+IF(PMG_D__Remuneracion[[#This Row],[Precio Valorizado]]="Estabilizado",VLOOKUP(PMG_D__Remuneracion[[#This Row],[Barra]]&amp;"_"&amp;PMG_D__Remuneracion[[#This Row],[Tensión]],'FACTORES DE REFERENCIACION'!N:N,1,0),"-")</f>
        <v>E.PENON_23</v>
      </c>
    </row>
    <row r="334" spans="1:8">
      <c r="A334" t="s">
        <v>2443</v>
      </c>
      <c r="B334" t="s">
        <v>2444</v>
      </c>
      <c r="C334" t="s">
        <v>1286</v>
      </c>
      <c r="D334" t="s">
        <v>1756</v>
      </c>
      <c r="E334" t="s">
        <v>2445</v>
      </c>
      <c r="F334" t="s">
        <v>1583</v>
      </c>
      <c r="G334" s="9" t="str">
        <f>+IF(PMG_D__Remuneracion[[#This Row],[Precio Valorizado]]="Nudo",VLOOKUP(PMG_D__Remuneracion[[#This Row],[Barra]]&amp;"_"&amp;PMG_D__Remuneracion[[#This Row],[Tensión]],Tabla3[aux],1,0),"-")</f>
        <v>S.VICENTETT_13</v>
      </c>
      <c r="H33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35" spans="1:8">
      <c r="A335" t="s">
        <v>2446</v>
      </c>
      <c r="B335" t="s">
        <v>2447</v>
      </c>
      <c r="C335" t="s">
        <v>228</v>
      </c>
      <c r="D335" t="s">
        <v>1756</v>
      </c>
      <c r="E335" t="s">
        <v>2448</v>
      </c>
      <c r="F335" t="s">
        <v>1583</v>
      </c>
      <c r="G335" s="9" t="str">
        <f>+IF(PMG_D__Remuneracion[[#This Row],[Precio Valorizado]]="Nudo",VLOOKUP(PMG_D__Remuneracion[[#This Row],[Barra]]&amp;"_"&amp;PMG_D__Remuneracion[[#This Row],[Tensión]],Tabla3[aux],1,0),"-")</f>
        <v>CERRILLOS_13</v>
      </c>
      <c r="H33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36" spans="1:8">
      <c r="A336" t="s">
        <v>2449</v>
      </c>
      <c r="B336" t="s">
        <v>2450</v>
      </c>
      <c r="C336" t="s">
        <v>816</v>
      </c>
      <c r="D336" t="s">
        <v>1756</v>
      </c>
      <c r="E336" t="s">
        <v>2451</v>
      </c>
      <c r="F336" t="s">
        <v>1583</v>
      </c>
      <c r="G336" s="9" t="str">
        <f>+IF(PMG_D__Remuneracion[[#This Row],[Precio Valorizado]]="Nudo",VLOOKUP(PMG_D__Remuneracion[[#This Row],[Barra]]&amp;"_"&amp;PMG_D__Remuneracion[[#This Row],[Tensión]],Tabla3[aux],1,0),"-")</f>
        <v>MARCHIHUE_13</v>
      </c>
      <c r="H33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37" spans="1:8">
      <c r="A337" t="s">
        <v>2452</v>
      </c>
      <c r="B337" t="s">
        <v>2453</v>
      </c>
      <c r="C337" t="s">
        <v>1501</v>
      </c>
      <c r="D337" t="s">
        <v>1756</v>
      </c>
      <c r="E337" t="s">
        <v>2454</v>
      </c>
      <c r="F337" t="s">
        <v>1583</v>
      </c>
      <c r="G337" s="9" t="str">
        <f>+IF(PMG_D__Remuneracion[[#This Row],[Precio Valorizado]]="Nudo",VLOOKUP(PMG_D__Remuneracion[[#This Row],[Barra]]&amp;"_"&amp;PMG_D__Remuneracion[[#This Row],[Tensión]],Tabla3[aux],1,0),"-")</f>
        <v>TRESESQUINAS_13</v>
      </c>
      <c r="H33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38" spans="1:8">
      <c r="A338" t="s">
        <v>2455</v>
      </c>
      <c r="B338" t="s">
        <v>2456</v>
      </c>
      <c r="C338" t="s">
        <v>1273</v>
      </c>
      <c r="D338" t="s">
        <v>1756</v>
      </c>
      <c r="E338" t="s">
        <v>2457</v>
      </c>
      <c r="F338" t="s">
        <v>1583</v>
      </c>
      <c r="G338" s="9" t="str">
        <f>+IF(PMG_D__Remuneracion[[#This Row],[Precio Valorizado]]="Nudo",VLOOKUP(PMG_D__Remuneracion[[#This Row],[Barra]]&amp;"_"&amp;PMG_D__Remuneracion[[#This Row],[Tensión]],Tabla3[aux],1,0),"-")</f>
        <v>S.RAFAEL_13</v>
      </c>
      <c r="H33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39" spans="1:8">
      <c r="A339" t="s">
        <v>2458</v>
      </c>
      <c r="B339" t="s">
        <v>2459</v>
      </c>
      <c r="C339" t="s">
        <v>809</v>
      </c>
      <c r="D339" t="s">
        <v>1756</v>
      </c>
      <c r="E339" t="s">
        <v>3206</v>
      </c>
      <c r="F339" t="s">
        <v>1583</v>
      </c>
      <c r="G339" s="9" t="str">
        <f>+IF(PMG_D__Remuneracion[[#This Row],[Precio Valorizado]]="Nudo",VLOOKUP(PMG_D__Remuneracion[[#This Row],[Barra]]&amp;"_"&amp;PMG_D__Remuneracion[[#This Row],[Tensión]],Tabla3[aux],1,0),"-")</f>
        <v>MANDINGA_13</v>
      </c>
      <c r="H33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40" spans="1:8">
      <c r="A340" t="s">
        <v>2460</v>
      </c>
      <c r="B340" t="s">
        <v>2461</v>
      </c>
      <c r="C340" t="s">
        <v>447</v>
      </c>
      <c r="D340" t="s">
        <v>1756</v>
      </c>
      <c r="E340" t="s">
        <v>2462</v>
      </c>
      <c r="F340" t="s">
        <v>1583</v>
      </c>
      <c r="G340" s="9" t="str">
        <f>+IF(PMG_D__Remuneracion[[#This Row],[Precio Valorizado]]="Nudo",VLOOKUP(PMG_D__Remuneracion[[#This Row],[Barra]]&amp;"_"&amp;PMG_D__Remuneracion[[#This Row],[Tensión]],Tabla3[aux],1,0),"-")</f>
        <v>ELPAICO_13</v>
      </c>
      <c r="H34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41" spans="1:8">
      <c r="A341" t="s">
        <v>2463</v>
      </c>
      <c r="B341" t="s">
        <v>2464</v>
      </c>
      <c r="C341" t="s">
        <v>1256</v>
      </c>
      <c r="D341" t="s">
        <v>1755</v>
      </c>
      <c r="E341" t="s">
        <v>1801</v>
      </c>
      <c r="F341" t="s">
        <v>1583</v>
      </c>
      <c r="G341" s="9" t="str">
        <f>+IF(PMG_D__Remuneracion[[#This Row],[Precio Valorizado]]="Nudo",VLOOKUP(PMG_D__Remuneracion[[#This Row],[Barra]]&amp;"_"&amp;PMG_D__Remuneracion[[#This Row],[Tensión]],Tabla3[aux],1,0),"-")</f>
        <v>S.JAVIER_23</v>
      </c>
      <c r="H34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42" spans="1:8">
      <c r="A342" t="s">
        <v>3237</v>
      </c>
      <c r="B342" t="s">
        <v>3280</v>
      </c>
      <c r="C342" t="s">
        <v>563</v>
      </c>
      <c r="D342" t="s">
        <v>1756</v>
      </c>
      <c r="E342" t="s">
        <v>3149</v>
      </c>
      <c r="F342" t="s">
        <v>1583</v>
      </c>
      <c r="G342" s="9" t="str">
        <f>+IF(PMG_D__Remuneracion[[#This Row],[Precio Valorizado]]="Nudo",VLOOKUP(PMG_D__Remuneracion[[#This Row],[Barra]]&amp;"_"&amp;PMG_D__Remuneracion[[#This Row],[Tensión]],Tabla3[aux],1,0),"-")</f>
        <v>L.ANGELES_13</v>
      </c>
      <c r="H34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43" spans="1:8">
      <c r="A343" t="s">
        <v>6604</v>
      </c>
      <c r="B343" t="s">
        <v>6605</v>
      </c>
      <c r="C343" t="s">
        <v>903</v>
      </c>
      <c r="D343" t="s">
        <v>1755</v>
      </c>
      <c r="E343" t="s">
        <v>6606</v>
      </c>
      <c r="F343" t="s">
        <v>1583</v>
      </c>
      <c r="G343" s="9" t="str">
        <f>+IF(PMG_D__Remuneracion[[#This Row],[Precio Valorizado]]="Nudo",VLOOKUP(PMG_D__Remuneracion[[#This Row],[Barra]]&amp;"_"&amp;PMG_D__Remuneracion[[#This Row],[Tensión]],Tabla3[aux],1,0),"-")</f>
        <v>NEGRETE_23</v>
      </c>
      <c r="H34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44" spans="1:8">
      <c r="A344" t="s">
        <v>2465</v>
      </c>
      <c r="B344" t="s">
        <v>2466</v>
      </c>
      <c r="C344" t="s">
        <v>545</v>
      </c>
      <c r="D344" t="s">
        <v>1756</v>
      </c>
      <c r="E344" t="s">
        <v>3227</v>
      </c>
      <c r="F344" t="s">
        <v>1583</v>
      </c>
      <c r="G344" s="9" t="str">
        <f>+IF(PMG_D__Remuneracion[[#This Row],[Precio Valorizado]]="Nudo",VLOOKUP(PMG_D__Remuneracion[[#This Row],[Barra]]&amp;"_"&amp;PMG_D__Remuneracion[[#This Row],[Tensión]],Tabla3[aux],1,0),"-")</f>
        <v>ISLADMAIPO_13</v>
      </c>
      <c r="H34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45" spans="1:8">
      <c r="A345" t="s">
        <v>6473</v>
      </c>
      <c r="B345" t="s">
        <v>6474</v>
      </c>
      <c r="C345" t="s">
        <v>288</v>
      </c>
      <c r="D345" t="s">
        <v>1756</v>
      </c>
      <c r="E345" t="s">
        <v>6475</v>
      </c>
      <c r="F345" t="s">
        <v>1583</v>
      </c>
      <c r="G345" s="9" t="str">
        <f>+IF(PMG_D__Remuneracion[[#This Row],[Precio Valorizado]]="Nudo",VLOOKUP(PMG_D__Remuneracion[[#This Row],[Barra]]&amp;"_"&amp;PMG_D__Remuneracion[[#This Row],[Tensión]],Tabla3[aux],1,0),"-")</f>
        <v>CHUMAQUITO_13</v>
      </c>
      <c r="H34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46" spans="1:8">
      <c r="A346" t="s">
        <v>2467</v>
      </c>
      <c r="B346" t="s">
        <v>2468</v>
      </c>
      <c r="C346" t="s">
        <v>1002</v>
      </c>
      <c r="D346" t="s">
        <v>1756</v>
      </c>
      <c r="E346" t="s">
        <v>2048</v>
      </c>
      <c r="F346" t="s">
        <v>1583</v>
      </c>
      <c r="G346" s="9" t="str">
        <f>+IF(PMG_D__Remuneracion[[#This Row],[Precio Valorizado]]="Nudo",VLOOKUP(PMG_D__Remuneracion[[#This Row],[Barra]]&amp;"_"&amp;PMG_D__Remuneracion[[#This Row],[Tensión]],Tabla3[aux],1,0),"-")</f>
        <v>PANIAHUE_13</v>
      </c>
      <c r="H34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47" spans="1:8">
      <c r="A347" t="s">
        <v>2469</v>
      </c>
      <c r="B347" t="s">
        <v>2470</v>
      </c>
      <c r="C347" t="s">
        <v>238</v>
      </c>
      <c r="D347" t="s">
        <v>1756</v>
      </c>
      <c r="E347" t="s">
        <v>1801</v>
      </c>
      <c r="F347" t="s">
        <v>1583</v>
      </c>
      <c r="G347" s="9" t="str">
        <f>+IF(PMG_D__Remuneracion[[#This Row],[Precio Valorizado]]="Nudo",VLOOKUP(PMG_D__Remuneracion[[#This Row],[Barra]]&amp;"_"&amp;PMG_D__Remuneracion[[#This Row],[Tensión]],Tabla3[aux],1,0),"-")</f>
        <v>CHACAHUIN_13</v>
      </c>
      <c r="H34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48" spans="1:8">
      <c r="A348" t="s">
        <v>6454</v>
      </c>
      <c r="B348" t="s">
        <v>6455</v>
      </c>
      <c r="C348" t="s">
        <v>900</v>
      </c>
      <c r="D348" t="s">
        <v>1755</v>
      </c>
      <c r="E348" t="s">
        <v>6456</v>
      </c>
      <c r="F348" t="s">
        <v>1583</v>
      </c>
      <c r="G348" s="9" t="str">
        <f>+IF(PMG_D__Remuneracion[[#This Row],[Precio Valorizado]]="Nudo",VLOOKUP(PMG_D__Remuneracion[[#This Row],[Barra]]&amp;"_"&amp;PMG_D__Remuneracion[[#This Row],[Tensión]],Tabla3[aux],1,0),"-")</f>
        <v>NEGRA_23</v>
      </c>
      <c r="H34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49" spans="1:8">
      <c r="A349" t="s">
        <v>2471</v>
      </c>
      <c r="B349" t="s">
        <v>2472</v>
      </c>
      <c r="C349" t="s">
        <v>201</v>
      </c>
      <c r="D349" t="s">
        <v>1756</v>
      </c>
      <c r="E349" t="s">
        <v>2473</v>
      </c>
      <c r="F349" t="s">
        <v>1583</v>
      </c>
      <c r="G349" s="9" t="str">
        <f>+IF(PMG_D__Remuneracion[[#This Row],[Precio Valorizado]]="Nudo",VLOOKUP(PMG_D__Remuneracion[[#This Row],[Barra]]&amp;"_"&amp;PMG_D__Remuneracion[[#This Row],[Tensión]],Tabla3[aux],1,0),"-")</f>
        <v>CASABLANCA_13</v>
      </c>
      <c r="H34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50" spans="1:8">
      <c r="A350" t="s">
        <v>6349</v>
      </c>
      <c r="B350" t="s">
        <v>2474</v>
      </c>
      <c r="C350" t="s">
        <v>719</v>
      </c>
      <c r="D350" t="s">
        <v>1755</v>
      </c>
      <c r="E350" t="s">
        <v>1837</v>
      </c>
      <c r="F350" t="s">
        <v>1583</v>
      </c>
      <c r="G350" s="9" t="str">
        <f>+IF(PMG_D__Remuneracion[[#This Row],[Precio Valorizado]]="Nudo",VLOOKUP(PMG_D__Remuneracion[[#This Row],[Barra]]&amp;"_"&amp;PMG_D__Remuneracion[[#This Row],[Tensión]],Tabla3[aux],1,0),"-")</f>
        <v>LO_BOZA_23</v>
      </c>
      <c r="H35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51" spans="1:8">
      <c r="A351" t="s">
        <v>2475</v>
      </c>
      <c r="B351" t="s">
        <v>2476</v>
      </c>
      <c r="C351" t="s">
        <v>1273</v>
      </c>
      <c r="D351" t="s">
        <v>1756</v>
      </c>
      <c r="E351" t="s">
        <v>2477</v>
      </c>
      <c r="F351" t="s">
        <v>1583</v>
      </c>
      <c r="G351" s="9" t="str">
        <f>+IF(PMG_D__Remuneracion[[#This Row],[Precio Valorizado]]="Nudo",VLOOKUP(PMG_D__Remuneracion[[#This Row],[Barra]]&amp;"_"&amp;PMG_D__Remuneracion[[#This Row],[Tensión]],Tabla3[aux],1,0),"-")</f>
        <v>S.RAFAEL_13</v>
      </c>
      <c r="H35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52" spans="1:8">
      <c r="A352" t="s">
        <v>2478</v>
      </c>
      <c r="B352" t="s">
        <v>2479</v>
      </c>
      <c r="C352" t="s">
        <v>118</v>
      </c>
      <c r="D352" t="s">
        <v>1756</v>
      </c>
      <c r="E352" t="s">
        <v>2480</v>
      </c>
      <c r="F352" t="s">
        <v>1583</v>
      </c>
      <c r="G352" s="9" t="str">
        <f>+IF(PMG_D__Remuneracion[[#This Row],[Precio Valorizado]]="Nudo",VLOOKUP(PMG_D__Remuneracion[[#This Row],[Barra]]&amp;"_"&amp;PMG_D__Remuneracion[[#This Row],[Tensión]],Tabla3[aux],1,0),"-")</f>
        <v>BOLLENAR_13</v>
      </c>
      <c r="H35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53" spans="1:8">
      <c r="A353" t="s">
        <v>2481</v>
      </c>
      <c r="B353" t="s">
        <v>2482</v>
      </c>
      <c r="C353" t="s">
        <v>164</v>
      </c>
      <c r="D353" t="s">
        <v>1756</v>
      </c>
      <c r="E353" t="s">
        <v>1814</v>
      </c>
      <c r="F353" t="s">
        <v>1583</v>
      </c>
      <c r="G353" s="9" t="str">
        <f>+IF(PMG_D__Remuneracion[[#This Row],[Precio Valorizado]]="Nudo",VLOOKUP(PMG_D__Remuneracion[[#This Row],[Barra]]&amp;"_"&amp;PMG_D__Remuneracion[[#This Row],[Tensión]],Tabla3[aux],1,0),"-")</f>
        <v>CACHAPOAL_13</v>
      </c>
      <c r="H35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54" spans="1:8">
      <c r="A354" t="s">
        <v>2483</v>
      </c>
      <c r="B354" t="s">
        <v>2484</v>
      </c>
      <c r="C354" t="s">
        <v>1494</v>
      </c>
      <c r="D354" t="s">
        <v>1759</v>
      </c>
      <c r="E354" t="s">
        <v>1814</v>
      </c>
      <c r="F354" t="s">
        <v>1583</v>
      </c>
      <c r="G354" s="9" t="str">
        <f>+IF(PMG_D__Remuneracion[[#This Row],[Precio Valorizado]]="Nudo",VLOOKUP(PMG_D__Remuneracion[[#This Row],[Barra]]&amp;"_"&amp;PMG_D__Remuneracion[[#This Row],[Tensión]],Tabla3[aux],1,0),"-")</f>
        <v>TOTORAL_12</v>
      </c>
      <c r="H35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55" spans="1:8">
      <c r="A355" t="s">
        <v>2485</v>
      </c>
      <c r="B355" t="s">
        <v>2486</v>
      </c>
      <c r="C355" t="s">
        <v>419</v>
      </c>
      <c r="D355" t="s">
        <v>1755</v>
      </c>
      <c r="E355" t="s">
        <v>3206</v>
      </c>
      <c r="F355" t="s">
        <v>1583</v>
      </c>
      <c r="G355" s="9" t="str">
        <f>+IF(PMG_D__Remuneracion[[#This Row],[Precio Valorizado]]="Nudo",VLOOKUP(PMG_D__Remuneracion[[#This Row],[Barra]]&amp;"_"&amp;PMG_D__Remuneracion[[#This Row],[Tensión]],Tabla3[aux],1,0),"-")</f>
        <v>EL_MANZANO_23</v>
      </c>
      <c r="H35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56" spans="1:8">
      <c r="A356" t="s">
        <v>2487</v>
      </c>
      <c r="B356" t="s">
        <v>2488</v>
      </c>
      <c r="C356" t="s">
        <v>825</v>
      </c>
      <c r="D356" t="s">
        <v>1755</v>
      </c>
      <c r="E356" t="s">
        <v>2442</v>
      </c>
      <c r="F356" t="s">
        <v>1583</v>
      </c>
      <c r="G356" s="9" t="str">
        <f>+IF(PMG_D__Remuneracion[[#This Row],[Precio Valorizado]]="Nudo",VLOOKUP(PMG_D__Remuneracion[[#This Row],[Barra]]&amp;"_"&amp;PMG_D__Remuneracion[[#This Row],[Tensión]],Tabla3[aux],1,0),"-")</f>
        <v>MARQUESA_23</v>
      </c>
      <c r="H35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57" spans="1:8">
      <c r="A357" t="s">
        <v>2489</v>
      </c>
      <c r="B357" t="s">
        <v>2490</v>
      </c>
      <c r="C357" t="s">
        <v>599</v>
      </c>
      <c r="D357" t="s">
        <v>1756</v>
      </c>
      <c r="E357" t="s">
        <v>2491</v>
      </c>
      <c r="F357" t="s">
        <v>1583</v>
      </c>
      <c r="G357" s="9" t="str">
        <f>+IF(PMG_D__Remuneracion[[#This Row],[Precio Valorizado]]="Nudo",VLOOKUP(PMG_D__Remuneracion[[#This Row],[Barra]]&amp;"_"&amp;PMG_D__Remuneracion[[#This Row],[Tensión]],Tabla3[aux],1,0),"-")</f>
        <v>L.VEGAS_13</v>
      </c>
      <c r="H35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58" spans="1:8">
      <c r="A358" t="s">
        <v>2492</v>
      </c>
      <c r="B358" t="s">
        <v>2493</v>
      </c>
      <c r="C358" t="s">
        <v>335</v>
      </c>
      <c r="D358" t="s">
        <v>1756</v>
      </c>
      <c r="E358" t="s">
        <v>2494</v>
      </c>
      <c r="F358" t="s">
        <v>1583</v>
      </c>
      <c r="G358" s="9" t="str">
        <f>+IF(PMG_D__Remuneracion[[#This Row],[Precio Valorizado]]="Nudo",VLOOKUP(PMG_D__Remuneracion[[#This Row],[Barra]]&amp;"_"&amp;PMG_D__Remuneracion[[#This Row],[Tensión]],Tabla3[aux],1,0),"-")</f>
        <v>CONCON_13</v>
      </c>
      <c r="H35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59" spans="1:8">
      <c r="A359" t="s">
        <v>2495</v>
      </c>
      <c r="B359" t="s">
        <v>2496</v>
      </c>
      <c r="C359" t="s">
        <v>1085</v>
      </c>
      <c r="D359" t="s">
        <v>1756</v>
      </c>
      <c r="E359" t="s">
        <v>2334</v>
      </c>
      <c r="F359" t="s">
        <v>1583</v>
      </c>
      <c r="G359" s="9" t="str">
        <f>+IF(PMG_D__Remuneracion[[#This Row],[Precio Valorizado]]="Nudo",VLOOKUP(PMG_D__Remuneracion[[#This Row],[Barra]]&amp;"_"&amp;PMG_D__Remuneracion[[#This Row],[Tensión]],Tabla3[aux],1,0),"-")</f>
        <v>PLANTAS_13</v>
      </c>
      <c r="H35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60" spans="1:8">
      <c r="A360" t="s">
        <v>2497</v>
      </c>
      <c r="B360" t="s">
        <v>2498</v>
      </c>
      <c r="C360" t="s">
        <v>719</v>
      </c>
      <c r="D360" t="s">
        <v>1755</v>
      </c>
      <c r="E360" t="s">
        <v>2016</v>
      </c>
      <c r="F360" t="s">
        <v>1583</v>
      </c>
      <c r="G360" s="9" t="str">
        <f>+IF(PMG_D__Remuneracion[[#This Row],[Precio Valorizado]]="Nudo",VLOOKUP(PMG_D__Remuneracion[[#This Row],[Barra]]&amp;"_"&amp;PMG_D__Remuneracion[[#This Row],[Tensión]],Tabla3[aux],1,0),"-")</f>
        <v>LO_BOZA_23</v>
      </c>
      <c r="H36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61" spans="1:8">
      <c r="A361" t="s">
        <v>2499</v>
      </c>
      <c r="B361" t="s">
        <v>2500</v>
      </c>
      <c r="C361" t="s">
        <v>1347</v>
      </c>
      <c r="D361" t="s">
        <v>1755</v>
      </c>
      <c r="E361" t="s">
        <v>2501</v>
      </c>
      <c r="F361" t="s">
        <v>1583</v>
      </c>
      <c r="G361" s="9" t="str">
        <f>+IF(PMG_D__Remuneracion[[#This Row],[Precio Valorizado]]="Nudo",VLOOKUP(PMG_D__Remuneracion[[#This Row],[Barra]]&amp;"_"&amp;PMG_D__Remuneracion[[#This Row],[Tensión]],Tabla3[aux],1,0),"-")</f>
        <v>STA.ROSA_23</v>
      </c>
      <c r="H36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62" spans="1:8">
      <c r="A362" t="s">
        <v>6495</v>
      </c>
      <c r="B362" t="s">
        <v>6496</v>
      </c>
      <c r="C362" t="s">
        <v>164</v>
      </c>
      <c r="D362" t="s">
        <v>1756</v>
      </c>
      <c r="E362" t="s">
        <v>6497</v>
      </c>
      <c r="F362" t="s">
        <v>1583</v>
      </c>
      <c r="G362" s="9" t="str">
        <f>+IF(PMG_D__Remuneracion[[#This Row],[Precio Valorizado]]="Nudo",VLOOKUP(PMG_D__Remuneracion[[#This Row],[Barra]]&amp;"_"&amp;PMG_D__Remuneracion[[#This Row],[Tensión]],Tabla3[aux],1,0),"-")</f>
        <v>CACHAPOAL_13</v>
      </c>
      <c r="H36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63" spans="1:8">
      <c r="A363" t="s">
        <v>2502</v>
      </c>
      <c r="B363" t="s">
        <v>2503</v>
      </c>
      <c r="C363" t="s">
        <v>1212</v>
      </c>
      <c r="D363" t="s">
        <v>1756</v>
      </c>
      <c r="E363" t="s">
        <v>6551</v>
      </c>
      <c r="F363" t="s">
        <v>1583</v>
      </c>
      <c r="G363" s="9" t="str">
        <f>+IF(PMG_D__Remuneracion[[#This Row],[Precio Valorizado]]="Nudo",VLOOKUP(PMG_D__Remuneracion[[#This Row],[Barra]]&amp;"_"&amp;PMG_D__Remuneracion[[#This Row],[Tensión]],Tabla3[aux],1,0),"-")</f>
        <v>RENGO_13</v>
      </c>
      <c r="H36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64" spans="1:8">
      <c r="A364" t="s">
        <v>2504</v>
      </c>
      <c r="B364" t="s">
        <v>2505</v>
      </c>
      <c r="C364" t="s">
        <v>1347</v>
      </c>
      <c r="D364" t="s">
        <v>1755</v>
      </c>
      <c r="E364" t="s">
        <v>2506</v>
      </c>
      <c r="F364" t="s">
        <v>1758</v>
      </c>
      <c r="G364" s="9" t="str">
        <f>+IF(PMG_D__Remuneracion[[#This Row],[Precio Valorizado]]="Nudo",VLOOKUP(PMG_D__Remuneracion[[#This Row],[Barra]]&amp;"_"&amp;PMG_D__Remuneracion[[#This Row],[Tensión]],Tabla3[aux],1,0),"-")</f>
        <v>-</v>
      </c>
      <c r="H364" s="9" t="str">
        <f>+IF(PMG_D__Remuneracion[[#This Row],[Precio Valorizado]]="Estabilizado",VLOOKUP(PMG_D__Remuneracion[[#This Row],[Barra]]&amp;"_"&amp;PMG_D__Remuneracion[[#This Row],[Tensión]],'FACTORES DE REFERENCIACION'!N:N,1,0),"-")</f>
        <v>STA.ROSA_23</v>
      </c>
    </row>
    <row r="365" spans="1:8">
      <c r="A365" t="s">
        <v>2507</v>
      </c>
      <c r="B365" t="s">
        <v>2508</v>
      </c>
      <c r="C365" t="s">
        <v>1517</v>
      </c>
      <c r="D365" t="s">
        <v>1755</v>
      </c>
      <c r="E365" t="s">
        <v>6551</v>
      </c>
      <c r="F365" t="s">
        <v>1583</v>
      </c>
      <c r="G365" s="9" t="str">
        <f>+IF(PMG_D__Remuneracion[[#This Row],[Precio Valorizado]]="Nudo",VLOOKUP(PMG_D__Remuneracion[[#This Row],[Barra]]&amp;"_"&amp;PMG_D__Remuneracion[[#This Row],[Tensión]],Tabla3[aux],1,0),"-")</f>
        <v>URIBE_23</v>
      </c>
      <c r="H36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66" spans="1:8">
      <c r="A366" t="s">
        <v>2509</v>
      </c>
      <c r="B366" t="s">
        <v>2510</v>
      </c>
      <c r="C366" t="s">
        <v>908</v>
      </c>
      <c r="D366" t="s">
        <v>1755</v>
      </c>
      <c r="E366" t="s">
        <v>2511</v>
      </c>
      <c r="F366" t="s">
        <v>1583</v>
      </c>
      <c r="G366" s="9" t="str">
        <f>+IF(PMG_D__Remuneracion[[#This Row],[Precio Valorizado]]="Nudo",VLOOKUP(PMG_D__Remuneracion[[#This Row],[Barra]]&amp;"_"&amp;PMG_D__Remuneracion[[#This Row],[Tensión]],Tabla3[aux],1,0),"-")</f>
        <v>NIRIVILO_23</v>
      </c>
      <c r="H36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67" spans="1:8">
      <c r="A367" t="s">
        <v>2512</v>
      </c>
      <c r="B367" t="s">
        <v>2513</v>
      </c>
      <c r="C367" t="s">
        <v>1071</v>
      </c>
      <c r="D367" t="s">
        <v>1756</v>
      </c>
      <c r="E367" t="s">
        <v>3227</v>
      </c>
      <c r="F367" t="s">
        <v>1583</v>
      </c>
      <c r="G367" s="9" t="str">
        <f>+IF(PMG_D__Remuneracion[[#This Row],[Precio Valorizado]]="Nudo",VLOOKUP(PMG_D__Remuneracion[[#This Row],[Barra]]&amp;"_"&amp;PMG_D__Remuneracion[[#This Row],[Tensión]],Tabla3[aux],1,0),"-")</f>
        <v>PIRQUE_13</v>
      </c>
      <c r="H36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68" spans="1:8">
      <c r="A368" t="s">
        <v>2514</v>
      </c>
      <c r="B368" t="s">
        <v>2515</v>
      </c>
      <c r="C368" t="s">
        <v>325</v>
      </c>
      <c r="D368" t="s">
        <v>1756</v>
      </c>
      <c r="E368" t="s">
        <v>2516</v>
      </c>
      <c r="F368" t="s">
        <v>1583</v>
      </c>
      <c r="G368" s="9" t="str">
        <f>+IF(PMG_D__Remuneracion[[#This Row],[Precio Valorizado]]="Nudo",VLOOKUP(PMG_D__Remuneracion[[#This Row],[Barra]]&amp;"_"&amp;PMG_D__Remuneracion[[#This Row],[Tensión]],Tabla3[aux],1,0),"-")</f>
        <v>COMBARBALA_13</v>
      </c>
      <c r="H36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69" spans="1:8">
      <c r="A369" t="s">
        <v>2517</v>
      </c>
      <c r="B369" t="s">
        <v>2518</v>
      </c>
      <c r="C369" t="s">
        <v>1171</v>
      </c>
      <c r="D369" t="s">
        <v>1756</v>
      </c>
      <c r="E369" t="s">
        <v>2519</v>
      </c>
      <c r="F369" t="s">
        <v>1583</v>
      </c>
      <c r="G369" s="9" t="str">
        <f>+IF(PMG_D__Remuneracion[[#This Row],[Precio Valorizado]]="Nudo",VLOOKUP(PMG_D__Remuneracion[[#This Row],[Barra]]&amp;"_"&amp;PMG_D__Remuneracion[[#This Row],[Tensión]],Tabla3[aux],1,0),"-")</f>
        <v>QUINTERO_13</v>
      </c>
      <c r="H36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70" spans="1:8">
      <c r="A370" t="s">
        <v>2520</v>
      </c>
      <c r="B370" t="s">
        <v>2521</v>
      </c>
      <c r="C370" t="s">
        <v>743</v>
      </c>
      <c r="D370" t="s">
        <v>1754</v>
      </c>
      <c r="E370" t="s">
        <v>2522</v>
      </c>
      <c r="F370" t="s">
        <v>1583</v>
      </c>
      <c r="G370" s="9" t="str">
        <f>+IF(PMG_D__Remuneracion[[#This Row],[Precio Valorizado]]="Nudo",VLOOKUP(PMG_D__Remuneracion[[#This Row],[Barra]]&amp;"_"&amp;PMG_D__Remuneracion[[#This Row],[Tensión]],Tabla3[aux],1,0),"-")</f>
        <v>LORETO_15</v>
      </c>
      <c r="H37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71" spans="1:8">
      <c r="A371" t="s">
        <v>2523</v>
      </c>
      <c r="B371" t="s">
        <v>2524</v>
      </c>
      <c r="C371" t="s">
        <v>380</v>
      </c>
      <c r="D371" t="s">
        <v>1756</v>
      </c>
      <c r="E371" t="s">
        <v>2525</v>
      </c>
      <c r="F371" t="s">
        <v>1583</v>
      </c>
      <c r="G371" s="9" t="str">
        <f>+IF(PMG_D__Remuneracion[[#This Row],[Precio Valorizado]]="Nudo",VLOOKUP(PMG_D__Remuneracion[[#This Row],[Barra]]&amp;"_"&amp;PMG_D__Remuneracion[[#This Row],[Tensión]],Tabla3[aux],1,0),"-")</f>
        <v>CURICO2_13</v>
      </c>
      <c r="H37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72" spans="1:8">
      <c r="A372" t="s">
        <v>2526</v>
      </c>
      <c r="B372" t="s">
        <v>2527</v>
      </c>
      <c r="C372" t="s">
        <v>281</v>
      </c>
      <c r="D372" t="s">
        <v>1756</v>
      </c>
      <c r="E372" t="s">
        <v>2528</v>
      </c>
      <c r="F372" t="s">
        <v>1583</v>
      </c>
      <c r="G372" s="9" t="str">
        <f>+IF(PMG_D__Remuneracion[[#This Row],[Precio Valorizado]]="Nudo",VLOOKUP(PMG_D__Remuneracion[[#This Row],[Barra]]&amp;"_"&amp;PMG_D__Remuneracion[[#This Row],[Tensión]],Tabla3[aux],1,0),"-")</f>
        <v>CHOLGUAN_13</v>
      </c>
      <c r="H37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73" spans="1:8">
      <c r="A373" t="s">
        <v>2529</v>
      </c>
      <c r="B373" t="s">
        <v>2530</v>
      </c>
      <c r="C373" t="s">
        <v>118</v>
      </c>
      <c r="D373" t="s">
        <v>1756</v>
      </c>
      <c r="E373" t="s">
        <v>2531</v>
      </c>
      <c r="F373" t="s">
        <v>1583</v>
      </c>
      <c r="G373" s="9" t="str">
        <f>+IF(PMG_D__Remuneracion[[#This Row],[Precio Valorizado]]="Nudo",VLOOKUP(PMG_D__Remuneracion[[#This Row],[Barra]]&amp;"_"&amp;PMG_D__Remuneracion[[#This Row],[Tensión]],Tabla3[aux],1,0),"-")</f>
        <v>BOLLENAR_13</v>
      </c>
      <c r="H37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74" spans="1:8">
      <c r="A374" t="s">
        <v>6498</v>
      </c>
      <c r="B374" t="s">
        <v>6499</v>
      </c>
      <c r="C374" t="s">
        <v>758</v>
      </c>
      <c r="D374" t="s">
        <v>1755</v>
      </c>
      <c r="E374" t="s">
        <v>6500</v>
      </c>
      <c r="F374" t="s">
        <v>1583</v>
      </c>
      <c r="G374" s="9" t="str">
        <f>+IF(PMG_D__Remuneracion[[#This Row],[Precio Valorizado]]="Nudo",VLOOKUP(PMG_D__Remuneracion[[#This Row],[Barra]]&amp;"_"&amp;PMG_D__Remuneracion[[#This Row],[Tensión]],Tabla3[aux],1,0),"-")</f>
        <v>LOS_SAUCES_23</v>
      </c>
      <c r="H37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75" spans="1:8">
      <c r="A375" t="s">
        <v>2532</v>
      </c>
      <c r="B375" t="s">
        <v>2533</v>
      </c>
      <c r="C375" t="s">
        <v>158</v>
      </c>
      <c r="D375" t="s">
        <v>1755</v>
      </c>
      <c r="E375" t="s">
        <v>2334</v>
      </c>
      <c r="F375" t="s">
        <v>1583</v>
      </c>
      <c r="G375" s="9" t="str">
        <f>+IF(PMG_D__Remuneracion[[#This Row],[Precio Valorizado]]="Nudo",VLOOKUP(PMG_D__Remuneracion[[#This Row],[Barra]]&amp;"_"&amp;PMG_D__Remuneracion[[#This Row],[Tensión]],Tabla3[aux],1,0),"-")</f>
        <v>CABILDO_23</v>
      </c>
      <c r="H37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76" spans="1:8">
      <c r="A376" t="s">
        <v>2534</v>
      </c>
      <c r="B376" t="s">
        <v>2535</v>
      </c>
      <c r="C376" t="s">
        <v>567</v>
      </c>
      <c r="D376" t="s">
        <v>1756</v>
      </c>
      <c r="E376" t="s">
        <v>2536</v>
      </c>
      <c r="F376" t="s">
        <v>1583</v>
      </c>
      <c r="G376" s="9" t="str">
        <f>+IF(PMG_D__Remuneracion[[#This Row],[Precio Valorizado]]="Nudo",VLOOKUP(PMG_D__Remuneracion[[#This Row],[Barra]]&amp;"_"&amp;PMG_D__Remuneracion[[#This Row],[Tensión]],Tabla3[aux],1,0),"-")</f>
        <v>L.CABRAS_13</v>
      </c>
      <c r="H37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77" spans="1:8">
      <c r="A377" t="s">
        <v>2537</v>
      </c>
      <c r="B377" t="s">
        <v>2538</v>
      </c>
      <c r="C377" t="s">
        <v>1507</v>
      </c>
      <c r="D377" t="s">
        <v>1754</v>
      </c>
      <c r="E377" t="s">
        <v>3206</v>
      </c>
      <c r="F377" t="s">
        <v>1583</v>
      </c>
      <c r="G377" s="9" t="str">
        <f>+IF(PMG_D__Remuneracion[[#This Row],[Precio Valorizado]]="Nudo",VLOOKUP(PMG_D__Remuneracion[[#This Row],[Barra]]&amp;"_"&amp;PMG_D__Remuneracion[[#This Row],[Tensión]],Tabla3[aux],1,0),"-")</f>
        <v>TUNICHE_15</v>
      </c>
      <c r="H37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78" spans="1:8">
      <c r="A378" t="s">
        <v>2539</v>
      </c>
      <c r="B378" t="s">
        <v>2540</v>
      </c>
      <c r="C378" t="s">
        <v>201</v>
      </c>
      <c r="D378" t="s">
        <v>1756</v>
      </c>
      <c r="E378" t="s">
        <v>2541</v>
      </c>
      <c r="F378" t="s">
        <v>1583</v>
      </c>
      <c r="G378" s="9" t="str">
        <f>+IF(PMG_D__Remuneracion[[#This Row],[Precio Valorizado]]="Nudo",VLOOKUP(PMG_D__Remuneracion[[#This Row],[Barra]]&amp;"_"&amp;PMG_D__Remuneracion[[#This Row],[Tensión]],Tabla3[aux],1,0),"-")</f>
        <v>CASABLANCA_13</v>
      </c>
      <c r="H37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79" spans="1:8">
      <c r="A379" t="s">
        <v>2542</v>
      </c>
      <c r="B379" t="s">
        <v>2543</v>
      </c>
      <c r="C379" t="s">
        <v>118</v>
      </c>
      <c r="D379" t="s">
        <v>1756</v>
      </c>
      <c r="E379" t="s">
        <v>2544</v>
      </c>
      <c r="F379" t="s">
        <v>1583</v>
      </c>
      <c r="G379" s="9" t="str">
        <f>+IF(PMG_D__Remuneracion[[#This Row],[Precio Valorizado]]="Nudo",VLOOKUP(PMG_D__Remuneracion[[#This Row],[Barra]]&amp;"_"&amp;PMG_D__Remuneracion[[#This Row],[Tensión]],Tabla3[aux],1,0),"-")</f>
        <v>BOLLENAR_13</v>
      </c>
      <c r="H37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80" spans="1:8">
      <c r="A380" t="s">
        <v>2545</v>
      </c>
      <c r="B380" t="s">
        <v>2546</v>
      </c>
      <c r="C380" t="s">
        <v>158</v>
      </c>
      <c r="D380" t="s">
        <v>1755</v>
      </c>
      <c r="E380" t="s">
        <v>1801</v>
      </c>
      <c r="F380" t="s">
        <v>1583</v>
      </c>
      <c r="G380" s="9" t="str">
        <f>+IF(PMG_D__Remuneracion[[#This Row],[Precio Valorizado]]="Nudo",VLOOKUP(PMG_D__Remuneracion[[#This Row],[Barra]]&amp;"_"&amp;PMG_D__Remuneracion[[#This Row],[Tensión]],Tabla3[aux],1,0),"-")</f>
        <v>CABILDO_23</v>
      </c>
      <c r="H38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81" spans="1:8">
      <c r="A381" t="s">
        <v>2547</v>
      </c>
      <c r="B381" t="s">
        <v>2548</v>
      </c>
      <c r="C381" t="s">
        <v>996</v>
      </c>
      <c r="D381" t="s">
        <v>1756</v>
      </c>
      <c r="E381" t="s">
        <v>2549</v>
      </c>
      <c r="F381" t="s">
        <v>1583</v>
      </c>
      <c r="G381" s="9" t="str">
        <f>+IF(PMG_D__Remuneracion[[#This Row],[Precio Valorizado]]="Nudo",VLOOKUP(PMG_D__Remuneracion[[#This Row],[Barra]]&amp;"_"&amp;PMG_D__Remuneracion[[#This Row],[Tensión]],Tabla3[aux],1,0),"-")</f>
        <v>PANGUILEMO_13</v>
      </c>
      <c r="H38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82" spans="1:8">
      <c r="A382" t="s">
        <v>2550</v>
      </c>
      <c r="B382" t="s">
        <v>2551</v>
      </c>
      <c r="C382" t="s">
        <v>419</v>
      </c>
      <c r="D382" t="s">
        <v>1755</v>
      </c>
      <c r="E382" t="s">
        <v>2552</v>
      </c>
      <c r="F382" t="s">
        <v>1583</v>
      </c>
      <c r="G382" s="9" t="str">
        <f>+IF(PMG_D__Remuneracion[[#This Row],[Precio Valorizado]]="Nudo",VLOOKUP(PMG_D__Remuneracion[[#This Row],[Barra]]&amp;"_"&amp;PMG_D__Remuneracion[[#This Row],[Tensión]],Tabla3[aux],1,0),"-")</f>
        <v>EL_MANZANO_23</v>
      </c>
      <c r="H38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83" spans="1:8">
      <c r="A383" t="s">
        <v>2553</v>
      </c>
      <c r="B383" t="s">
        <v>2554</v>
      </c>
      <c r="C383" t="s">
        <v>599</v>
      </c>
      <c r="D383" t="s">
        <v>1756</v>
      </c>
      <c r="E383" t="s">
        <v>2555</v>
      </c>
      <c r="F383" t="s">
        <v>1583</v>
      </c>
      <c r="G383" s="9" t="str">
        <f>+IF(PMG_D__Remuneracion[[#This Row],[Precio Valorizado]]="Nudo",VLOOKUP(PMG_D__Remuneracion[[#This Row],[Barra]]&amp;"_"&amp;PMG_D__Remuneracion[[#This Row],[Tensión]],Tabla3[aux],1,0),"-")</f>
        <v>L.VEGAS_13</v>
      </c>
      <c r="H38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84" spans="1:8">
      <c r="A384" t="s">
        <v>2556</v>
      </c>
      <c r="B384" t="s">
        <v>2557</v>
      </c>
      <c r="C384" t="s">
        <v>1266</v>
      </c>
      <c r="D384" t="s">
        <v>1756</v>
      </c>
      <c r="E384" t="s">
        <v>2558</v>
      </c>
      <c r="F384" t="s">
        <v>1583</v>
      </c>
      <c r="G384" s="9" t="str">
        <f>+IF(PMG_D__Remuneracion[[#This Row],[Precio Valorizado]]="Nudo",VLOOKUP(PMG_D__Remuneracion[[#This Row],[Barra]]&amp;"_"&amp;PMG_D__Remuneracion[[#This Row],[Tensión]],Tabla3[aux],1,0),"-")</f>
        <v>S.MIGUEL_13</v>
      </c>
      <c r="H38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85" spans="1:8">
      <c r="A385" t="s">
        <v>2559</v>
      </c>
      <c r="B385" t="s">
        <v>2560</v>
      </c>
      <c r="C385" t="s">
        <v>621</v>
      </c>
      <c r="D385" t="s">
        <v>1756</v>
      </c>
      <c r="E385" t="s">
        <v>1915</v>
      </c>
      <c r="F385" t="s">
        <v>1583</v>
      </c>
      <c r="G385" s="9" t="str">
        <f>+IF(PMG_D__Remuneracion[[#This Row],[Precio Valorizado]]="Nudo",VLOOKUP(PMG_D__Remuneracion[[#This Row],[Barra]]&amp;"_"&amp;PMG_D__Remuneracion[[#This Row],[Tensión]],Tabla3[aux],1,0),"-")</f>
        <v>LA_PINTANA_13</v>
      </c>
      <c r="H38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86" spans="1:8">
      <c r="A386" t="s">
        <v>2561</v>
      </c>
      <c r="B386" t="s">
        <v>2562</v>
      </c>
      <c r="C386" t="s">
        <v>707</v>
      </c>
      <c r="D386" t="s">
        <v>1755</v>
      </c>
      <c r="E386" t="s">
        <v>1785</v>
      </c>
      <c r="F386" t="s">
        <v>1583</v>
      </c>
      <c r="G386" s="9" t="str">
        <f>+IF(PMG_D__Remuneracion[[#This Row],[Precio Valorizado]]="Nudo",VLOOKUP(PMG_D__Remuneracion[[#This Row],[Barra]]&amp;"_"&amp;PMG_D__Remuneracion[[#This Row],[Tensión]],Tabla3[aux],1,0),"-")</f>
        <v>LLANBLANCOS_23</v>
      </c>
      <c r="H38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87" spans="1:8">
      <c r="A387" t="s">
        <v>2563</v>
      </c>
      <c r="B387" t="s">
        <v>2564</v>
      </c>
      <c r="C387" t="s">
        <v>644</v>
      </c>
      <c r="D387" t="s">
        <v>1756</v>
      </c>
      <c r="E387" t="s">
        <v>2565</v>
      </c>
      <c r="F387" t="s">
        <v>1583</v>
      </c>
      <c r="G387" s="9" t="str">
        <f>+IF(PMG_D__Remuneracion[[#This Row],[Precio Valorizado]]="Nudo",VLOOKUP(PMG_D__Remuneracion[[#This Row],[Barra]]&amp;"_"&amp;PMG_D__Remuneracion[[#This Row],[Tensión]],Tabla3[aux],1,0),"-")</f>
        <v>LAMANGA_13</v>
      </c>
      <c r="H38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88" spans="1:8">
      <c r="A388" t="s">
        <v>2566</v>
      </c>
      <c r="B388" t="s">
        <v>2567</v>
      </c>
      <c r="C388" t="s">
        <v>504</v>
      </c>
      <c r="D388" t="s">
        <v>1754</v>
      </c>
      <c r="E388" t="s">
        <v>1840</v>
      </c>
      <c r="F388" t="s">
        <v>1583</v>
      </c>
      <c r="G388" s="9" t="str">
        <f>+IF(PMG_D__Remuneracion[[#This Row],[Precio Valorizado]]="Nudo",VLOOKUP(PMG_D__Remuneracion[[#This Row],[Barra]]&amp;"_"&amp;PMG_D__Remuneracion[[#This Row],[Tensión]],Tabla3[aux],1,0),"-")</f>
        <v>GRANEROS_15</v>
      </c>
      <c r="H38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89" spans="1:8">
      <c r="A389" t="s">
        <v>2568</v>
      </c>
      <c r="B389" t="s">
        <v>2569</v>
      </c>
      <c r="C389" t="s">
        <v>438</v>
      </c>
      <c r="D389" t="s">
        <v>1756</v>
      </c>
      <c r="E389" t="s">
        <v>2098</v>
      </c>
      <c r="F389" t="s">
        <v>1583</v>
      </c>
      <c r="G389" s="9" t="str">
        <f>+IF(PMG_D__Remuneracion[[#This Row],[Precio Valorizado]]="Nudo",VLOOKUP(PMG_D__Remuneracion[[#This Row],[Barra]]&amp;"_"&amp;PMG_D__Remuneracion[[#This Row],[Tensión]],Tabla3[aux],1,0),"-")</f>
        <v>ELMAITEN_13</v>
      </c>
      <c r="H38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90" spans="1:8">
      <c r="A390" t="s">
        <v>6401</v>
      </c>
      <c r="B390" t="s">
        <v>6402</v>
      </c>
      <c r="C390" t="s">
        <v>168</v>
      </c>
      <c r="D390" t="s">
        <v>1755</v>
      </c>
      <c r="E390" t="s">
        <v>2667</v>
      </c>
      <c r="F390" t="s">
        <v>1583</v>
      </c>
      <c r="G390" s="9" t="str">
        <f>+IF(PMG_D__Remuneracion[[#This Row],[Precio Valorizado]]="Nudo",VLOOKUP(PMG_D__Remuneracion[[#This Row],[Barra]]&amp;"_"&amp;PMG_D__Remuneracion[[#This Row],[Tensión]],Tabla3[aux],1,0),"-")</f>
        <v>CALAMA_23</v>
      </c>
      <c r="H39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91" spans="1:8">
      <c r="A391" t="s">
        <v>2570</v>
      </c>
      <c r="B391" t="s">
        <v>2571</v>
      </c>
      <c r="C391" t="s">
        <v>441</v>
      </c>
      <c r="D391" t="s">
        <v>1754</v>
      </c>
      <c r="E391" t="s">
        <v>2572</v>
      </c>
      <c r="F391" t="s">
        <v>1583</v>
      </c>
      <c r="G391" s="9" t="str">
        <f>+IF(PMG_D__Remuneracion[[#This Row],[Precio Valorizado]]="Nudo",VLOOKUP(PMG_D__Remuneracion[[#This Row],[Barra]]&amp;"_"&amp;PMG_D__Remuneracion[[#This Row],[Tensión]],Tabla3[aux],1,0),"-")</f>
        <v>ELMANZANO_15</v>
      </c>
      <c r="H39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92" spans="1:8">
      <c r="A392" t="s">
        <v>2573</v>
      </c>
      <c r="B392" t="s">
        <v>2574</v>
      </c>
      <c r="C392" t="s">
        <v>1540</v>
      </c>
      <c r="D392" t="s">
        <v>1755</v>
      </c>
      <c r="E392" t="s">
        <v>3206</v>
      </c>
      <c r="F392" t="s">
        <v>1583</v>
      </c>
      <c r="G392" s="9" t="str">
        <f>+IF(PMG_D__Remuneracion[[#This Row],[Precio Valorizado]]="Nudo",VLOOKUP(PMG_D__Remuneracion[[#This Row],[Barra]]&amp;"_"&amp;PMG_D__Remuneracion[[#This Row],[Tensión]],Tabla3[aux],1,0),"-")</f>
        <v>VICUNA_23</v>
      </c>
      <c r="H39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93" spans="1:8">
      <c r="A393" t="s">
        <v>2575</v>
      </c>
      <c r="B393" t="s">
        <v>2576</v>
      </c>
      <c r="C393" t="s">
        <v>545</v>
      </c>
      <c r="D393" t="s">
        <v>1756</v>
      </c>
      <c r="E393" t="s">
        <v>2577</v>
      </c>
      <c r="F393" t="s">
        <v>1583</v>
      </c>
      <c r="G393" s="9" t="str">
        <f>+IF(PMG_D__Remuneracion[[#This Row],[Precio Valorizado]]="Nudo",VLOOKUP(PMG_D__Remuneracion[[#This Row],[Barra]]&amp;"_"&amp;PMG_D__Remuneracion[[#This Row],[Tensión]],Tabla3[aux],1,0),"-")</f>
        <v>ISLADMAIPO_13</v>
      </c>
      <c r="H39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94" spans="1:8">
      <c r="A394" t="s">
        <v>2578</v>
      </c>
      <c r="B394" t="s">
        <v>2579</v>
      </c>
      <c r="C394" t="s">
        <v>935</v>
      </c>
      <c r="D394" t="s">
        <v>1755</v>
      </c>
      <c r="E394" t="s">
        <v>2580</v>
      </c>
      <c r="F394" t="s">
        <v>1583</v>
      </c>
      <c r="G394" s="9" t="str">
        <f>+IF(PMG_D__Remuneracion[[#This Row],[Precio Valorizado]]="Nudo",VLOOKUP(PMG_D__Remuneracion[[#This Row],[Barra]]&amp;"_"&amp;PMG_D__Remuneracion[[#This Row],[Tensión]],Tabla3[aux],1,0),"-")</f>
        <v>P.ALMONTE_23</v>
      </c>
      <c r="H39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95" spans="1:8">
      <c r="A395" t="s">
        <v>2581</v>
      </c>
      <c r="B395" t="s">
        <v>2582</v>
      </c>
      <c r="C395" t="s">
        <v>1171</v>
      </c>
      <c r="D395" t="s">
        <v>1756</v>
      </c>
      <c r="E395" t="s">
        <v>2583</v>
      </c>
      <c r="F395" t="s">
        <v>1583</v>
      </c>
      <c r="G395" s="9" t="str">
        <f>+IF(PMG_D__Remuneracion[[#This Row],[Precio Valorizado]]="Nudo",VLOOKUP(PMG_D__Remuneracion[[#This Row],[Barra]]&amp;"_"&amp;PMG_D__Remuneracion[[#This Row],[Tensión]],Tabla3[aux],1,0),"-")</f>
        <v>QUINTERO_13</v>
      </c>
      <c r="H39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96" spans="1:8">
      <c r="A396" t="s">
        <v>2584</v>
      </c>
      <c r="B396" t="s">
        <v>2585</v>
      </c>
      <c r="C396" t="s">
        <v>1139</v>
      </c>
      <c r="D396" t="s">
        <v>1755</v>
      </c>
      <c r="E396" t="s">
        <v>2586</v>
      </c>
      <c r="F396" t="s">
        <v>1583</v>
      </c>
      <c r="G396" s="9" t="str">
        <f>+IF(PMG_D__Remuneracion[[#This Row],[Precio Valorizado]]="Nudo",VLOOKUP(PMG_D__Remuneracion[[#This Row],[Barra]]&amp;"_"&amp;PMG_D__Remuneracion[[#This Row],[Tensión]],Tabla3[aux],1,0),"-")</f>
        <v>QUEREO_23</v>
      </c>
      <c r="H39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97" spans="1:8">
      <c r="A397" t="s">
        <v>2587</v>
      </c>
      <c r="B397" t="s">
        <v>2588</v>
      </c>
      <c r="C397" t="s">
        <v>1401</v>
      </c>
      <c r="D397" t="s">
        <v>1753</v>
      </c>
      <c r="E397" t="s">
        <v>1777</v>
      </c>
      <c r="F397" t="s">
        <v>1758</v>
      </c>
      <c r="G397" s="9" t="str">
        <f>+IF(PMG_D__Remuneracion[[#This Row],[Precio Valorizado]]="Nudo",VLOOKUP(PMG_D__Remuneracion[[#This Row],[Barra]]&amp;"_"&amp;PMG_D__Remuneracion[[#This Row],[Tensión]],Tabla3[aux],1,0),"-")</f>
        <v>-</v>
      </c>
      <c r="H397" s="9" t="str">
        <f>+IF(PMG_D__Remuneracion[[#This Row],[Precio Valorizado]]="Estabilizado",VLOOKUP(PMG_D__Remuneracion[[#This Row],[Barra]]&amp;"_"&amp;PMG_D__Remuneracion[[#This Row],[Tensión]],'FACTORES DE REFERENCIACION'!N:N,1,0),"-")</f>
        <v>TAP_EL_MAITEN_66</v>
      </c>
    </row>
    <row r="398" spans="1:8">
      <c r="A398" t="s">
        <v>2589</v>
      </c>
      <c r="B398" t="s">
        <v>2590</v>
      </c>
      <c r="C398" t="s">
        <v>644</v>
      </c>
      <c r="D398" t="s">
        <v>1756</v>
      </c>
      <c r="E398" t="s">
        <v>2591</v>
      </c>
      <c r="F398" t="s">
        <v>1583</v>
      </c>
      <c r="G398" s="9" t="str">
        <f>+IF(PMG_D__Remuneracion[[#This Row],[Precio Valorizado]]="Nudo",VLOOKUP(PMG_D__Remuneracion[[#This Row],[Barra]]&amp;"_"&amp;PMG_D__Remuneracion[[#This Row],[Tensión]],Tabla3[aux],1,0),"-")</f>
        <v>LAMANGA_13</v>
      </c>
      <c r="H39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399" spans="1:8">
      <c r="A399" t="s">
        <v>2592</v>
      </c>
      <c r="B399" t="s">
        <v>2593</v>
      </c>
      <c r="C399" t="s">
        <v>775</v>
      </c>
      <c r="D399" t="s">
        <v>1756</v>
      </c>
      <c r="E399" t="s">
        <v>6404</v>
      </c>
      <c r="F399" t="s">
        <v>1583</v>
      </c>
      <c r="G399" s="9" t="str">
        <f>+IF(PMG_D__Remuneracion[[#This Row],[Precio Valorizado]]="Nudo",VLOOKUP(PMG_D__Remuneracion[[#This Row],[Barra]]&amp;"_"&amp;PMG_D__Remuneracion[[#This Row],[Tensión]],Tabla3[aux],1,0),"-")</f>
        <v>M.PATRIA_13</v>
      </c>
      <c r="H39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00" spans="1:8">
      <c r="A400" t="s">
        <v>2594</v>
      </c>
      <c r="B400" t="s">
        <v>2595</v>
      </c>
      <c r="C400" t="s">
        <v>809</v>
      </c>
      <c r="D400" t="s">
        <v>1756</v>
      </c>
      <c r="E400" t="s">
        <v>2015</v>
      </c>
      <c r="F400" t="s">
        <v>1583</v>
      </c>
      <c r="G400" s="9" t="str">
        <f>+IF(PMG_D__Remuneracion[[#This Row],[Precio Valorizado]]="Nudo",VLOOKUP(PMG_D__Remuneracion[[#This Row],[Barra]]&amp;"_"&amp;PMG_D__Remuneracion[[#This Row],[Tensión]],Tabla3[aux],1,0),"-")</f>
        <v>MANDINGA_13</v>
      </c>
      <c r="H40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01" spans="1:8">
      <c r="A401" t="s">
        <v>2596</v>
      </c>
      <c r="B401" t="s">
        <v>2597</v>
      </c>
      <c r="C401" t="s">
        <v>804</v>
      </c>
      <c r="D401" t="s">
        <v>1756</v>
      </c>
      <c r="E401" t="s">
        <v>3281</v>
      </c>
      <c r="F401" t="s">
        <v>1583</v>
      </c>
      <c r="G401" s="9" t="str">
        <f>+IF(PMG_D__Remuneracion[[#This Row],[Precio Valorizado]]="Nudo",VLOOKUP(PMG_D__Remuneracion[[#This Row],[Barra]]&amp;"_"&amp;PMG_D__Remuneracion[[#This Row],[Tensión]],Tabla3[aux],1,0),"-")</f>
        <v>MALLOCO_13</v>
      </c>
      <c r="H40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02" spans="1:8">
      <c r="A402" t="s">
        <v>2598</v>
      </c>
      <c r="B402" t="s">
        <v>2599</v>
      </c>
      <c r="C402" t="s">
        <v>687</v>
      </c>
      <c r="D402" t="s">
        <v>1756</v>
      </c>
      <c r="E402" t="s">
        <v>2306</v>
      </c>
      <c r="F402" t="s">
        <v>1583</v>
      </c>
      <c r="G402" s="9" t="str">
        <f>+IF(PMG_D__Remuneracion[[#This Row],[Precio Valorizado]]="Nudo",VLOOKUP(PMG_D__Remuneracion[[#This Row],[Barra]]&amp;"_"&amp;PMG_D__Remuneracion[[#This Row],[Tensión]],Tabla3[aux],1,0),"-")</f>
        <v>LEYDA_13</v>
      </c>
      <c r="H40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03" spans="1:8">
      <c r="A403" t="s">
        <v>2600</v>
      </c>
      <c r="B403" t="s">
        <v>2601</v>
      </c>
      <c r="C403" t="s">
        <v>599</v>
      </c>
      <c r="D403" t="s">
        <v>1756</v>
      </c>
      <c r="E403" t="s">
        <v>2602</v>
      </c>
      <c r="F403" t="s">
        <v>1583</v>
      </c>
      <c r="G403" s="9" t="str">
        <f>+IF(PMG_D__Remuneracion[[#This Row],[Precio Valorizado]]="Nudo",VLOOKUP(PMG_D__Remuneracion[[#This Row],[Barra]]&amp;"_"&amp;PMG_D__Remuneracion[[#This Row],[Tensión]],Tabla3[aux],1,0),"-")</f>
        <v>L.VEGAS_13</v>
      </c>
      <c r="H40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04" spans="1:8">
      <c r="A404" t="s">
        <v>2603</v>
      </c>
      <c r="B404" t="s">
        <v>2604</v>
      </c>
      <c r="C404" t="s">
        <v>809</v>
      </c>
      <c r="D404" t="s">
        <v>1756</v>
      </c>
      <c r="E404" t="s">
        <v>2605</v>
      </c>
      <c r="F404" t="s">
        <v>1583</v>
      </c>
      <c r="G404" s="9" t="str">
        <f>+IF(PMG_D__Remuneracion[[#This Row],[Precio Valorizado]]="Nudo",VLOOKUP(PMG_D__Remuneracion[[#This Row],[Barra]]&amp;"_"&amp;PMG_D__Remuneracion[[#This Row],[Tensión]],Tabla3[aux],1,0),"-")</f>
        <v>MANDINGA_13</v>
      </c>
      <c r="H40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05" spans="1:8">
      <c r="A405" t="s">
        <v>2606</v>
      </c>
      <c r="B405" t="s">
        <v>2607</v>
      </c>
      <c r="C405" t="s">
        <v>644</v>
      </c>
      <c r="D405" t="s">
        <v>1756</v>
      </c>
      <c r="E405" t="s">
        <v>1806</v>
      </c>
      <c r="F405" t="s">
        <v>1583</v>
      </c>
      <c r="G405" s="9" t="str">
        <f>+IF(PMG_D__Remuneracion[[#This Row],[Precio Valorizado]]="Nudo",VLOOKUP(PMG_D__Remuneracion[[#This Row],[Barra]]&amp;"_"&amp;PMG_D__Remuneracion[[#This Row],[Tensión]],Tabla3[aux],1,0),"-")</f>
        <v>LAMANGA_13</v>
      </c>
      <c r="H40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06" spans="1:8">
      <c r="A406" t="s">
        <v>6366</v>
      </c>
      <c r="B406" t="s">
        <v>6367</v>
      </c>
      <c r="C406" t="s">
        <v>365</v>
      </c>
      <c r="D406" t="s">
        <v>1755</v>
      </c>
      <c r="E406" t="s">
        <v>6368</v>
      </c>
      <c r="F406" t="s">
        <v>1583</v>
      </c>
      <c r="G406" s="9" t="str">
        <f>+IF(PMG_D__Remuneracion[[#This Row],[Precio Valorizado]]="Nudo",VLOOKUP(PMG_D__Remuneracion[[#This Row],[Barra]]&amp;"_"&amp;PMG_D__Remuneracion[[#This Row],[Tensión]],Tabla3[aux],1,0),"-")</f>
        <v>CUNCO_23</v>
      </c>
      <c r="H40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07" spans="1:8">
      <c r="A407" t="s">
        <v>2608</v>
      </c>
      <c r="B407" t="s">
        <v>2609</v>
      </c>
      <c r="C407" t="s">
        <v>809</v>
      </c>
      <c r="D407" t="s">
        <v>1756</v>
      </c>
      <c r="E407" t="s">
        <v>2610</v>
      </c>
      <c r="F407" t="s">
        <v>1583</v>
      </c>
      <c r="G407" s="9" t="str">
        <f>+IF(PMG_D__Remuneracion[[#This Row],[Precio Valorizado]]="Nudo",VLOOKUP(PMG_D__Remuneracion[[#This Row],[Barra]]&amp;"_"&amp;PMG_D__Remuneracion[[#This Row],[Tensión]],Tabla3[aux],1,0),"-")</f>
        <v>MANDINGA_13</v>
      </c>
      <c r="H40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08" spans="1:8">
      <c r="A408" t="s">
        <v>2611</v>
      </c>
      <c r="B408" t="s">
        <v>2612</v>
      </c>
      <c r="C408" t="s">
        <v>1531</v>
      </c>
      <c r="D408" t="s">
        <v>1756</v>
      </c>
      <c r="E408" t="s">
        <v>2613</v>
      </c>
      <c r="F408" t="s">
        <v>1583</v>
      </c>
      <c r="G408" s="9" t="str">
        <f>+IF(PMG_D__Remuneracion[[#This Row],[Precio Valorizado]]="Nudo",VLOOKUP(PMG_D__Remuneracion[[#This Row],[Barra]]&amp;"_"&amp;PMG_D__Remuneracion[[#This Row],[Tensión]],Tabla3[aux],1,0),"-")</f>
        <v>VALLENAR_13</v>
      </c>
      <c r="H40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09" spans="1:8">
      <c r="A409" t="s">
        <v>2614</v>
      </c>
      <c r="B409" t="s">
        <v>2615</v>
      </c>
      <c r="C409" t="s">
        <v>816</v>
      </c>
      <c r="D409" t="s">
        <v>1756</v>
      </c>
      <c r="E409" t="s">
        <v>2616</v>
      </c>
      <c r="F409" t="s">
        <v>1583</v>
      </c>
      <c r="G409" s="9" t="str">
        <f>+IF(PMG_D__Remuneracion[[#This Row],[Precio Valorizado]]="Nudo",VLOOKUP(PMG_D__Remuneracion[[#This Row],[Barra]]&amp;"_"&amp;PMG_D__Remuneracion[[#This Row],[Tensión]],Tabla3[aux],1,0),"-")</f>
        <v>MARCHIHUE_13</v>
      </c>
      <c r="H40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10" spans="1:8">
      <c r="A410" t="s">
        <v>2617</v>
      </c>
      <c r="B410" t="s">
        <v>2618</v>
      </c>
      <c r="C410" t="s">
        <v>816</v>
      </c>
      <c r="D410" t="s">
        <v>1756</v>
      </c>
      <c r="E410" t="s">
        <v>1801</v>
      </c>
      <c r="F410" t="s">
        <v>1583</v>
      </c>
      <c r="G410" s="9" t="str">
        <f>+IF(PMG_D__Remuneracion[[#This Row],[Precio Valorizado]]="Nudo",VLOOKUP(PMG_D__Remuneracion[[#This Row],[Barra]]&amp;"_"&amp;PMG_D__Remuneracion[[#This Row],[Tensión]],Tabla3[aux],1,0),"-")</f>
        <v>MARCHIHUE_13</v>
      </c>
      <c r="H41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11" spans="1:8">
      <c r="A411" t="s">
        <v>3218</v>
      </c>
      <c r="B411" t="s">
        <v>3219</v>
      </c>
      <c r="C411" t="s">
        <v>567</v>
      </c>
      <c r="D411" t="s">
        <v>1756</v>
      </c>
      <c r="E411" t="s">
        <v>3220</v>
      </c>
      <c r="F411" t="s">
        <v>1583</v>
      </c>
      <c r="G411" s="9" t="str">
        <f>+IF(PMG_D__Remuneracion[[#This Row],[Precio Valorizado]]="Nudo",VLOOKUP(PMG_D__Remuneracion[[#This Row],[Barra]]&amp;"_"&amp;PMG_D__Remuneracion[[#This Row],[Tensión]],Tabla3[aux],1,0),"-")</f>
        <v>L.CABRAS_13</v>
      </c>
      <c r="H41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12" spans="1:8">
      <c r="A412" t="s">
        <v>3251</v>
      </c>
      <c r="B412" t="s">
        <v>3282</v>
      </c>
      <c r="C412" t="s">
        <v>769</v>
      </c>
      <c r="D412" t="s">
        <v>1756</v>
      </c>
      <c r="E412" t="s">
        <v>3283</v>
      </c>
      <c r="F412" t="s">
        <v>1583</v>
      </c>
      <c r="G412" s="9" t="str">
        <f>+IF(PMG_D__Remuneracion[[#This Row],[Precio Valorizado]]="Nudo",VLOOKUP(PMG_D__Remuneracion[[#This Row],[Barra]]&amp;"_"&amp;PMG_D__Remuneracion[[#This Row],[Tensión]],Tabla3[aux],1,0),"-")</f>
        <v>M.DEVELASCO_13</v>
      </c>
      <c r="H41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13" spans="1:8">
      <c r="A413" t="s">
        <v>2619</v>
      </c>
      <c r="B413" t="s">
        <v>2620</v>
      </c>
      <c r="C413" t="s">
        <v>118</v>
      </c>
      <c r="D413" t="s">
        <v>1756</v>
      </c>
      <c r="E413" t="s">
        <v>2621</v>
      </c>
      <c r="F413" t="s">
        <v>1583</v>
      </c>
      <c r="G413" s="9" t="str">
        <f>+IF(PMG_D__Remuneracion[[#This Row],[Precio Valorizado]]="Nudo",VLOOKUP(PMG_D__Remuneracion[[#This Row],[Barra]]&amp;"_"&amp;PMG_D__Remuneracion[[#This Row],[Tensión]],Tabla3[aux],1,0),"-")</f>
        <v>BOLLENAR_13</v>
      </c>
      <c r="H41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14" spans="1:8">
      <c r="A414" t="s">
        <v>2622</v>
      </c>
      <c r="B414" t="s">
        <v>2623</v>
      </c>
      <c r="C414" t="s">
        <v>1245</v>
      </c>
      <c r="D414" t="s">
        <v>1756</v>
      </c>
      <c r="E414" t="s">
        <v>3281</v>
      </c>
      <c r="F414" t="s">
        <v>1583</v>
      </c>
      <c r="G414" s="9" t="str">
        <f>+IF(PMG_D__Remuneracion[[#This Row],[Precio Valorizado]]="Nudo",VLOOKUP(PMG_D__Remuneracion[[#This Row],[Barra]]&amp;"_"&amp;PMG_D__Remuneracion[[#This Row],[Tensión]],Tabla3[aux],1,0),"-")</f>
        <v>S.FELIPE_13</v>
      </c>
      <c r="H41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15" spans="1:8">
      <c r="A415" t="s">
        <v>6476</v>
      </c>
      <c r="B415" t="s">
        <v>6477</v>
      </c>
      <c r="C415" t="s">
        <v>1373</v>
      </c>
      <c r="D415" t="s">
        <v>1756</v>
      </c>
      <c r="E415" t="s">
        <v>6478</v>
      </c>
      <c r="F415" t="s">
        <v>1583</v>
      </c>
      <c r="G415" s="9" t="str">
        <f>+IF(PMG_D__Remuneracion[[#This Row],[Precio Valorizado]]="Nudo",VLOOKUP(PMG_D__Remuneracion[[#This Row],[Barra]]&amp;"_"&amp;PMG_D__Remuneracion[[#This Row],[Tensión]],Tabla3[aux],1,0),"-")</f>
        <v>TALCA_13</v>
      </c>
      <c r="H41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16" spans="1:8">
      <c r="A416" t="s">
        <v>2624</v>
      </c>
      <c r="B416" t="s">
        <v>2625</v>
      </c>
      <c r="C416" t="s">
        <v>1286</v>
      </c>
      <c r="D416" t="s">
        <v>1756</v>
      </c>
      <c r="E416" t="s">
        <v>2626</v>
      </c>
      <c r="F416" t="s">
        <v>1583</v>
      </c>
      <c r="G416" s="9" t="str">
        <f>+IF(PMG_D__Remuneracion[[#This Row],[Precio Valorizado]]="Nudo",VLOOKUP(PMG_D__Remuneracion[[#This Row],[Barra]]&amp;"_"&amp;PMG_D__Remuneracion[[#This Row],[Tensión]],Tabla3[aux],1,0),"-")</f>
        <v>S.VICENTETT_13</v>
      </c>
      <c r="H41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17" spans="1:8">
      <c r="A417" t="s">
        <v>2627</v>
      </c>
      <c r="B417" t="s">
        <v>2628</v>
      </c>
      <c r="C417" t="s">
        <v>871</v>
      </c>
      <c r="D417" t="s">
        <v>1756</v>
      </c>
      <c r="E417" t="s">
        <v>2629</v>
      </c>
      <c r="F417" t="s">
        <v>1583</v>
      </c>
      <c r="G417" s="9" t="str">
        <f>+IF(PMG_D__Remuneracion[[#This Row],[Precio Valorizado]]="Nudo",VLOOKUP(PMG_D__Remuneracion[[#This Row],[Barra]]&amp;"_"&amp;PMG_D__Remuneracion[[#This Row],[Tensión]],Tabla3[aux],1,0),"-")</f>
        <v>MONTENEGRO_13</v>
      </c>
      <c r="H41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18" spans="1:8">
      <c r="A418" t="s">
        <v>2630</v>
      </c>
      <c r="B418" t="s">
        <v>2631</v>
      </c>
      <c r="C418" t="s">
        <v>504</v>
      </c>
      <c r="D418" t="s">
        <v>1754</v>
      </c>
      <c r="E418" t="s">
        <v>2632</v>
      </c>
      <c r="F418" t="s">
        <v>1583</v>
      </c>
      <c r="G418" s="9" t="str">
        <f>+IF(PMG_D__Remuneracion[[#This Row],[Precio Valorizado]]="Nudo",VLOOKUP(PMG_D__Remuneracion[[#This Row],[Barra]]&amp;"_"&amp;PMG_D__Remuneracion[[#This Row],[Tensión]],Tabla3[aux],1,0),"-")</f>
        <v>GRANEROS_15</v>
      </c>
      <c r="H41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19" spans="1:8">
      <c r="A419" t="s">
        <v>2633</v>
      </c>
      <c r="B419" t="s">
        <v>2634</v>
      </c>
      <c r="C419" t="s">
        <v>265</v>
      </c>
      <c r="D419" t="s">
        <v>1756</v>
      </c>
      <c r="E419" t="s">
        <v>2635</v>
      </c>
      <c r="F419" t="s">
        <v>1583</v>
      </c>
      <c r="G419" s="9" t="str">
        <f>+IF(PMG_D__Remuneracion[[#This Row],[Precio Valorizado]]="Nudo",VLOOKUP(PMG_D__Remuneracion[[#This Row],[Barra]]&amp;"_"&amp;PMG_D__Remuneracion[[#This Row],[Tensión]],Tabla3[aux],1,0),"-")</f>
        <v>CHIMBARONGO_13</v>
      </c>
      <c r="H41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20" spans="1:8">
      <c r="A420" t="s">
        <v>2636</v>
      </c>
      <c r="B420" t="s">
        <v>2637</v>
      </c>
      <c r="C420" t="s">
        <v>1005</v>
      </c>
      <c r="D420" t="s">
        <v>1756</v>
      </c>
      <c r="E420" t="s">
        <v>2638</v>
      </c>
      <c r="F420" t="s">
        <v>1583</v>
      </c>
      <c r="G420" s="9" t="str">
        <f>+IF(PMG_D__Remuneracion[[#This Row],[Precio Valorizado]]="Nudo",VLOOKUP(PMG_D__Remuneracion[[#This Row],[Barra]]&amp;"_"&amp;PMG_D__Remuneracion[[#This Row],[Tensión]],Tabla3[aux],1,0),"-")</f>
        <v>PANIMAVIDA_13</v>
      </c>
      <c r="H42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21" spans="1:8">
      <c r="A421" t="s">
        <v>2639</v>
      </c>
      <c r="B421" t="s">
        <v>2640</v>
      </c>
      <c r="C421" t="s">
        <v>1460</v>
      </c>
      <c r="D421" t="s">
        <v>1756</v>
      </c>
      <c r="E421" t="s">
        <v>1883</v>
      </c>
      <c r="F421" t="s">
        <v>1583</v>
      </c>
      <c r="G421" s="9" t="str">
        <f>+IF(PMG_D__Remuneracion[[#This Row],[Precio Valorizado]]="Nudo",VLOOKUP(PMG_D__Remuneracion[[#This Row],[Barra]]&amp;"_"&amp;PMG_D__Remuneracion[[#This Row],[Tensión]],Tabla3[aux],1,0),"-")</f>
        <v>TENO_13</v>
      </c>
      <c r="H42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22" spans="1:8">
      <c r="A422" t="s">
        <v>3323</v>
      </c>
      <c r="B422" t="s">
        <v>3324</v>
      </c>
      <c r="C422" t="s">
        <v>1256</v>
      </c>
      <c r="D422" t="s">
        <v>1755</v>
      </c>
      <c r="E422" t="s">
        <v>2667</v>
      </c>
      <c r="F422" t="s">
        <v>1583</v>
      </c>
      <c r="G422" s="9" t="str">
        <f>+IF(PMG_D__Remuneracion[[#This Row],[Precio Valorizado]]="Nudo",VLOOKUP(PMG_D__Remuneracion[[#This Row],[Barra]]&amp;"_"&amp;PMG_D__Remuneracion[[#This Row],[Tensión]],Tabla3[aux],1,0),"-")</f>
        <v>S.JAVIER_23</v>
      </c>
      <c r="H42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23" spans="1:8">
      <c r="A423" t="s">
        <v>2641</v>
      </c>
      <c r="B423" t="s">
        <v>2642</v>
      </c>
      <c r="C423" t="s">
        <v>766</v>
      </c>
      <c r="D423" t="s">
        <v>1755</v>
      </c>
      <c r="E423" t="s">
        <v>6551</v>
      </c>
      <c r="F423" t="s">
        <v>1583</v>
      </c>
      <c r="G423" s="9" t="str">
        <f>+IF(PMG_D__Remuneracion[[#This Row],[Precio Valorizado]]="Nudo",VLOOKUP(PMG_D__Remuneracion[[#This Row],[Barra]]&amp;"_"&amp;PMG_D__Remuneracion[[#This Row],[Tensión]],Tabla3[aux],1,0),"-")</f>
        <v>M.BLANCOS_23</v>
      </c>
      <c r="H42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24" spans="1:8">
      <c r="A424" t="s">
        <v>2643</v>
      </c>
      <c r="B424" t="s">
        <v>2644</v>
      </c>
      <c r="C424" t="s">
        <v>929</v>
      </c>
      <c r="D424" t="s">
        <v>1755</v>
      </c>
      <c r="E424" t="s">
        <v>2645</v>
      </c>
      <c r="F424" t="s">
        <v>1583</v>
      </c>
      <c r="G424" s="9" t="str">
        <f>+IF(PMG_D__Remuneracion[[#This Row],[Precio Valorizado]]="Nudo",VLOOKUP(PMG_D__Remuneracion[[#This Row],[Barra]]&amp;"_"&amp;PMG_D__Remuneracion[[#This Row],[Tensión]],Tabla3[aux],1,0),"-")</f>
        <v>OVALLE_23</v>
      </c>
      <c r="H42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25" spans="1:8">
      <c r="A425" t="s">
        <v>2646</v>
      </c>
      <c r="B425" t="s">
        <v>2647</v>
      </c>
      <c r="C425" t="s">
        <v>158</v>
      </c>
      <c r="D425" t="s">
        <v>1755</v>
      </c>
      <c r="E425" t="s">
        <v>1801</v>
      </c>
      <c r="F425" t="s">
        <v>1583</v>
      </c>
      <c r="G425" s="9" t="str">
        <f>+IF(PMG_D__Remuneracion[[#This Row],[Precio Valorizado]]="Nudo",VLOOKUP(PMG_D__Remuneracion[[#This Row],[Barra]]&amp;"_"&amp;PMG_D__Remuneracion[[#This Row],[Tensión]],Tabla3[aux],1,0),"-")</f>
        <v>CABILDO_23</v>
      </c>
      <c r="H42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26" spans="1:8">
      <c r="A426" t="s">
        <v>6565</v>
      </c>
      <c r="B426" t="s">
        <v>6566</v>
      </c>
      <c r="C426" t="s">
        <v>1347</v>
      </c>
      <c r="D426" t="s">
        <v>1755</v>
      </c>
      <c r="E426" t="s">
        <v>6317</v>
      </c>
      <c r="F426" t="s">
        <v>1583</v>
      </c>
      <c r="G426" s="9" t="str">
        <f>+IF(PMG_D__Remuneracion[[#This Row],[Precio Valorizado]]="Nudo",VLOOKUP(PMG_D__Remuneracion[[#This Row],[Barra]]&amp;"_"&amp;PMG_D__Remuneracion[[#This Row],[Tensión]],Tabla3[aux],1,0),"-")</f>
        <v>STA.ROSA_23</v>
      </c>
      <c r="H42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27" spans="1:8">
      <c r="A427" t="s">
        <v>2648</v>
      </c>
      <c r="B427" t="s">
        <v>2649</v>
      </c>
      <c r="C427" t="s">
        <v>1242</v>
      </c>
      <c r="D427" t="s">
        <v>1756</v>
      </c>
      <c r="E427" t="s">
        <v>1840</v>
      </c>
      <c r="F427" t="s">
        <v>1583</v>
      </c>
      <c r="G427" s="9" t="str">
        <f>+IF(PMG_D__Remuneracion[[#This Row],[Precio Valorizado]]="Nudo",VLOOKUP(PMG_D__Remuneracion[[#This Row],[Barra]]&amp;"_"&amp;PMG_D__Remuneracion[[#This Row],[Tensión]],Tabla3[aux],1,0),"-")</f>
        <v>S.F.MOSTAZAL_13</v>
      </c>
      <c r="H42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28" spans="1:8">
      <c r="A428" t="s">
        <v>2650</v>
      </c>
      <c r="B428" t="s">
        <v>2651</v>
      </c>
      <c r="C428" t="s">
        <v>161</v>
      </c>
      <c r="D428" t="s">
        <v>1756</v>
      </c>
      <c r="E428" t="s">
        <v>2652</v>
      </c>
      <c r="F428" t="s">
        <v>1583</v>
      </c>
      <c r="G428" s="9" t="str">
        <f>+IF(PMG_D__Remuneracion[[#This Row],[Precio Valorizado]]="Nudo",VLOOKUP(PMG_D__Remuneracion[[#This Row],[Barra]]&amp;"_"&amp;PMG_D__Remuneracion[[#This Row],[Tensión]],Tabla3[aux],1,0),"-")</f>
        <v>CABRERO_13</v>
      </c>
      <c r="H42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29" spans="1:8">
      <c r="A429" t="s">
        <v>6607</v>
      </c>
      <c r="B429" t="s">
        <v>6608</v>
      </c>
      <c r="C429" t="s">
        <v>1056</v>
      </c>
      <c r="D429" t="s">
        <v>1755</v>
      </c>
      <c r="E429" t="s">
        <v>6609</v>
      </c>
      <c r="F429" t="s">
        <v>1583</v>
      </c>
      <c r="G429" s="9" t="str">
        <f>+IF(PMG_D__Remuneracion[[#This Row],[Precio Valorizado]]="Nudo",VLOOKUP(PMG_D__Remuneracion[[#This Row],[Barra]]&amp;"_"&amp;PMG_D__Remuneracion[[#This Row],[Tensión]],Tabla3[aux],1,0),"-")</f>
        <v>PICOLTUE_23</v>
      </c>
      <c r="H42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30" spans="1:8">
      <c r="A430" t="s">
        <v>2653</v>
      </c>
      <c r="B430" t="s">
        <v>2654</v>
      </c>
      <c r="C430" t="s">
        <v>903</v>
      </c>
      <c r="D430" t="s">
        <v>1755</v>
      </c>
      <c r="E430" t="s">
        <v>1902</v>
      </c>
      <c r="F430" t="s">
        <v>1758</v>
      </c>
      <c r="G430" s="9" t="str">
        <f>+IF(PMG_D__Remuneracion[[#This Row],[Precio Valorizado]]="Nudo",VLOOKUP(PMG_D__Remuneracion[[#This Row],[Barra]]&amp;"_"&amp;PMG_D__Remuneracion[[#This Row],[Tensión]],Tabla3[aux],1,0),"-")</f>
        <v>-</v>
      </c>
      <c r="H430" s="9" t="str">
        <f>+IF(PMG_D__Remuneracion[[#This Row],[Precio Valorizado]]="Estabilizado",VLOOKUP(PMG_D__Remuneracion[[#This Row],[Barra]]&amp;"_"&amp;PMG_D__Remuneracion[[#This Row],[Tensión]],'FACTORES DE REFERENCIACION'!N:N,1,0),"-")</f>
        <v>NEGRETE_23</v>
      </c>
    </row>
    <row r="431" spans="1:8">
      <c r="A431" t="s">
        <v>2655</v>
      </c>
      <c r="B431" t="s">
        <v>2656</v>
      </c>
      <c r="C431" t="s">
        <v>903</v>
      </c>
      <c r="D431" t="s">
        <v>1755</v>
      </c>
      <c r="E431" t="s">
        <v>1902</v>
      </c>
      <c r="F431" t="s">
        <v>1758</v>
      </c>
      <c r="G431" s="9" t="str">
        <f>+IF(PMG_D__Remuneracion[[#This Row],[Precio Valorizado]]="Nudo",VLOOKUP(PMG_D__Remuneracion[[#This Row],[Barra]]&amp;"_"&amp;PMG_D__Remuneracion[[#This Row],[Tensión]],Tabla3[aux],1,0),"-")</f>
        <v>-</v>
      </c>
      <c r="H431" s="9" t="str">
        <f>+IF(PMG_D__Remuneracion[[#This Row],[Precio Valorizado]]="Estabilizado",VLOOKUP(PMG_D__Remuneracion[[#This Row],[Barra]]&amp;"_"&amp;PMG_D__Remuneracion[[#This Row],[Tensión]],'FACTORES DE REFERENCIACION'!N:N,1,0),"-")</f>
        <v>NEGRETE_23</v>
      </c>
    </row>
    <row r="432" spans="1:8">
      <c r="A432" t="s">
        <v>2657</v>
      </c>
      <c r="B432" t="s">
        <v>2658</v>
      </c>
      <c r="C432" t="s">
        <v>1286</v>
      </c>
      <c r="D432" t="s">
        <v>1756</v>
      </c>
      <c r="E432" t="s">
        <v>2659</v>
      </c>
      <c r="F432" t="s">
        <v>1583</v>
      </c>
      <c r="G432" s="9" t="str">
        <f>+IF(PMG_D__Remuneracion[[#This Row],[Precio Valorizado]]="Nudo",VLOOKUP(PMG_D__Remuneracion[[#This Row],[Barra]]&amp;"_"&amp;PMG_D__Remuneracion[[#This Row],[Tensión]],Tabla3[aux],1,0),"-")</f>
        <v>S.VICENTETT_13</v>
      </c>
      <c r="H43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33" spans="1:8">
      <c r="A433" t="s">
        <v>2660</v>
      </c>
      <c r="B433" t="s">
        <v>2661</v>
      </c>
      <c r="C433" t="s">
        <v>1239</v>
      </c>
      <c r="D433" t="s">
        <v>1756</v>
      </c>
      <c r="E433" t="s">
        <v>1801</v>
      </c>
      <c r="F433" t="s">
        <v>1583</v>
      </c>
      <c r="G433" s="9" t="str">
        <f>+IF(PMG_D__Remuneracion[[#This Row],[Precio Valorizado]]="Nudo",VLOOKUP(PMG_D__Remuneracion[[#This Row],[Barra]]&amp;"_"&amp;PMG_D__Remuneracion[[#This Row],[Tensión]],Tabla3[aux],1,0),"-")</f>
        <v>S.CARLOS_13</v>
      </c>
      <c r="H43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34" spans="1:8">
      <c r="A434" t="s">
        <v>2662</v>
      </c>
      <c r="B434" t="s">
        <v>2663</v>
      </c>
      <c r="C434" t="s">
        <v>278</v>
      </c>
      <c r="D434" t="s">
        <v>1756</v>
      </c>
      <c r="E434" t="s">
        <v>2664</v>
      </c>
      <c r="F434" t="s">
        <v>1583</v>
      </c>
      <c r="G434" s="9" t="str">
        <f>+IF(PMG_D__Remuneracion[[#This Row],[Precio Valorizado]]="Nudo",VLOOKUP(PMG_D__Remuneracion[[#This Row],[Barra]]&amp;"_"&amp;PMG_D__Remuneracion[[#This Row],[Tensión]],Tabla3[aux],1,0),"-")</f>
        <v>CHOCALAN_13</v>
      </c>
      <c r="H43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35" spans="1:8">
      <c r="A435" t="s">
        <v>2665</v>
      </c>
      <c r="B435" t="s">
        <v>2666</v>
      </c>
      <c r="C435" t="s">
        <v>504</v>
      </c>
      <c r="D435" t="s">
        <v>1754</v>
      </c>
      <c r="E435" t="s">
        <v>2667</v>
      </c>
      <c r="F435" t="s">
        <v>1583</v>
      </c>
      <c r="G435" s="9" t="str">
        <f>+IF(PMG_D__Remuneracion[[#This Row],[Precio Valorizado]]="Nudo",VLOOKUP(PMG_D__Remuneracion[[#This Row],[Barra]]&amp;"_"&amp;PMG_D__Remuneracion[[#This Row],[Tensión]],Tabla3[aux],1,0),"-")</f>
        <v>GRANEROS_15</v>
      </c>
      <c r="H43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36" spans="1:8">
      <c r="A436" t="s">
        <v>6457</v>
      </c>
      <c r="B436" t="s">
        <v>2668</v>
      </c>
      <c r="C436" t="s">
        <v>4375</v>
      </c>
      <c r="D436" t="s">
        <v>1756</v>
      </c>
      <c r="E436" t="s">
        <v>3206</v>
      </c>
      <c r="F436" t="s">
        <v>1583</v>
      </c>
      <c r="G436" s="9" t="str">
        <f>+IF(PMG_D__Remuneracion[[#This Row],[Precio Valorizado]]="Nudo",VLOOKUP(PMG_D__Remuneracion[[#This Row],[Barra]]&amp;"_"&amp;PMG_D__Remuneracion[[#This Row],[Tensión]],Tabla3[aux],1,0),"-")</f>
        <v>PUQUILLAY_13</v>
      </c>
      <c r="H43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37" spans="1:8">
      <c r="A437" t="s">
        <v>3221</v>
      </c>
      <c r="B437" t="s">
        <v>3222</v>
      </c>
      <c r="C437" t="s">
        <v>511</v>
      </c>
      <c r="D437" t="s">
        <v>1756</v>
      </c>
      <c r="E437" t="s">
        <v>2334</v>
      </c>
      <c r="F437" t="s">
        <v>1583</v>
      </c>
      <c r="G437" s="9" t="str">
        <f>+IF(PMG_D__Remuneracion[[#This Row],[Precio Valorizado]]="Nudo",VLOOKUP(PMG_D__Remuneracion[[#This Row],[Barra]]&amp;"_"&amp;PMG_D__Remuneracion[[#This Row],[Tensión]],Tabla3[aux],1,0),"-")</f>
        <v>H.FUENTES_13</v>
      </c>
      <c r="H43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38" spans="1:8">
      <c r="A438" t="s">
        <v>2669</v>
      </c>
      <c r="B438" t="s">
        <v>2670</v>
      </c>
      <c r="C438" t="s">
        <v>447</v>
      </c>
      <c r="D438" t="s">
        <v>1756</v>
      </c>
      <c r="E438" t="s">
        <v>2671</v>
      </c>
      <c r="F438" t="s">
        <v>1583</v>
      </c>
      <c r="G438" s="9" t="str">
        <f>+IF(PMG_D__Remuneracion[[#This Row],[Precio Valorizado]]="Nudo",VLOOKUP(PMG_D__Remuneracion[[#This Row],[Barra]]&amp;"_"&amp;PMG_D__Remuneracion[[#This Row],[Tensión]],Tabla3[aux],1,0),"-")</f>
        <v>ELPAICO_13</v>
      </c>
      <c r="H43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39" spans="1:8">
      <c r="A439" t="s">
        <v>2672</v>
      </c>
      <c r="B439" t="s">
        <v>2673</v>
      </c>
      <c r="C439" t="s">
        <v>696</v>
      </c>
      <c r="D439" t="s">
        <v>1756</v>
      </c>
      <c r="E439" t="s">
        <v>2674</v>
      </c>
      <c r="F439" t="s">
        <v>1583</v>
      </c>
      <c r="G439" s="9" t="str">
        <f>+IF(PMG_D__Remuneracion[[#This Row],[Precio Valorizado]]="Nudo",VLOOKUP(PMG_D__Remuneracion[[#This Row],[Barra]]&amp;"_"&amp;PMG_D__Remuneracion[[#This Row],[Tensión]],Tabla3[aux],1,0),"-")</f>
        <v>LIHUEIMO_13</v>
      </c>
      <c r="H43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40" spans="1:8">
      <c r="A440" t="s">
        <v>2675</v>
      </c>
      <c r="B440" t="s">
        <v>2676</v>
      </c>
      <c r="C440" t="s">
        <v>644</v>
      </c>
      <c r="D440" t="s">
        <v>1756</v>
      </c>
      <c r="E440" t="s">
        <v>3099</v>
      </c>
      <c r="F440" t="s">
        <v>1583</v>
      </c>
      <c r="G440" s="9" t="str">
        <f>+IF(PMG_D__Remuneracion[[#This Row],[Precio Valorizado]]="Nudo",VLOOKUP(PMG_D__Remuneracion[[#This Row],[Barra]]&amp;"_"&amp;PMG_D__Remuneracion[[#This Row],[Tensión]],Tabla3[aux],1,0),"-")</f>
        <v>LAMANGA_13</v>
      </c>
      <c r="H44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41" spans="1:8">
      <c r="A441" t="s">
        <v>2677</v>
      </c>
      <c r="B441" t="s">
        <v>2678</v>
      </c>
      <c r="C441" t="s">
        <v>212</v>
      </c>
      <c r="D441" t="s">
        <v>1756</v>
      </c>
      <c r="E441" t="s">
        <v>2679</v>
      </c>
      <c r="F441" t="s">
        <v>1583</v>
      </c>
      <c r="G441" s="9" t="str">
        <f>+IF(PMG_D__Remuneracion[[#This Row],[Precio Valorizado]]="Nudo",VLOOKUP(PMG_D__Remuneracion[[#This Row],[Barra]]&amp;"_"&amp;PMG_D__Remuneracion[[#This Row],[Tensión]],Tabla3[aux],1,0),"-")</f>
        <v>CATEMU_13</v>
      </c>
      <c r="H44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42" spans="1:8">
      <c r="A442" t="s">
        <v>2680</v>
      </c>
      <c r="B442" t="s">
        <v>2681</v>
      </c>
      <c r="C442" t="s">
        <v>1540</v>
      </c>
      <c r="D442" t="s">
        <v>1755</v>
      </c>
      <c r="E442" t="s">
        <v>1785</v>
      </c>
      <c r="F442" t="s">
        <v>1583</v>
      </c>
      <c r="G442" s="9" t="str">
        <f>+IF(PMG_D__Remuneracion[[#This Row],[Precio Valorizado]]="Nudo",VLOOKUP(PMG_D__Remuneracion[[#This Row],[Barra]]&amp;"_"&amp;PMG_D__Remuneracion[[#This Row],[Tensión]],Tabla3[aux],1,0),"-")</f>
        <v>VICUNA_23</v>
      </c>
      <c r="H44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43" spans="1:8">
      <c r="A443" t="s">
        <v>2682</v>
      </c>
      <c r="B443" t="s">
        <v>2683</v>
      </c>
      <c r="C443" t="s">
        <v>1253</v>
      </c>
      <c r="D443" t="s">
        <v>1756</v>
      </c>
      <c r="E443" t="s">
        <v>2684</v>
      </c>
      <c r="F443" t="s">
        <v>1583</v>
      </c>
      <c r="G443" s="9" t="str">
        <f>+IF(PMG_D__Remuneracion[[#This Row],[Precio Valorizado]]="Nudo",VLOOKUP(PMG_D__Remuneracion[[#This Row],[Barra]]&amp;"_"&amp;PMG_D__Remuneracion[[#This Row],[Tensión]],Tabla3[aux],1,0),"-")</f>
        <v>S.GREGORIO_13</v>
      </c>
      <c r="H44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44" spans="1:8">
      <c r="A444" t="s">
        <v>2685</v>
      </c>
      <c r="B444" t="s">
        <v>2686</v>
      </c>
      <c r="C444" t="s">
        <v>1139</v>
      </c>
      <c r="D444" t="s">
        <v>1755</v>
      </c>
      <c r="E444" t="s">
        <v>3206</v>
      </c>
      <c r="F444" t="s">
        <v>1583</v>
      </c>
      <c r="G444" s="9" t="str">
        <f>+IF(PMG_D__Remuneracion[[#This Row],[Precio Valorizado]]="Nudo",VLOOKUP(PMG_D__Remuneracion[[#This Row],[Barra]]&amp;"_"&amp;PMG_D__Remuneracion[[#This Row],[Tensión]],Tabla3[aux],1,0),"-")</f>
        <v>QUEREO_23</v>
      </c>
      <c r="H44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45" spans="1:8">
      <c r="A445" t="s">
        <v>2687</v>
      </c>
      <c r="B445" t="s">
        <v>2688</v>
      </c>
      <c r="C445" t="s">
        <v>599</v>
      </c>
      <c r="D445" t="s">
        <v>1756</v>
      </c>
      <c r="E445" t="s">
        <v>2689</v>
      </c>
      <c r="F445" t="s">
        <v>1583</v>
      </c>
      <c r="G445" s="9" t="str">
        <f>+IF(PMG_D__Remuneracion[[#This Row],[Precio Valorizado]]="Nudo",VLOOKUP(PMG_D__Remuneracion[[#This Row],[Barra]]&amp;"_"&amp;PMG_D__Remuneracion[[#This Row],[Tensión]],Tabla3[aux],1,0),"-")</f>
        <v>L.VEGAS_13</v>
      </c>
      <c r="H44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46" spans="1:8">
      <c r="A446" t="s">
        <v>2690</v>
      </c>
      <c r="B446" t="s">
        <v>2691</v>
      </c>
      <c r="C446" t="s">
        <v>1540</v>
      </c>
      <c r="D446" t="s">
        <v>1755</v>
      </c>
      <c r="E446" t="s">
        <v>1883</v>
      </c>
      <c r="F446" t="s">
        <v>1583</v>
      </c>
      <c r="G446" s="9" t="str">
        <f>+IF(PMG_D__Remuneracion[[#This Row],[Precio Valorizado]]="Nudo",VLOOKUP(PMG_D__Remuneracion[[#This Row],[Barra]]&amp;"_"&amp;PMG_D__Remuneracion[[#This Row],[Tensión]],Tabla3[aux],1,0),"-")</f>
        <v>VICUNA_23</v>
      </c>
      <c r="H44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47" spans="1:8">
      <c r="A447" t="s">
        <v>2692</v>
      </c>
      <c r="B447" t="s">
        <v>2693</v>
      </c>
      <c r="C447" t="s">
        <v>1540</v>
      </c>
      <c r="D447" t="s">
        <v>1755</v>
      </c>
      <c r="E447" t="s">
        <v>1883</v>
      </c>
      <c r="F447" t="s">
        <v>1583</v>
      </c>
      <c r="G447" s="9" t="str">
        <f>+IF(PMG_D__Remuneracion[[#This Row],[Precio Valorizado]]="Nudo",VLOOKUP(PMG_D__Remuneracion[[#This Row],[Barra]]&amp;"_"&amp;PMG_D__Remuneracion[[#This Row],[Tensión]],Tabla3[aux],1,0),"-")</f>
        <v>VICUNA_23</v>
      </c>
      <c r="H44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48" spans="1:8">
      <c r="A448" t="s">
        <v>2694</v>
      </c>
      <c r="B448" t="s">
        <v>2695</v>
      </c>
      <c r="C448" t="s">
        <v>201</v>
      </c>
      <c r="D448" t="s">
        <v>1756</v>
      </c>
      <c r="E448" t="s">
        <v>3206</v>
      </c>
      <c r="F448" t="s">
        <v>1583</v>
      </c>
      <c r="G448" s="9" t="str">
        <f>+IF(PMG_D__Remuneracion[[#This Row],[Precio Valorizado]]="Nudo",VLOOKUP(PMG_D__Remuneracion[[#This Row],[Barra]]&amp;"_"&amp;PMG_D__Remuneracion[[#This Row],[Tensión]],Tabla3[aux],1,0),"-")</f>
        <v>CASABLANCA_13</v>
      </c>
      <c r="H44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49" spans="1:8">
      <c r="A449" t="s">
        <v>2696</v>
      </c>
      <c r="B449" t="s">
        <v>2697</v>
      </c>
      <c r="C449" t="s">
        <v>258</v>
      </c>
      <c r="D449" t="s">
        <v>1756</v>
      </c>
      <c r="E449" t="s">
        <v>1801</v>
      </c>
      <c r="F449" t="s">
        <v>1583</v>
      </c>
      <c r="G449" s="9" t="str">
        <f>+IF(PMG_D__Remuneracion[[#This Row],[Precio Valorizado]]="Nudo",VLOOKUP(PMG_D__Remuneracion[[#This Row],[Barra]]&amp;"_"&amp;PMG_D__Remuneracion[[#This Row],[Tensión]],Tabla3[aux],1,0),"-")</f>
        <v>CHILLAN_13</v>
      </c>
      <c r="H44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50" spans="1:8">
      <c r="A450" t="s">
        <v>2698</v>
      </c>
      <c r="B450" t="s">
        <v>2699</v>
      </c>
      <c r="C450" t="s">
        <v>929</v>
      </c>
      <c r="D450" t="s">
        <v>1755</v>
      </c>
      <c r="E450" t="s">
        <v>2700</v>
      </c>
      <c r="F450" t="s">
        <v>1583</v>
      </c>
      <c r="G450" s="9" t="str">
        <f>+IF(PMG_D__Remuneracion[[#This Row],[Precio Valorizado]]="Nudo",VLOOKUP(PMG_D__Remuneracion[[#This Row],[Barra]]&amp;"_"&amp;PMG_D__Remuneracion[[#This Row],[Tensión]],Tabla3[aux],1,0),"-")</f>
        <v>OVALLE_23</v>
      </c>
      <c r="H45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51" spans="1:8">
      <c r="A451" t="s">
        <v>2701</v>
      </c>
      <c r="B451" t="s">
        <v>2702</v>
      </c>
      <c r="C451" t="s">
        <v>929</v>
      </c>
      <c r="D451" t="s">
        <v>1755</v>
      </c>
      <c r="E451" t="s">
        <v>2703</v>
      </c>
      <c r="F451" t="s">
        <v>1583</v>
      </c>
      <c r="G451" s="9" t="str">
        <f>+IF(PMG_D__Remuneracion[[#This Row],[Precio Valorizado]]="Nudo",VLOOKUP(PMG_D__Remuneracion[[#This Row],[Barra]]&amp;"_"&amp;PMG_D__Remuneracion[[#This Row],[Tensión]],Tabla3[aux],1,0),"-")</f>
        <v>OVALLE_23</v>
      </c>
      <c r="H45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52" spans="1:8">
      <c r="A452" t="s">
        <v>2704</v>
      </c>
      <c r="B452" t="s">
        <v>2705</v>
      </c>
      <c r="C452" t="s">
        <v>419</v>
      </c>
      <c r="D452" t="s">
        <v>1755</v>
      </c>
      <c r="E452" t="s">
        <v>2258</v>
      </c>
      <c r="F452" t="s">
        <v>1583</v>
      </c>
      <c r="G452" s="9" t="str">
        <f>+IF(PMG_D__Remuneracion[[#This Row],[Precio Valorizado]]="Nudo",VLOOKUP(PMG_D__Remuneracion[[#This Row],[Barra]]&amp;"_"&amp;PMG_D__Remuneracion[[#This Row],[Tensión]],Tabla3[aux],1,0),"-")</f>
        <v>EL_MANZANO_23</v>
      </c>
      <c r="H45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53" spans="1:8">
      <c r="A453" t="s">
        <v>2706</v>
      </c>
      <c r="B453" t="s">
        <v>2707</v>
      </c>
      <c r="C453" t="s">
        <v>699</v>
      </c>
      <c r="D453" t="s">
        <v>1756</v>
      </c>
      <c r="E453" t="s">
        <v>1801</v>
      </c>
      <c r="F453" t="s">
        <v>1583</v>
      </c>
      <c r="G453" s="9" t="str">
        <f>+IF(PMG_D__Remuneracion[[#This Row],[Precio Valorizado]]="Nudo",VLOOKUP(PMG_D__Remuneracion[[#This Row],[Barra]]&amp;"_"&amp;PMG_D__Remuneracion[[#This Row],[Tensión]],Tabla3[aux],1,0),"-")</f>
        <v>LIN.NORTE_13</v>
      </c>
      <c r="H45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54" spans="1:8">
      <c r="A454" t="s">
        <v>2708</v>
      </c>
      <c r="B454" t="s">
        <v>2709</v>
      </c>
      <c r="C454" t="s">
        <v>563</v>
      </c>
      <c r="D454" t="s">
        <v>1756</v>
      </c>
      <c r="E454" t="s">
        <v>2710</v>
      </c>
      <c r="F454" t="s">
        <v>1583</v>
      </c>
      <c r="G454" s="9" t="str">
        <f>+IF(PMG_D__Remuneracion[[#This Row],[Precio Valorizado]]="Nudo",VLOOKUP(PMG_D__Remuneracion[[#This Row],[Barra]]&amp;"_"&amp;PMG_D__Remuneracion[[#This Row],[Tensión]],Tabla3[aux],1,0),"-")</f>
        <v>L.ANGELES_13</v>
      </c>
      <c r="H45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55" spans="1:8">
      <c r="A455" t="s">
        <v>2711</v>
      </c>
      <c r="B455" t="s">
        <v>2712</v>
      </c>
      <c r="C455" t="s">
        <v>168</v>
      </c>
      <c r="D455" t="s">
        <v>1755</v>
      </c>
      <c r="E455" t="s">
        <v>6404</v>
      </c>
      <c r="F455" t="s">
        <v>1583</v>
      </c>
      <c r="G455" s="9" t="str">
        <f>+IF(PMG_D__Remuneracion[[#This Row],[Precio Valorizado]]="Nudo",VLOOKUP(PMG_D__Remuneracion[[#This Row],[Barra]]&amp;"_"&amp;PMG_D__Remuneracion[[#This Row],[Tensión]],Tabla3[aux],1,0),"-")</f>
        <v>CALAMA_23</v>
      </c>
      <c r="H45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56" spans="1:8">
      <c r="A456" t="s">
        <v>3238</v>
      </c>
      <c r="B456" t="s">
        <v>3284</v>
      </c>
      <c r="C456" t="s">
        <v>450</v>
      </c>
      <c r="D456" t="s">
        <v>1755</v>
      </c>
      <c r="E456" t="s">
        <v>1883</v>
      </c>
      <c r="F456" t="s">
        <v>1583</v>
      </c>
      <c r="G456" s="9" t="str">
        <f>+IF(PMG_D__Remuneracion[[#This Row],[Precio Valorizado]]="Nudo",VLOOKUP(PMG_D__Remuneracion[[#This Row],[Barra]]&amp;"_"&amp;PMG_D__Remuneracion[[#This Row],[Tensión]],Tabla3[aux],1,0),"-")</f>
        <v>ELPEUMO_23</v>
      </c>
      <c r="H45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57" spans="1:8">
      <c r="A457" t="s">
        <v>2713</v>
      </c>
      <c r="B457" t="s">
        <v>2714</v>
      </c>
      <c r="C457" t="s">
        <v>775</v>
      </c>
      <c r="D457" t="s">
        <v>1756</v>
      </c>
      <c r="E457" t="s">
        <v>2715</v>
      </c>
      <c r="F457" t="s">
        <v>1583</v>
      </c>
      <c r="G457" s="9" t="str">
        <f>+IF(PMG_D__Remuneracion[[#This Row],[Precio Valorizado]]="Nudo",VLOOKUP(PMG_D__Remuneracion[[#This Row],[Barra]]&amp;"_"&amp;PMG_D__Remuneracion[[#This Row],[Tensión]],Tabla3[aux],1,0),"-")</f>
        <v>M.PATRIA_13</v>
      </c>
      <c r="H45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58" spans="1:8">
      <c r="A458" t="s">
        <v>2716</v>
      </c>
      <c r="B458" t="s">
        <v>2717</v>
      </c>
      <c r="C458" t="s">
        <v>1501</v>
      </c>
      <c r="D458" t="s">
        <v>1756</v>
      </c>
      <c r="E458" t="s">
        <v>3206</v>
      </c>
      <c r="F458" t="s">
        <v>1583</v>
      </c>
      <c r="G458" s="9" t="str">
        <f>+IF(PMG_D__Remuneracion[[#This Row],[Precio Valorizado]]="Nudo",VLOOKUP(PMG_D__Remuneracion[[#This Row],[Barra]]&amp;"_"&amp;PMG_D__Remuneracion[[#This Row],[Tensión]],Tabla3[aux],1,0),"-")</f>
        <v>TRESESQUINAS_13</v>
      </c>
      <c r="H45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59" spans="1:8">
      <c r="A459" t="s">
        <v>2718</v>
      </c>
      <c r="B459" t="s">
        <v>2719</v>
      </c>
      <c r="C459" t="s">
        <v>1270</v>
      </c>
      <c r="D459" t="s">
        <v>1756</v>
      </c>
      <c r="E459" t="s">
        <v>1814</v>
      </c>
      <c r="F459" t="s">
        <v>1583</v>
      </c>
      <c r="G459" s="9" t="str">
        <f>+IF(PMG_D__Remuneracion[[#This Row],[Precio Valorizado]]="Nudo",VLOOKUP(PMG_D__Remuneracion[[#This Row],[Barra]]&amp;"_"&amp;PMG_D__Remuneracion[[#This Row],[Tensión]],Tabla3[aux],1,0),"-")</f>
        <v>S.PEDRO_13</v>
      </c>
      <c r="H45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60" spans="1:8">
      <c r="A460" t="s">
        <v>2720</v>
      </c>
      <c r="B460" t="s">
        <v>2721</v>
      </c>
      <c r="C460" t="s">
        <v>1513</v>
      </c>
      <c r="D460" t="s">
        <v>1755</v>
      </c>
      <c r="E460" t="s">
        <v>1767</v>
      </c>
      <c r="F460" t="s">
        <v>1583</v>
      </c>
      <c r="G460" s="9" t="str">
        <f>+IF(PMG_D__Remuneracion[[#This Row],[Precio Valorizado]]="Nudo",VLOOKUP(PMG_D__Remuneracion[[#This Row],[Barra]]&amp;"_"&amp;PMG_D__Remuneracion[[#This Row],[Tensión]],Tabla3[aux],1,0),"-")</f>
        <v>TVITOR_23</v>
      </c>
      <c r="H46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61" spans="1:8">
      <c r="A461" t="s">
        <v>2722</v>
      </c>
      <c r="B461" t="s">
        <v>2723</v>
      </c>
      <c r="C461" t="s">
        <v>996</v>
      </c>
      <c r="D461" t="s">
        <v>1756</v>
      </c>
      <c r="E461" t="s">
        <v>2724</v>
      </c>
      <c r="F461" t="s">
        <v>1583</v>
      </c>
      <c r="G461" s="9" t="str">
        <f>+IF(PMG_D__Remuneracion[[#This Row],[Precio Valorizado]]="Nudo",VLOOKUP(PMG_D__Remuneracion[[#This Row],[Barra]]&amp;"_"&amp;PMG_D__Remuneracion[[#This Row],[Tensión]],Tabla3[aux],1,0),"-")</f>
        <v>PANGUILEMO_13</v>
      </c>
      <c r="H46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62" spans="1:8">
      <c r="A462" t="s">
        <v>2725</v>
      </c>
      <c r="B462" t="s">
        <v>2726</v>
      </c>
      <c r="C462" t="s">
        <v>1008</v>
      </c>
      <c r="D462" t="s">
        <v>1756</v>
      </c>
      <c r="E462" t="s">
        <v>1840</v>
      </c>
      <c r="F462" t="s">
        <v>1583</v>
      </c>
      <c r="G462" s="9" t="str">
        <f>+IF(PMG_D__Remuneracion[[#This Row],[Precio Valorizado]]="Nudo",VLOOKUP(PMG_D__Remuneracion[[#This Row],[Barra]]&amp;"_"&amp;PMG_D__Remuneracion[[#This Row],[Tensión]],Tabla3[aux],1,0),"-")</f>
        <v>PANQUEHUE_13</v>
      </c>
      <c r="H46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63" spans="1:8">
      <c r="A463" t="s">
        <v>2727</v>
      </c>
      <c r="B463" t="s">
        <v>2728</v>
      </c>
      <c r="C463" t="s">
        <v>866</v>
      </c>
      <c r="D463" t="s">
        <v>1756</v>
      </c>
      <c r="E463" t="s">
        <v>2015</v>
      </c>
      <c r="F463" t="s">
        <v>1583</v>
      </c>
      <c r="G463" s="9" t="str">
        <f>+IF(PMG_D__Remuneracion[[#This Row],[Precio Valorizado]]="Nudo",VLOOKUP(PMG_D__Remuneracion[[#This Row],[Barra]]&amp;"_"&amp;PMG_D__Remuneracion[[#This Row],[Tensión]],Tabla3[aux],1,0),"-")</f>
        <v>MOLINA_13</v>
      </c>
      <c r="H46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64" spans="1:8">
      <c r="A464" t="s">
        <v>2729</v>
      </c>
      <c r="B464" t="s">
        <v>2730</v>
      </c>
      <c r="C464" t="s">
        <v>93</v>
      </c>
      <c r="D464" t="s">
        <v>1755</v>
      </c>
      <c r="E464" t="s">
        <v>1854</v>
      </c>
      <c r="F464" t="s">
        <v>1583</v>
      </c>
      <c r="G464" s="9" t="str">
        <f>+IF(PMG_D__Remuneracion[[#This Row],[Precio Valorizado]]="Nudo",VLOOKUP(PMG_D__Remuneracion[[#This Row],[Barra]]&amp;"_"&amp;PMG_D__Remuneracion[[#This Row],[Tensión]],Tabla3[aux],1,0),"-")</f>
        <v>ARMAZONES_23</v>
      </c>
      <c r="H46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65" spans="1:8">
      <c r="A465" t="s">
        <v>3329</v>
      </c>
      <c r="B465" t="s">
        <v>3330</v>
      </c>
      <c r="C465" t="s">
        <v>215</v>
      </c>
      <c r="D465" t="s">
        <v>1756</v>
      </c>
      <c r="E465" t="s">
        <v>3331</v>
      </c>
      <c r="F465" t="s">
        <v>1583</v>
      </c>
      <c r="G465" s="9" t="str">
        <f>+IF(PMG_D__Remuneracion[[#This Row],[Precio Valorizado]]="Nudo",VLOOKUP(PMG_D__Remuneracion[[#This Row],[Barra]]&amp;"_"&amp;PMG_D__Remuneracion[[#This Row],[Tensión]],Tabla3[aux],1,0),"-")</f>
        <v>CAUQUENES_13</v>
      </c>
      <c r="H46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66" spans="1:8">
      <c r="A466" t="s">
        <v>2731</v>
      </c>
      <c r="B466" t="s">
        <v>2732</v>
      </c>
      <c r="C466" t="s">
        <v>599</v>
      </c>
      <c r="D466" t="s">
        <v>1756</v>
      </c>
      <c r="E466" t="s">
        <v>3206</v>
      </c>
      <c r="F466" t="s">
        <v>1583</v>
      </c>
      <c r="G466" s="9" t="str">
        <f>+IF(PMG_D__Remuneracion[[#This Row],[Precio Valorizado]]="Nudo",VLOOKUP(PMG_D__Remuneracion[[#This Row],[Barra]]&amp;"_"&amp;PMG_D__Remuneracion[[#This Row],[Tensión]],Tabla3[aux],1,0),"-")</f>
        <v>L.VEGAS_13</v>
      </c>
      <c r="H46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67" spans="1:8">
      <c r="A467" t="s">
        <v>2733</v>
      </c>
      <c r="B467" t="s">
        <v>2734</v>
      </c>
      <c r="C467" t="s">
        <v>929</v>
      </c>
      <c r="D467" t="s">
        <v>1755</v>
      </c>
      <c r="E467" t="s">
        <v>1785</v>
      </c>
      <c r="F467" t="s">
        <v>1583</v>
      </c>
      <c r="G467" s="9" t="str">
        <f>+IF(PMG_D__Remuneracion[[#This Row],[Precio Valorizado]]="Nudo",VLOOKUP(PMG_D__Remuneracion[[#This Row],[Barra]]&amp;"_"&amp;PMG_D__Remuneracion[[#This Row],[Tensión]],Tabla3[aux],1,0),"-")</f>
        <v>OVALLE_23</v>
      </c>
      <c r="H46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68" spans="1:8">
      <c r="A468" t="s">
        <v>3239</v>
      </c>
      <c r="B468" t="s">
        <v>3285</v>
      </c>
      <c r="C468" t="s">
        <v>843</v>
      </c>
      <c r="D468" t="s">
        <v>1756</v>
      </c>
      <c r="E468" t="s">
        <v>6317</v>
      </c>
      <c r="F468" t="s">
        <v>1583</v>
      </c>
      <c r="G468" s="9" t="str">
        <f>+IF(PMG_D__Remuneracion[[#This Row],[Precio Valorizado]]="Nudo",VLOOKUP(PMG_D__Remuneracion[[#This Row],[Barra]]&amp;"_"&amp;PMG_D__Remuneracion[[#This Row],[Tensión]],Tabla3[aux],1,0),"-")</f>
        <v>MELIPILLA_13</v>
      </c>
      <c r="H46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69" spans="1:8">
      <c r="A469" t="s">
        <v>2735</v>
      </c>
      <c r="B469" t="s">
        <v>2736</v>
      </c>
      <c r="C469" t="s">
        <v>1278</v>
      </c>
      <c r="D469" t="s">
        <v>1756</v>
      </c>
      <c r="E469" t="s">
        <v>3206</v>
      </c>
      <c r="F469" t="s">
        <v>1583</v>
      </c>
      <c r="G469" s="9" t="str">
        <f>+IF(PMG_D__Remuneracion[[#This Row],[Precio Valorizado]]="Nudo",VLOOKUP(PMG_D__Remuneracion[[#This Row],[Barra]]&amp;"_"&amp;PMG_D__Remuneracion[[#This Row],[Tensión]],Tabla3[aux],1,0),"-")</f>
        <v>S.RAFAEL_S_13</v>
      </c>
      <c r="H46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70" spans="1:8">
      <c r="A470" t="s">
        <v>2737</v>
      </c>
      <c r="B470" t="s">
        <v>2738</v>
      </c>
      <c r="C470" t="s">
        <v>545</v>
      </c>
      <c r="D470" t="s">
        <v>1756</v>
      </c>
      <c r="E470" t="s">
        <v>2739</v>
      </c>
      <c r="F470" t="s">
        <v>1583</v>
      </c>
      <c r="G470" s="9" t="str">
        <f>+IF(PMG_D__Remuneracion[[#This Row],[Precio Valorizado]]="Nudo",VLOOKUP(PMG_D__Remuneracion[[#This Row],[Barra]]&amp;"_"&amp;PMG_D__Remuneracion[[#This Row],[Tensión]],Tabla3[aux],1,0),"-")</f>
        <v>ISLADMAIPO_13</v>
      </c>
      <c r="H47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71" spans="1:8">
      <c r="A471" t="s">
        <v>2740</v>
      </c>
      <c r="B471" t="s">
        <v>2741</v>
      </c>
      <c r="C471" t="s">
        <v>914</v>
      </c>
      <c r="D471" t="s">
        <v>1756</v>
      </c>
      <c r="E471" t="s">
        <v>1801</v>
      </c>
      <c r="F471" t="s">
        <v>1583</v>
      </c>
      <c r="G471" s="9" t="str">
        <f>+IF(PMG_D__Remuneracion[[#This Row],[Precio Valorizado]]="Nudo",VLOOKUP(PMG_D__Remuneracion[[#This Row],[Barra]]&amp;"_"&amp;PMG_D__Remuneracion[[#This Row],[Tensión]],Tabla3[aux],1,0),"-")</f>
        <v>NPANQUEHUE_13</v>
      </c>
      <c r="H47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72" spans="1:8">
      <c r="A472" t="s">
        <v>2742</v>
      </c>
      <c r="B472" t="s">
        <v>2743</v>
      </c>
      <c r="C472" t="s">
        <v>1343</v>
      </c>
      <c r="D472" t="s">
        <v>1756</v>
      </c>
      <c r="E472" t="s">
        <v>1801</v>
      </c>
      <c r="F472" t="s">
        <v>1583</v>
      </c>
      <c r="G472" s="9" t="str">
        <f>+IF(PMG_D__Remuneracion[[#This Row],[Precio Valorizado]]="Nudo",VLOOKUP(PMG_D__Remuneracion[[#This Row],[Barra]]&amp;"_"&amp;PMG_D__Remuneracion[[#This Row],[Tensión]],Tabla3[aux],1,0),"-")</f>
        <v>STA.ELVIRA_13</v>
      </c>
      <c r="H47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73" spans="1:8">
      <c r="A473" t="s">
        <v>2744</v>
      </c>
      <c r="B473" t="s">
        <v>2745</v>
      </c>
      <c r="C473" t="s">
        <v>281</v>
      </c>
      <c r="D473" t="s">
        <v>1756</v>
      </c>
      <c r="E473" t="s">
        <v>2746</v>
      </c>
      <c r="F473" t="s">
        <v>1583</v>
      </c>
      <c r="G473" s="9" t="str">
        <f>+IF(PMG_D__Remuneracion[[#This Row],[Precio Valorizado]]="Nudo",VLOOKUP(PMG_D__Remuneracion[[#This Row],[Barra]]&amp;"_"&amp;PMG_D__Remuneracion[[#This Row],[Tensión]],Tabla3[aux],1,0),"-")</f>
        <v>CHOLGUAN_13</v>
      </c>
      <c r="H47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74" spans="1:8">
      <c r="A474" t="s">
        <v>2747</v>
      </c>
      <c r="B474" t="s">
        <v>2748</v>
      </c>
      <c r="C474" t="s">
        <v>1270</v>
      </c>
      <c r="D474" t="s">
        <v>1756</v>
      </c>
      <c r="E474" t="s">
        <v>2749</v>
      </c>
      <c r="F474" t="s">
        <v>1583</v>
      </c>
      <c r="G474" s="9" t="str">
        <f>+IF(PMG_D__Remuneracion[[#This Row],[Precio Valorizado]]="Nudo",VLOOKUP(PMG_D__Remuneracion[[#This Row],[Barra]]&amp;"_"&amp;PMG_D__Remuneracion[[#This Row],[Tensión]],Tabla3[aux],1,0),"-")</f>
        <v>S.PEDRO_13</v>
      </c>
      <c r="H47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75" spans="1:8">
      <c r="A475" t="s">
        <v>2750</v>
      </c>
      <c r="B475" t="s">
        <v>2751</v>
      </c>
      <c r="C475" t="s">
        <v>804</v>
      </c>
      <c r="D475" t="s">
        <v>1756</v>
      </c>
      <c r="E475" t="s">
        <v>3206</v>
      </c>
      <c r="F475" t="s">
        <v>1583</v>
      </c>
      <c r="G475" s="9" t="str">
        <f>+IF(PMG_D__Remuneracion[[#This Row],[Precio Valorizado]]="Nudo",VLOOKUP(PMG_D__Remuneracion[[#This Row],[Barra]]&amp;"_"&amp;PMG_D__Remuneracion[[#This Row],[Tensión]],Tabla3[aux],1,0),"-")</f>
        <v>MALLOCO_13</v>
      </c>
      <c r="H47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76" spans="1:8">
      <c r="A476" t="s">
        <v>2752</v>
      </c>
      <c r="B476" t="s">
        <v>2753</v>
      </c>
      <c r="C476" t="s">
        <v>804</v>
      </c>
      <c r="D476" t="s">
        <v>1756</v>
      </c>
      <c r="E476" t="s">
        <v>6551</v>
      </c>
      <c r="F476" t="s">
        <v>1583</v>
      </c>
      <c r="G476" s="9" t="str">
        <f>+IF(PMG_D__Remuneracion[[#This Row],[Precio Valorizado]]="Nudo",VLOOKUP(PMG_D__Remuneracion[[#This Row],[Barra]]&amp;"_"&amp;PMG_D__Remuneracion[[#This Row],[Tensión]],Tabla3[aux],1,0),"-")</f>
        <v>MALLOCO_13</v>
      </c>
      <c r="H47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77" spans="1:8">
      <c r="A477" t="s">
        <v>2754</v>
      </c>
      <c r="B477" t="s">
        <v>2755</v>
      </c>
      <c r="C477" t="s">
        <v>1373</v>
      </c>
      <c r="D477" t="s">
        <v>1756</v>
      </c>
      <c r="E477" t="s">
        <v>3099</v>
      </c>
      <c r="F477" t="s">
        <v>1583</v>
      </c>
      <c r="G477" s="9" t="str">
        <f>+IF(PMG_D__Remuneracion[[#This Row],[Precio Valorizado]]="Nudo",VLOOKUP(PMG_D__Remuneracion[[#This Row],[Barra]]&amp;"_"&amp;PMG_D__Remuneracion[[#This Row],[Tensión]],Tabla3[aux],1,0),"-")</f>
        <v>TALCA_13</v>
      </c>
      <c r="H47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78" spans="1:8">
      <c r="A478" t="s">
        <v>2756</v>
      </c>
      <c r="B478" t="s">
        <v>2757</v>
      </c>
      <c r="C478" t="s">
        <v>1060</v>
      </c>
      <c r="D478" t="s">
        <v>1756</v>
      </c>
      <c r="E478" t="s">
        <v>2758</v>
      </c>
      <c r="F478" t="s">
        <v>1583</v>
      </c>
      <c r="G478" s="9" t="str">
        <f>+IF(PMG_D__Remuneracion[[#This Row],[Precio Valorizado]]="Nudo",VLOOKUP(PMG_D__Remuneracion[[#This Row],[Barra]]&amp;"_"&amp;PMG_D__Remuneracion[[#This Row],[Tensión]],Tabla3[aux],1,0),"-")</f>
        <v>PIDUCO_13</v>
      </c>
      <c r="H47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79" spans="1:8">
      <c r="A479" t="s">
        <v>2759</v>
      </c>
      <c r="B479" t="s">
        <v>2760</v>
      </c>
      <c r="C479" t="s">
        <v>545</v>
      </c>
      <c r="D479" t="s">
        <v>1756</v>
      </c>
      <c r="E479" t="s">
        <v>3206</v>
      </c>
      <c r="F479" t="s">
        <v>1583</v>
      </c>
      <c r="G479" s="9" t="str">
        <f>+IF(PMG_D__Remuneracion[[#This Row],[Precio Valorizado]]="Nudo",VLOOKUP(PMG_D__Remuneracion[[#This Row],[Barra]]&amp;"_"&amp;PMG_D__Remuneracion[[#This Row],[Tensión]],Tabla3[aux],1,0),"-")</f>
        <v>ISLADMAIPO_13</v>
      </c>
      <c r="H47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80" spans="1:8">
      <c r="A480" t="s">
        <v>2761</v>
      </c>
      <c r="B480" t="s">
        <v>2762</v>
      </c>
      <c r="C480" t="s">
        <v>1460</v>
      </c>
      <c r="D480" t="s">
        <v>1756</v>
      </c>
      <c r="E480" t="s">
        <v>3099</v>
      </c>
      <c r="F480" t="s">
        <v>1583</v>
      </c>
      <c r="G480" s="9" t="str">
        <f>+IF(PMG_D__Remuneracion[[#This Row],[Precio Valorizado]]="Nudo",VLOOKUP(PMG_D__Remuneracion[[#This Row],[Barra]]&amp;"_"&amp;PMG_D__Remuneracion[[#This Row],[Tensión]],Tabla3[aux],1,0),"-")</f>
        <v>TENO_13</v>
      </c>
      <c r="H48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81" spans="1:8">
      <c r="A481" t="s">
        <v>2763</v>
      </c>
      <c r="B481" t="s">
        <v>2764</v>
      </c>
      <c r="C481" t="s">
        <v>1023</v>
      </c>
      <c r="D481" t="s">
        <v>1756</v>
      </c>
      <c r="E481" t="s">
        <v>1806</v>
      </c>
      <c r="F481" t="s">
        <v>1583</v>
      </c>
      <c r="G481" s="9" t="str">
        <f>+IF(PMG_D__Remuneracion[[#This Row],[Precio Valorizado]]="Nudo",VLOOKUP(PMG_D__Remuneracion[[#This Row],[Barra]]&amp;"_"&amp;PMG_D__Remuneracion[[#This Row],[Tensión]],Tabla3[aux],1,0),"-")</f>
        <v>PARRONAL_13</v>
      </c>
      <c r="H48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82" spans="1:8">
      <c r="A482" t="s">
        <v>3343</v>
      </c>
      <c r="B482" t="s">
        <v>3344</v>
      </c>
      <c r="C482" t="s">
        <v>900</v>
      </c>
      <c r="D482" t="s">
        <v>1755</v>
      </c>
      <c r="E482" t="s">
        <v>2667</v>
      </c>
      <c r="F482" t="s">
        <v>1583</v>
      </c>
      <c r="G482" s="9" t="str">
        <f>+IF(PMG_D__Remuneracion[[#This Row],[Precio Valorizado]]="Nudo",VLOOKUP(PMG_D__Remuneracion[[#This Row],[Barra]]&amp;"_"&amp;PMG_D__Remuneracion[[#This Row],[Tensión]],Tabla3[aux],1,0),"-")</f>
        <v>NEGRA_23</v>
      </c>
      <c r="H48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83" spans="1:8">
      <c r="A483" t="s">
        <v>3332</v>
      </c>
      <c r="B483" t="s">
        <v>3333</v>
      </c>
      <c r="C483" t="s">
        <v>1290</v>
      </c>
      <c r="D483" t="s">
        <v>1755</v>
      </c>
      <c r="E483" t="s">
        <v>3334</v>
      </c>
      <c r="F483" t="s">
        <v>1583</v>
      </c>
      <c r="G483" s="9" t="str">
        <f>+IF(PMG_D__Remuneracion[[#This Row],[Precio Valorizado]]="Nudo",VLOOKUP(PMG_D__Remuneracion[[#This Row],[Barra]]&amp;"_"&amp;PMG_D__Remuneracion[[#This Row],[Tensión]],Tabla3[aux],1,0),"-")</f>
        <v>SALAMANCA_23</v>
      </c>
      <c r="H48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84" spans="1:8">
      <c r="A484" t="s">
        <v>2765</v>
      </c>
      <c r="B484" t="s">
        <v>2766</v>
      </c>
      <c r="C484" t="s">
        <v>1235</v>
      </c>
      <c r="D484" t="s">
        <v>1756</v>
      </c>
      <c r="E484" t="s">
        <v>2767</v>
      </c>
      <c r="F484" t="s">
        <v>1583</v>
      </c>
      <c r="G484" s="9" t="str">
        <f>+IF(PMG_D__Remuneracion[[#This Row],[Precio Valorizado]]="Nudo",VLOOKUP(PMG_D__Remuneracion[[#This Row],[Barra]]&amp;"_"&amp;PMG_D__Remuneracion[[#This Row],[Tensión]],Tabla3[aux],1,0),"-")</f>
        <v>S.ANTONIO_13</v>
      </c>
      <c r="H48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85" spans="1:8">
      <c r="A485" t="s">
        <v>2768</v>
      </c>
      <c r="B485" t="s">
        <v>2769</v>
      </c>
      <c r="C485" t="s">
        <v>1286</v>
      </c>
      <c r="D485" t="s">
        <v>1756</v>
      </c>
      <c r="E485" t="s">
        <v>2770</v>
      </c>
      <c r="F485" t="s">
        <v>1583</v>
      </c>
      <c r="G485" s="9" t="str">
        <f>+IF(PMG_D__Remuneracion[[#This Row],[Precio Valorizado]]="Nudo",VLOOKUP(PMG_D__Remuneracion[[#This Row],[Barra]]&amp;"_"&amp;PMG_D__Remuneracion[[#This Row],[Tensión]],Tabla3[aux],1,0),"-")</f>
        <v>S.VICENTETT_13</v>
      </c>
      <c r="H48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86" spans="1:8">
      <c r="A486" t="s">
        <v>6458</v>
      </c>
      <c r="B486" t="s">
        <v>6459</v>
      </c>
      <c r="C486" t="s">
        <v>380</v>
      </c>
      <c r="D486" t="s">
        <v>1756</v>
      </c>
      <c r="E486" t="s">
        <v>6551</v>
      </c>
      <c r="F486" t="s">
        <v>1583</v>
      </c>
      <c r="G486" s="9" t="str">
        <f>+IF(PMG_D__Remuneracion[[#This Row],[Precio Valorizado]]="Nudo",VLOOKUP(PMG_D__Remuneracion[[#This Row],[Barra]]&amp;"_"&amp;PMG_D__Remuneracion[[#This Row],[Tensión]],Tabla3[aux],1,0),"-")</f>
        <v>CURICO2_13</v>
      </c>
      <c r="H48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87" spans="1:8">
      <c r="A487" t="s">
        <v>2771</v>
      </c>
      <c r="B487" t="s">
        <v>2772</v>
      </c>
      <c r="C487" t="s">
        <v>419</v>
      </c>
      <c r="D487" t="s">
        <v>1755</v>
      </c>
      <c r="E487" t="s">
        <v>2773</v>
      </c>
      <c r="F487" t="s">
        <v>1583</v>
      </c>
      <c r="G487" s="9" t="str">
        <f>+IF(PMG_D__Remuneracion[[#This Row],[Precio Valorizado]]="Nudo",VLOOKUP(PMG_D__Remuneracion[[#This Row],[Barra]]&amp;"_"&amp;PMG_D__Remuneracion[[#This Row],[Tensión]],Tabla3[aux],1,0),"-")</f>
        <v>EL_MANZANO_23</v>
      </c>
      <c r="H48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88" spans="1:8">
      <c r="A488" t="s">
        <v>2774</v>
      </c>
      <c r="B488" t="s">
        <v>2775</v>
      </c>
      <c r="C488" t="s">
        <v>929</v>
      </c>
      <c r="D488" t="s">
        <v>1755</v>
      </c>
      <c r="E488" t="s">
        <v>1883</v>
      </c>
      <c r="F488" t="s">
        <v>1583</v>
      </c>
      <c r="G488" s="9" t="str">
        <f>+IF(PMG_D__Remuneracion[[#This Row],[Precio Valorizado]]="Nudo",VLOOKUP(PMG_D__Remuneracion[[#This Row],[Barra]]&amp;"_"&amp;PMG_D__Remuneracion[[#This Row],[Tensión]],Tabla3[aux],1,0),"-")</f>
        <v>OVALLE_23</v>
      </c>
      <c r="H48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89" spans="1:8">
      <c r="A489" t="s">
        <v>6503</v>
      </c>
      <c r="B489" t="s">
        <v>6504</v>
      </c>
      <c r="C489" t="s">
        <v>1373</v>
      </c>
      <c r="D489" t="s">
        <v>1756</v>
      </c>
      <c r="E489" t="s">
        <v>6505</v>
      </c>
      <c r="F489" t="s">
        <v>1583</v>
      </c>
      <c r="G489" s="9" t="str">
        <f>+IF(PMG_D__Remuneracion[[#This Row],[Precio Valorizado]]="Nudo",VLOOKUP(PMG_D__Remuneracion[[#This Row],[Barra]]&amp;"_"&amp;PMG_D__Remuneracion[[#This Row],[Tensión]],Tabla3[aux],1,0),"-")</f>
        <v>TALCA_13</v>
      </c>
      <c r="H48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90" spans="1:8">
      <c r="A490" t="s">
        <v>6567</v>
      </c>
      <c r="B490" t="s">
        <v>6568</v>
      </c>
      <c r="C490" t="s">
        <v>39</v>
      </c>
      <c r="D490" t="s">
        <v>1755</v>
      </c>
      <c r="E490" t="s">
        <v>6317</v>
      </c>
      <c r="F490" t="s">
        <v>1583</v>
      </c>
      <c r="G490" s="9" t="str">
        <f>+IF(PMG_D__Remuneracion[[#This Row],[Precio Valorizado]]="Nudo",VLOOKUP(PMG_D__Remuneracion[[#This Row],[Barra]]&amp;"_"&amp;PMG_D__Remuneracion[[#This Row],[Tensión]],Tabla3[aux],1,0),"-")</f>
        <v>ALCONES_23</v>
      </c>
      <c r="H49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91" spans="1:8">
      <c r="A491" t="s">
        <v>2776</v>
      </c>
      <c r="B491" t="s">
        <v>2777</v>
      </c>
      <c r="C491" t="s">
        <v>271</v>
      </c>
      <c r="D491" t="s">
        <v>1755</v>
      </c>
      <c r="E491" t="s">
        <v>3286</v>
      </c>
      <c r="F491" t="s">
        <v>1758</v>
      </c>
      <c r="G491" s="9" t="str">
        <f>+IF(PMG_D__Remuneracion[[#This Row],[Precio Valorizado]]="Nudo",VLOOKUP(PMG_D__Remuneracion[[#This Row],[Barra]]&amp;"_"&amp;PMG_D__Remuneracion[[#This Row],[Tensión]],Tabla3[aux],1,0),"-")</f>
        <v>-</v>
      </c>
      <c r="H491" s="9" t="str">
        <f>+IF(PMG_D__Remuneracion[[#This Row],[Precio Valorizado]]="Estabilizado",VLOOKUP(PMG_D__Remuneracion[[#This Row],[Barra]]&amp;"_"&amp;PMG_D__Remuneracion[[#This Row],[Tensión]],'FACTORES DE REFERENCIACION'!N:N,1,0),"-")</f>
        <v>CHIRRE_23</v>
      </c>
    </row>
    <row r="492" spans="1:8">
      <c r="A492" t="s">
        <v>2778</v>
      </c>
      <c r="B492" t="s">
        <v>2779</v>
      </c>
      <c r="C492" t="s">
        <v>1215</v>
      </c>
      <c r="D492" t="s">
        <v>1756</v>
      </c>
      <c r="E492" t="s">
        <v>2334</v>
      </c>
      <c r="F492" t="s">
        <v>1583</v>
      </c>
      <c r="G492" s="9" t="str">
        <f>+IF(PMG_D__Remuneracion[[#This Row],[Precio Valorizado]]="Nudo",VLOOKUP(PMG_D__Remuneracion[[#This Row],[Barra]]&amp;"_"&amp;PMG_D__Remuneracion[[#This Row],[Tensión]],Tabla3[aux],1,0),"-")</f>
        <v>RETIRO_13</v>
      </c>
      <c r="H49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93" spans="1:8">
      <c r="A493" t="s">
        <v>2780</v>
      </c>
      <c r="B493" t="s">
        <v>2781</v>
      </c>
      <c r="C493" t="s">
        <v>1242</v>
      </c>
      <c r="D493" t="s">
        <v>1756</v>
      </c>
      <c r="E493" t="s">
        <v>2667</v>
      </c>
      <c r="F493" t="s">
        <v>1583</v>
      </c>
      <c r="G493" s="9" t="str">
        <f>+IF(PMG_D__Remuneracion[[#This Row],[Precio Valorizado]]="Nudo",VLOOKUP(PMG_D__Remuneracion[[#This Row],[Barra]]&amp;"_"&amp;PMG_D__Remuneracion[[#This Row],[Tensión]],Tabla3[aux],1,0),"-")</f>
        <v>S.F.MOSTAZAL_13</v>
      </c>
      <c r="H49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94" spans="1:8">
      <c r="A494" t="s">
        <v>2782</v>
      </c>
      <c r="B494" t="s">
        <v>2783</v>
      </c>
      <c r="C494" t="s">
        <v>1166</v>
      </c>
      <c r="D494" t="s">
        <v>1756</v>
      </c>
      <c r="E494" t="s">
        <v>3206</v>
      </c>
      <c r="F494" t="s">
        <v>1583</v>
      </c>
      <c r="G494" s="9" t="str">
        <f>+IF(PMG_D__Remuneracion[[#This Row],[Precio Valorizado]]="Nudo",VLOOKUP(PMG_D__Remuneracion[[#This Row],[Barra]]&amp;"_"&amp;PMG_D__Remuneracion[[#This Row],[Tensión]],Tabla3[aux],1,0),"-")</f>
        <v>QUINTA_13</v>
      </c>
      <c r="H49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95" spans="1:8">
      <c r="A495" t="s">
        <v>2784</v>
      </c>
      <c r="B495" t="s">
        <v>2785</v>
      </c>
      <c r="C495" t="s">
        <v>1060</v>
      </c>
      <c r="D495" t="s">
        <v>1756</v>
      </c>
      <c r="E495" t="s">
        <v>6317</v>
      </c>
      <c r="F495" t="s">
        <v>1583</v>
      </c>
      <c r="G495" s="9" t="str">
        <f>+IF(PMG_D__Remuneracion[[#This Row],[Precio Valorizado]]="Nudo",VLOOKUP(PMG_D__Remuneracion[[#This Row],[Barra]]&amp;"_"&amp;PMG_D__Remuneracion[[#This Row],[Tensión]],Tabla3[aux],1,0),"-")</f>
        <v>PIDUCO_13</v>
      </c>
      <c r="H49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96" spans="1:8">
      <c r="A496" t="s">
        <v>3233</v>
      </c>
      <c r="B496" t="s">
        <v>3298</v>
      </c>
      <c r="C496" t="s">
        <v>355</v>
      </c>
      <c r="D496" t="s">
        <v>1755</v>
      </c>
      <c r="E496" t="s">
        <v>3299</v>
      </c>
      <c r="F496" t="s">
        <v>1758</v>
      </c>
      <c r="G496" s="9" t="str">
        <f>+IF(PMG_D__Remuneracion[[#This Row],[Precio Valorizado]]="Nudo",VLOOKUP(PMG_D__Remuneracion[[#This Row],[Barra]]&amp;"_"&amp;PMG_D__Remuneracion[[#This Row],[Tensión]],Tabla3[aux],1,0),"-")</f>
        <v>-</v>
      </c>
      <c r="H496" s="9" t="str">
        <f>+IF(PMG_D__Remuneracion[[#This Row],[Precio Valorizado]]="Estabilizado",VLOOKUP(PMG_D__Remuneracion[[#This Row],[Barra]]&amp;"_"&amp;PMG_D__Remuneracion[[#This Row],[Tensión]],'FACTORES DE REFERENCIACION'!N:N,1,0),"-")</f>
        <v>CORRALES_23</v>
      </c>
    </row>
    <row r="497" spans="1:8">
      <c r="A497" t="s">
        <v>2786</v>
      </c>
      <c r="B497" t="s">
        <v>2787</v>
      </c>
      <c r="C497" t="s">
        <v>118</v>
      </c>
      <c r="D497" t="s">
        <v>1756</v>
      </c>
      <c r="E497" t="s">
        <v>3206</v>
      </c>
      <c r="F497" t="s">
        <v>1583</v>
      </c>
      <c r="G497" s="9" t="str">
        <f>+IF(PMG_D__Remuneracion[[#This Row],[Precio Valorizado]]="Nudo",VLOOKUP(PMG_D__Remuneracion[[#This Row],[Barra]]&amp;"_"&amp;PMG_D__Remuneracion[[#This Row],[Tensión]],Tabla3[aux],1,0),"-")</f>
        <v>BOLLENAR_13</v>
      </c>
      <c r="H49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98" spans="1:8">
      <c r="A498" t="s">
        <v>2788</v>
      </c>
      <c r="B498" t="s">
        <v>2789</v>
      </c>
      <c r="C498" t="s">
        <v>1131</v>
      </c>
      <c r="D498" t="s">
        <v>1756</v>
      </c>
      <c r="E498" t="s">
        <v>2790</v>
      </c>
      <c r="F498" t="s">
        <v>1583</v>
      </c>
      <c r="G498" s="9" t="str">
        <f>+IF(PMG_D__Remuneracion[[#This Row],[Precio Valorizado]]="Nudo",VLOOKUP(PMG_D__Remuneracion[[#This Row],[Barra]]&amp;"_"&amp;PMG_D__Remuneracion[[#This Row],[Tensión]],Tabla3[aux],1,0),"-")</f>
        <v>QUELENTARO_13</v>
      </c>
      <c r="H49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499" spans="1:8">
      <c r="A499" t="s">
        <v>2791</v>
      </c>
      <c r="B499" t="s">
        <v>2792</v>
      </c>
      <c r="C499" t="s">
        <v>201</v>
      </c>
      <c r="D499" t="s">
        <v>1756</v>
      </c>
      <c r="E499" t="s">
        <v>2793</v>
      </c>
      <c r="F499" t="s">
        <v>1583</v>
      </c>
      <c r="G499" s="9" t="str">
        <f>+IF(PMG_D__Remuneracion[[#This Row],[Precio Valorizado]]="Nudo",VLOOKUP(PMG_D__Remuneracion[[#This Row],[Barra]]&amp;"_"&amp;PMG_D__Remuneracion[[#This Row],[Tensión]],Tabla3[aux],1,0),"-")</f>
        <v>CASABLANCA_13</v>
      </c>
      <c r="H49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00" spans="1:8">
      <c r="A500" t="s">
        <v>6381</v>
      </c>
      <c r="B500" t="s">
        <v>6382</v>
      </c>
      <c r="C500" t="s">
        <v>515</v>
      </c>
      <c r="D500" t="s">
        <v>1756</v>
      </c>
      <c r="E500" t="s">
        <v>6383</v>
      </c>
      <c r="F500" t="s">
        <v>1583</v>
      </c>
      <c r="G500" s="9" t="str">
        <f>+IF(PMG_D__Remuneracion[[#This Row],[Precio Valorizado]]="Nudo",VLOOKUP(PMG_D__Remuneracion[[#This Row],[Barra]]&amp;"_"&amp;PMG_D__Remuneracion[[#This Row],[Tensión]],Tabla3[aux],1,0),"-")</f>
        <v>HOSPITAL_13</v>
      </c>
      <c r="H50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01" spans="1:8">
      <c r="A501" t="s">
        <v>2794</v>
      </c>
      <c r="B501" t="s">
        <v>2795</v>
      </c>
      <c r="C501" t="s">
        <v>1071</v>
      </c>
      <c r="D501" t="s">
        <v>1756</v>
      </c>
      <c r="E501" t="s">
        <v>2796</v>
      </c>
      <c r="F501" t="s">
        <v>1583</v>
      </c>
      <c r="G501" s="9" t="str">
        <f>+IF(PMG_D__Remuneracion[[#This Row],[Precio Valorizado]]="Nudo",VLOOKUP(PMG_D__Remuneracion[[#This Row],[Barra]]&amp;"_"&amp;PMG_D__Remuneracion[[#This Row],[Tensión]],Tabla3[aux],1,0),"-")</f>
        <v>PIRQUE_13</v>
      </c>
      <c r="H50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02" spans="1:8">
      <c r="A502" t="s">
        <v>2797</v>
      </c>
      <c r="B502" t="s">
        <v>2798</v>
      </c>
      <c r="C502" t="s">
        <v>1460</v>
      </c>
      <c r="D502" t="s">
        <v>1756</v>
      </c>
      <c r="E502" t="s">
        <v>2799</v>
      </c>
      <c r="F502" t="s">
        <v>1583</v>
      </c>
      <c r="G502" s="9" t="str">
        <f>+IF(PMG_D__Remuneracion[[#This Row],[Precio Valorizado]]="Nudo",VLOOKUP(PMG_D__Remuneracion[[#This Row],[Barra]]&amp;"_"&amp;PMG_D__Remuneracion[[#This Row],[Tensión]],Tabla3[aux],1,0),"-")</f>
        <v>TENO_13</v>
      </c>
      <c r="H50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03" spans="1:8">
      <c r="A503" t="s">
        <v>2800</v>
      </c>
      <c r="B503" t="s">
        <v>2801</v>
      </c>
      <c r="C503" t="s">
        <v>1259</v>
      </c>
      <c r="D503" t="s">
        <v>1756</v>
      </c>
      <c r="E503" t="s">
        <v>2802</v>
      </c>
      <c r="F503" t="s">
        <v>1583</v>
      </c>
      <c r="G503" s="9" t="str">
        <f>+IF(PMG_D__Remuneracion[[#This Row],[Precio Valorizado]]="Nudo",VLOOKUP(PMG_D__Remuneracion[[#This Row],[Barra]]&amp;"_"&amp;PMG_D__Remuneracion[[#This Row],[Tensión]],Tabla3[aux],1,0),"-")</f>
        <v>S.JERONIMO_13</v>
      </c>
      <c r="H50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04" spans="1:8">
      <c r="A504" t="s">
        <v>2803</v>
      </c>
      <c r="B504" t="s">
        <v>2804</v>
      </c>
      <c r="C504" t="s">
        <v>1083</v>
      </c>
      <c r="D504" t="s">
        <v>1756</v>
      </c>
      <c r="E504" t="s">
        <v>1801</v>
      </c>
      <c r="F504" t="s">
        <v>1583</v>
      </c>
      <c r="G504" s="9" t="str">
        <f>+IF(PMG_D__Remuneracion[[#This Row],[Precio Valorizado]]="Nudo",VLOOKUP(PMG_D__Remuneracion[[#This Row],[Barra]]&amp;"_"&amp;PMG_D__Remuneracion[[#This Row],[Tensión]],Tabla3[aux],1,0),"-")</f>
        <v>PLACILLA_S_13</v>
      </c>
      <c r="H50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05" spans="1:8">
      <c r="A505" t="s">
        <v>2805</v>
      </c>
      <c r="B505" t="s">
        <v>2806</v>
      </c>
      <c r="C505" t="s">
        <v>680</v>
      </c>
      <c r="D505" t="s">
        <v>1756</v>
      </c>
      <c r="E505" t="s">
        <v>2807</v>
      </c>
      <c r="F505" t="s">
        <v>1583</v>
      </c>
      <c r="G505" s="9" t="str">
        <f>+IF(PMG_D__Remuneracion[[#This Row],[Precio Valorizado]]="Nudo",VLOOKUP(PMG_D__Remuneracion[[#This Row],[Barra]]&amp;"_"&amp;PMG_D__Remuneracion[[#This Row],[Tensión]],Tabla3[aux],1,0),"-")</f>
        <v>LAVEGA_13</v>
      </c>
      <c r="H50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06" spans="1:8">
      <c r="A506" t="s">
        <v>2808</v>
      </c>
      <c r="B506" t="s">
        <v>2809</v>
      </c>
      <c r="C506" t="s">
        <v>680</v>
      </c>
      <c r="D506" t="s">
        <v>1756</v>
      </c>
      <c r="E506" t="s">
        <v>2807</v>
      </c>
      <c r="F506" t="s">
        <v>1583</v>
      </c>
      <c r="G506" s="9" t="str">
        <f>+IF(PMG_D__Remuneracion[[#This Row],[Precio Valorizado]]="Nudo",VLOOKUP(PMG_D__Remuneracion[[#This Row],[Barra]]&amp;"_"&amp;PMG_D__Remuneracion[[#This Row],[Tensión]],Tabla3[aux],1,0),"-")</f>
        <v>LAVEGA_13</v>
      </c>
      <c r="H50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07" spans="1:8">
      <c r="A507" t="s">
        <v>2810</v>
      </c>
      <c r="B507" t="s">
        <v>2811</v>
      </c>
      <c r="C507" t="s">
        <v>680</v>
      </c>
      <c r="D507" t="s">
        <v>1756</v>
      </c>
      <c r="E507" t="s">
        <v>2807</v>
      </c>
      <c r="F507" t="s">
        <v>1583</v>
      </c>
      <c r="G507" s="9" t="str">
        <f>+IF(PMG_D__Remuneracion[[#This Row],[Precio Valorizado]]="Nudo",VLOOKUP(PMG_D__Remuneracion[[#This Row],[Barra]]&amp;"_"&amp;PMG_D__Remuneracion[[#This Row],[Tensión]],Tabla3[aux],1,0),"-")</f>
        <v>LAVEGA_13</v>
      </c>
      <c r="H50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08" spans="1:8">
      <c r="A508" t="s">
        <v>2812</v>
      </c>
      <c r="B508" t="s">
        <v>2813</v>
      </c>
      <c r="C508" t="s">
        <v>1290</v>
      </c>
      <c r="D508" t="s">
        <v>1755</v>
      </c>
      <c r="E508" t="s">
        <v>1828</v>
      </c>
      <c r="F508" t="s">
        <v>1583</v>
      </c>
      <c r="G508" s="9" t="str">
        <f>+IF(PMG_D__Remuneracion[[#This Row],[Precio Valorizado]]="Nudo",VLOOKUP(PMG_D__Remuneracion[[#This Row],[Barra]]&amp;"_"&amp;PMG_D__Remuneracion[[#This Row],[Tensión]],Tabla3[aux],1,0),"-")</f>
        <v>SALAMANCA_23</v>
      </c>
      <c r="H50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09" spans="1:8">
      <c r="A509" t="s">
        <v>2814</v>
      </c>
      <c r="B509" t="s">
        <v>2815</v>
      </c>
      <c r="C509" t="s">
        <v>732</v>
      </c>
      <c r="D509" t="s">
        <v>1756</v>
      </c>
      <c r="E509" t="s">
        <v>2015</v>
      </c>
      <c r="F509" t="s">
        <v>1583</v>
      </c>
      <c r="G509" s="9" t="str">
        <f>+IF(PMG_D__Remuneracion[[#This Row],[Precio Valorizado]]="Nudo",VLOOKUP(PMG_D__Remuneracion[[#This Row],[Barra]]&amp;"_"&amp;PMG_D__Remuneracion[[#This Row],[Tensión]],Tabla3[aux],1,0),"-")</f>
        <v>LOMIRANDA_13</v>
      </c>
      <c r="H50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10" spans="1:8">
      <c r="A510" t="s">
        <v>2816</v>
      </c>
      <c r="B510" t="s">
        <v>2817</v>
      </c>
      <c r="C510" t="s">
        <v>1323</v>
      </c>
      <c r="D510" t="s">
        <v>1755</v>
      </c>
      <c r="E510" t="s">
        <v>2818</v>
      </c>
      <c r="F510" t="s">
        <v>1583</v>
      </c>
      <c r="G510" s="9" t="str">
        <f>+IF(PMG_D__Remuneracion[[#This Row],[Precio Valorizado]]="Nudo",VLOOKUP(PMG_D__Remuneracion[[#This Row],[Barra]]&amp;"_"&amp;PMG_D__Remuneracion[[#This Row],[Tensión]],Tabla3[aux],1,0),"-")</f>
        <v>SANTA_MARTA_23</v>
      </c>
      <c r="H51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11" spans="1:8">
      <c r="A511" t="s">
        <v>2819</v>
      </c>
      <c r="B511" t="s">
        <v>2820</v>
      </c>
      <c r="C511" t="s">
        <v>929</v>
      </c>
      <c r="D511" t="s">
        <v>1755</v>
      </c>
      <c r="E511" t="s">
        <v>1785</v>
      </c>
      <c r="F511" t="s">
        <v>1583</v>
      </c>
      <c r="G511" s="9" t="str">
        <f>+IF(PMG_D__Remuneracion[[#This Row],[Precio Valorizado]]="Nudo",VLOOKUP(PMG_D__Remuneracion[[#This Row],[Barra]]&amp;"_"&amp;PMG_D__Remuneracion[[#This Row],[Tensión]],Tabla3[aux],1,0),"-")</f>
        <v>OVALLE_23</v>
      </c>
      <c r="H51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12" spans="1:8">
      <c r="A512" t="s">
        <v>2821</v>
      </c>
      <c r="B512" t="s">
        <v>2822</v>
      </c>
      <c r="C512" t="s">
        <v>816</v>
      </c>
      <c r="D512" t="s">
        <v>1756</v>
      </c>
      <c r="E512" t="s">
        <v>1801</v>
      </c>
      <c r="F512" t="s">
        <v>1583</v>
      </c>
      <c r="G512" s="9" t="str">
        <f>+IF(PMG_D__Remuneracion[[#This Row],[Precio Valorizado]]="Nudo",VLOOKUP(PMG_D__Remuneracion[[#This Row],[Barra]]&amp;"_"&amp;PMG_D__Remuneracion[[#This Row],[Tensión]],Tabla3[aux],1,0),"-")</f>
        <v>MARCHIHUE_13</v>
      </c>
      <c r="H51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13" spans="1:8">
      <c r="A513" t="s">
        <v>2823</v>
      </c>
      <c r="B513" t="s">
        <v>2824</v>
      </c>
      <c r="C513" t="s">
        <v>215</v>
      </c>
      <c r="D513" t="s">
        <v>1756</v>
      </c>
      <c r="E513" t="s">
        <v>2306</v>
      </c>
      <c r="F513" t="s">
        <v>1583</v>
      </c>
      <c r="G513" s="9" t="str">
        <f>+IF(PMG_D__Remuneracion[[#This Row],[Precio Valorizado]]="Nudo",VLOOKUP(PMG_D__Remuneracion[[#This Row],[Barra]]&amp;"_"&amp;PMG_D__Remuneracion[[#This Row],[Tensión]],Tabla3[aux],1,0),"-")</f>
        <v>CAUQUENES_13</v>
      </c>
      <c r="H51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14" spans="1:8">
      <c r="A514" t="s">
        <v>2825</v>
      </c>
      <c r="B514" t="s">
        <v>2826</v>
      </c>
      <c r="C514" t="s">
        <v>1239</v>
      </c>
      <c r="D514" t="s">
        <v>1756</v>
      </c>
      <c r="E514" t="s">
        <v>6551</v>
      </c>
      <c r="F514" t="s">
        <v>1583</v>
      </c>
      <c r="G514" s="9" t="str">
        <f>+IF(PMG_D__Remuneracion[[#This Row],[Precio Valorizado]]="Nudo",VLOOKUP(PMG_D__Remuneracion[[#This Row],[Barra]]&amp;"_"&amp;PMG_D__Remuneracion[[#This Row],[Tensión]],Tabla3[aux],1,0),"-")</f>
        <v>S.CARLOS_13</v>
      </c>
      <c r="H51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15" spans="1:8">
      <c r="A515" t="s">
        <v>6610</v>
      </c>
      <c r="B515" t="s">
        <v>6611</v>
      </c>
      <c r="C515" t="s">
        <v>335</v>
      </c>
      <c r="D515" t="s">
        <v>1756</v>
      </c>
      <c r="E515" t="s">
        <v>6612</v>
      </c>
      <c r="F515" t="s">
        <v>1583</v>
      </c>
      <c r="G515" s="9" t="str">
        <f>+IF(PMG_D__Remuneracion[[#This Row],[Precio Valorizado]]="Nudo",VLOOKUP(PMG_D__Remuneracion[[#This Row],[Barra]]&amp;"_"&amp;PMG_D__Remuneracion[[#This Row],[Tensión]],Tabla3[aux],1,0),"-")</f>
        <v>CONCON_13</v>
      </c>
      <c r="H51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16" spans="1:8">
      <c r="A516" t="s">
        <v>2827</v>
      </c>
      <c r="B516" t="s">
        <v>2828</v>
      </c>
      <c r="C516" t="s">
        <v>1094</v>
      </c>
      <c r="D516" t="s">
        <v>1755</v>
      </c>
      <c r="E516" t="s">
        <v>3206</v>
      </c>
      <c r="F516" t="s">
        <v>1583</v>
      </c>
      <c r="G516" s="9" t="str">
        <f>+IF(PMG_D__Remuneracion[[#This Row],[Precio Valorizado]]="Nudo",VLOOKUP(PMG_D__Remuneracion[[#This Row],[Barra]]&amp;"_"&amp;PMG_D__Remuneracion[[#This Row],[Tensión]],Tabla3[aux],1,0),"-")</f>
        <v>PORTEZUELO_23</v>
      </c>
      <c r="H51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17" spans="1:8">
      <c r="A517" t="s">
        <v>2829</v>
      </c>
      <c r="B517" t="s">
        <v>2830</v>
      </c>
      <c r="C517" t="s">
        <v>929</v>
      </c>
      <c r="D517" t="s">
        <v>1755</v>
      </c>
      <c r="E517" t="s">
        <v>2831</v>
      </c>
      <c r="F517" t="s">
        <v>1583</v>
      </c>
      <c r="G517" s="9" t="str">
        <f>+IF(PMG_D__Remuneracion[[#This Row],[Precio Valorizado]]="Nudo",VLOOKUP(PMG_D__Remuneracion[[#This Row],[Barra]]&amp;"_"&amp;PMG_D__Remuneracion[[#This Row],[Tensión]],Tabla3[aux],1,0),"-")</f>
        <v>OVALLE_23</v>
      </c>
      <c r="H51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18" spans="1:8">
      <c r="A518" t="s">
        <v>2832</v>
      </c>
      <c r="B518" t="s">
        <v>2833</v>
      </c>
      <c r="C518" t="s">
        <v>438</v>
      </c>
      <c r="D518" t="s">
        <v>1756</v>
      </c>
      <c r="E518" t="s">
        <v>3099</v>
      </c>
      <c r="F518" t="s">
        <v>1583</v>
      </c>
      <c r="G518" s="9" t="str">
        <f>+IF(PMG_D__Remuneracion[[#This Row],[Precio Valorizado]]="Nudo",VLOOKUP(PMG_D__Remuneracion[[#This Row],[Barra]]&amp;"_"&amp;PMG_D__Remuneracion[[#This Row],[Tensión]],Tabla3[aux],1,0),"-")</f>
        <v>ELMAITEN_13</v>
      </c>
      <c r="H51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19" spans="1:8">
      <c r="A519" t="s">
        <v>2834</v>
      </c>
      <c r="B519" t="s">
        <v>2835</v>
      </c>
      <c r="C519" t="s">
        <v>825</v>
      </c>
      <c r="D519" t="s">
        <v>1755</v>
      </c>
      <c r="E519" t="s">
        <v>2836</v>
      </c>
      <c r="F519" t="s">
        <v>1583</v>
      </c>
      <c r="G519" s="9" t="str">
        <f>+IF(PMG_D__Remuneracion[[#This Row],[Precio Valorizado]]="Nudo",VLOOKUP(PMG_D__Remuneracion[[#This Row],[Barra]]&amp;"_"&amp;PMG_D__Remuneracion[[#This Row],[Tensión]],Tabla3[aux],1,0),"-")</f>
        <v>MARQUESA_23</v>
      </c>
      <c r="H51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20" spans="1:8">
      <c r="A520" t="s">
        <v>2837</v>
      </c>
      <c r="B520" t="s">
        <v>2838</v>
      </c>
      <c r="C520" t="s">
        <v>1212</v>
      </c>
      <c r="D520" t="s">
        <v>1756</v>
      </c>
      <c r="E520" t="s">
        <v>2839</v>
      </c>
      <c r="F520" t="s">
        <v>1583</v>
      </c>
      <c r="G520" s="9" t="str">
        <f>+IF(PMG_D__Remuneracion[[#This Row],[Precio Valorizado]]="Nudo",VLOOKUP(PMG_D__Remuneracion[[#This Row],[Barra]]&amp;"_"&amp;PMG_D__Remuneracion[[#This Row],[Tensión]],Tabla3[aux],1,0),"-")</f>
        <v>RENGO_13</v>
      </c>
      <c r="H52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21" spans="1:8">
      <c r="A521" t="s">
        <v>2840</v>
      </c>
      <c r="B521" t="s">
        <v>2841</v>
      </c>
      <c r="C521" t="s">
        <v>1107</v>
      </c>
      <c r="D521" t="s">
        <v>1755</v>
      </c>
      <c r="E521" t="s">
        <v>2842</v>
      </c>
      <c r="F521" t="s">
        <v>1583</v>
      </c>
      <c r="G521" s="9" t="str">
        <f>+IF(PMG_D__Remuneracion[[#This Row],[Precio Valorizado]]="Nudo",VLOOKUP(PMG_D__Remuneracion[[#This Row],[Barra]]&amp;"_"&amp;PMG_D__Remuneracion[[#This Row],[Tensión]],Tabla3[aux],1,0),"-")</f>
        <v>PUEBLOSECO_23</v>
      </c>
      <c r="H52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22" spans="1:8">
      <c r="A522" t="s">
        <v>2843</v>
      </c>
      <c r="B522" t="s">
        <v>6618</v>
      </c>
      <c r="C522" t="s">
        <v>401</v>
      </c>
      <c r="D522" t="s">
        <v>1755</v>
      </c>
      <c r="E522" t="s">
        <v>2844</v>
      </c>
      <c r="F522" t="s">
        <v>1583</v>
      </c>
      <c r="G522" s="9" t="str">
        <f>+IF(PMG_D__Remuneracion[[#This Row],[Precio Valorizado]]="Nudo",VLOOKUP(PMG_D__Remuneracion[[#This Row],[Barra]]&amp;"_"&amp;PMG_D__Remuneracion[[#This Row],[Tensión]],Tabla3[aux],1,0),"-")</f>
        <v>DUQUECO_23</v>
      </c>
      <c r="H52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23" spans="1:8">
      <c r="A523" t="s">
        <v>2845</v>
      </c>
      <c r="B523" t="s">
        <v>2846</v>
      </c>
      <c r="C523" t="s">
        <v>1323</v>
      </c>
      <c r="D523" t="s">
        <v>1755</v>
      </c>
      <c r="E523" t="s">
        <v>2847</v>
      </c>
      <c r="F523" t="s">
        <v>1583</v>
      </c>
      <c r="G523" s="9" t="str">
        <f>+IF(PMG_D__Remuneracion[[#This Row],[Precio Valorizado]]="Nudo",VLOOKUP(PMG_D__Remuneracion[[#This Row],[Barra]]&amp;"_"&amp;PMG_D__Remuneracion[[#This Row],[Tensión]],Tabla3[aux],1,0),"-")</f>
        <v>SANTA_MARTA_23</v>
      </c>
      <c r="H52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24" spans="1:8">
      <c r="A524" t="s">
        <v>6384</v>
      </c>
      <c r="B524" t="s">
        <v>6385</v>
      </c>
      <c r="C524" t="s">
        <v>1032</v>
      </c>
      <c r="D524" t="s">
        <v>1756</v>
      </c>
      <c r="E524" t="s">
        <v>1828</v>
      </c>
      <c r="F524" t="s">
        <v>1583</v>
      </c>
      <c r="G524" s="9" t="str">
        <f>+IF(PMG_D__Remuneracion[[#This Row],[Precio Valorizado]]="Nudo",VLOOKUP(PMG_D__Remuneracion[[#This Row],[Barra]]&amp;"_"&amp;PMG_D__Remuneracion[[#This Row],[Tensión]],Tabla3[aux],1,0),"-")</f>
        <v>PELEQUEN_13</v>
      </c>
      <c r="H52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25" spans="1:8">
      <c r="A525" t="s">
        <v>2848</v>
      </c>
      <c r="B525" t="s">
        <v>2849</v>
      </c>
      <c r="C525" t="s">
        <v>1162</v>
      </c>
      <c r="D525" t="s">
        <v>1755</v>
      </c>
      <c r="E525" t="s">
        <v>2850</v>
      </c>
      <c r="F525" t="s">
        <v>1583</v>
      </c>
      <c r="G525" s="9" t="str">
        <f>+IF(PMG_D__Remuneracion[[#This Row],[Precio Valorizado]]="Nudo",VLOOKUP(PMG_D__Remuneracion[[#This Row],[Barra]]&amp;"_"&amp;PMG_D__Remuneracion[[#This Row],[Tensión]],Tabla3[aux],1,0),"-")</f>
        <v>QUINQUIMO_23</v>
      </c>
      <c r="H52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26" spans="1:8">
      <c r="A526" t="s">
        <v>3356</v>
      </c>
      <c r="B526" t="s">
        <v>3357</v>
      </c>
      <c r="C526" t="s">
        <v>656</v>
      </c>
      <c r="D526" t="s">
        <v>1756</v>
      </c>
      <c r="E526" t="s">
        <v>1837</v>
      </c>
      <c r="F526" t="s">
        <v>1583</v>
      </c>
      <c r="G526" s="9" t="str">
        <f>+IF(PMG_D__Remuneracion[[#This Row],[Precio Valorizado]]="Nudo",VLOOKUP(PMG_D__Remuneracion[[#This Row],[Barra]]&amp;"_"&amp;PMG_D__Remuneracion[[#This Row],[Tensión]],Tabla3[aux],1,0),"-")</f>
        <v>LARONDA_13</v>
      </c>
      <c r="H52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27" spans="1:8">
      <c r="A527" t="s">
        <v>2851</v>
      </c>
      <c r="B527" t="s">
        <v>2852</v>
      </c>
      <c r="C527" t="s">
        <v>539</v>
      </c>
      <c r="D527" t="s">
        <v>1755</v>
      </c>
      <c r="E527" t="s">
        <v>6404</v>
      </c>
      <c r="F527" t="s">
        <v>1583</v>
      </c>
      <c r="G527" s="9" t="str">
        <f>+IF(PMG_D__Remuneracion[[#This Row],[Precio Valorizado]]="Nudo",VLOOKUP(PMG_D__Remuneracion[[#This Row],[Barra]]&amp;"_"&amp;PMG_D__Remuneracion[[#This Row],[Tensión]],Tabla3[aux],1,0),"-")</f>
        <v>INCAHUASI_23</v>
      </c>
      <c r="H52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28" spans="1:8">
      <c r="A528" t="s">
        <v>2853</v>
      </c>
      <c r="B528" t="s">
        <v>6619</v>
      </c>
      <c r="C528" t="s">
        <v>1212</v>
      </c>
      <c r="D528" t="s">
        <v>1756</v>
      </c>
      <c r="E528" t="s">
        <v>1801</v>
      </c>
      <c r="F528" t="s">
        <v>1583</v>
      </c>
      <c r="G528" s="9" t="str">
        <f>+IF(PMG_D__Remuneracion[[#This Row],[Precio Valorizado]]="Nudo",VLOOKUP(PMG_D__Remuneracion[[#This Row],[Barra]]&amp;"_"&amp;PMG_D__Remuneracion[[#This Row],[Tensión]],Tabla3[aux],1,0),"-")</f>
        <v>RENGO_13</v>
      </c>
      <c r="H52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29" spans="1:8">
      <c r="A529" t="s">
        <v>2854</v>
      </c>
      <c r="B529" t="s">
        <v>6620</v>
      </c>
      <c r="C529" t="s">
        <v>1212</v>
      </c>
      <c r="D529" t="s">
        <v>1756</v>
      </c>
      <c r="E529" t="s">
        <v>1801</v>
      </c>
      <c r="F529" t="s">
        <v>1583</v>
      </c>
      <c r="G529" s="9" t="str">
        <f>+IF(PMG_D__Remuneracion[[#This Row],[Precio Valorizado]]="Nudo",VLOOKUP(PMG_D__Remuneracion[[#This Row],[Barra]]&amp;"_"&amp;PMG_D__Remuneracion[[#This Row],[Tensión]],Tabla3[aux],1,0),"-")</f>
        <v>RENGO_13</v>
      </c>
      <c r="H52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30" spans="1:8">
      <c r="A530" t="s">
        <v>2855</v>
      </c>
      <c r="B530" t="s">
        <v>2856</v>
      </c>
      <c r="C530" t="s">
        <v>825</v>
      </c>
      <c r="D530" t="s">
        <v>1755</v>
      </c>
      <c r="E530" t="s">
        <v>1806</v>
      </c>
      <c r="F530" t="s">
        <v>1583</v>
      </c>
      <c r="G530" s="9" t="str">
        <f>+IF(PMG_D__Remuneracion[[#This Row],[Precio Valorizado]]="Nudo",VLOOKUP(PMG_D__Remuneracion[[#This Row],[Barra]]&amp;"_"&amp;PMG_D__Remuneracion[[#This Row],[Tensión]],Tabla3[aux],1,0),"-")</f>
        <v>MARQUESA_23</v>
      </c>
      <c r="H53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31" spans="1:8">
      <c r="A531" t="s">
        <v>2857</v>
      </c>
      <c r="B531" t="s">
        <v>2858</v>
      </c>
      <c r="C531" t="s">
        <v>36</v>
      </c>
      <c r="D531" t="s">
        <v>1754</v>
      </c>
      <c r="E531" t="s">
        <v>3099</v>
      </c>
      <c r="F531" t="s">
        <v>1583</v>
      </c>
      <c r="G531" s="9" t="str">
        <f>+IF(PMG_D__Remuneracion[[#This Row],[Precio Valorizado]]="Nudo",VLOOKUP(PMG_D__Remuneracion[[#This Row],[Barra]]&amp;"_"&amp;PMG_D__Remuneracion[[#This Row],[Tensión]],Tabla3[aux],1,0),"-")</f>
        <v>ALAMEDA_15</v>
      </c>
      <c r="H53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32" spans="1:8">
      <c r="A532" t="s">
        <v>2859</v>
      </c>
      <c r="B532" t="s">
        <v>2860</v>
      </c>
      <c r="C532" t="s">
        <v>168</v>
      </c>
      <c r="D532" t="s">
        <v>1755</v>
      </c>
      <c r="E532" t="s">
        <v>6613</v>
      </c>
      <c r="F532" t="s">
        <v>1583</v>
      </c>
      <c r="G532" s="9" t="str">
        <f>+IF(PMG_D__Remuneracion[[#This Row],[Precio Valorizado]]="Nudo",VLOOKUP(PMG_D__Remuneracion[[#This Row],[Barra]]&amp;"_"&amp;PMG_D__Remuneracion[[#This Row],[Tensión]],Tabla3[aux],1,0),"-")</f>
        <v>CALAMA_23</v>
      </c>
      <c r="H53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33" spans="1:8">
      <c r="A533" t="s">
        <v>2861</v>
      </c>
      <c r="B533" t="s">
        <v>2862</v>
      </c>
      <c r="C533" t="s">
        <v>1318</v>
      </c>
      <c r="D533" t="s">
        <v>1756</v>
      </c>
      <c r="E533" t="s">
        <v>6405</v>
      </c>
      <c r="F533" t="s">
        <v>1758</v>
      </c>
      <c r="G533" s="9" t="str">
        <f>+IF(PMG_D__Remuneracion[[#This Row],[Precio Valorizado]]="Nudo",VLOOKUP(PMG_D__Remuneracion[[#This Row],[Barra]]&amp;"_"&amp;PMG_D__Remuneracion[[#This Row],[Tensión]],Tabla3[aux],1,0),"-")</f>
        <v>-</v>
      </c>
      <c r="H533" s="9" t="str">
        <f>+IF(PMG_D__Remuneracion[[#This Row],[Precio Valorizado]]="Estabilizado",VLOOKUP(PMG_D__Remuneracion[[#This Row],[Barra]]&amp;"_"&amp;PMG_D__Remuneracion[[#This Row],[Tensión]],'FACTORES DE REFERENCIACION'!N:N,1,0),"-")</f>
        <v>SANTA_BARBARA_13</v>
      </c>
    </row>
    <row r="534" spans="1:8">
      <c r="A534" t="s">
        <v>2863</v>
      </c>
      <c r="B534" t="s">
        <v>2864</v>
      </c>
      <c r="C534" t="s">
        <v>438</v>
      </c>
      <c r="D534" t="s">
        <v>1756</v>
      </c>
      <c r="E534" t="s">
        <v>2865</v>
      </c>
      <c r="F534" t="s">
        <v>1583</v>
      </c>
      <c r="G534" s="9" t="str">
        <f>+IF(PMG_D__Remuneracion[[#This Row],[Precio Valorizado]]="Nudo",VLOOKUP(PMG_D__Remuneracion[[#This Row],[Barra]]&amp;"_"&amp;PMG_D__Remuneracion[[#This Row],[Tensión]],Tabla3[aux],1,0),"-")</f>
        <v>ELMAITEN_13</v>
      </c>
      <c r="H53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35" spans="1:8">
      <c r="A535" t="s">
        <v>2866</v>
      </c>
      <c r="B535" t="s">
        <v>2867</v>
      </c>
      <c r="C535" t="s">
        <v>258</v>
      </c>
      <c r="D535" t="s">
        <v>1756</v>
      </c>
      <c r="E535" t="s">
        <v>2868</v>
      </c>
      <c r="F535" t="s">
        <v>1583</v>
      </c>
      <c r="G535" s="9" t="str">
        <f>+IF(PMG_D__Remuneracion[[#This Row],[Precio Valorizado]]="Nudo",VLOOKUP(PMG_D__Remuneracion[[#This Row],[Barra]]&amp;"_"&amp;PMG_D__Remuneracion[[#This Row],[Tensión]],Tabla3[aux],1,0),"-")</f>
        <v>CHILLAN_13</v>
      </c>
      <c r="H53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36" spans="1:8">
      <c r="A536" t="s">
        <v>6479</v>
      </c>
      <c r="B536" t="s">
        <v>6480</v>
      </c>
      <c r="C536" t="s">
        <v>1200</v>
      </c>
      <c r="D536" t="s">
        <v>1756</v>
      </c>
      <c r="E536" t="s">
        <v>6481</v>
      </c>
      <c r="F536" t="s">
        <v>1583</v>
      </c>
      <c r="G536" s="9" t="str">
        <f>+IF(PMG_D__Remuneracion[[#This Row],[Precio Valorizado]]="Nudo",VLOOKUP(PMG_D__Remuneracion[[#This Row],[Barra]]&amp;"_"&amp;PMG_D__Remuneracion[[#This Row],[Tensión]],Tabla3[aux],1,0),"-")</f>
        <v>RAUQUEN_13</v>
      </c>
      <c r="H53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37" spans="1:8">
      <c r="A537" t="s">
        <v>2869</v>
      </c>
      <c r="B537" t="s">
        <v>2870</v>
      </c>
      <c r="C537" t="s">
        <v>829</v>
      </c>
      <c r="D537" t="s">
        <v>1754</v>
      </c>
      <c r="E537" t="s">
        <v>2871</v>
      </c>
      <c r="F537" t="s">
        <v>1583</v>
      </c>
      <c r="G537" s="9" t="str">
        <f>+IF(PMG_D__Remuneracion[[#This Row],[Precio Valorizado]]="Nudo",VLOOKUP(PMG_D__Remuneracion[[#This Row],[Barra]]&amp;"_"&amp;PMG_D__Remuneracion[[#This Row],[Tensión]],Tabla3[aux],1,0),"-")</f>
        <v>MAULE_15</v>
      </c>
      <c r="H53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38" spans="1:8">
      <c r="A538" t="s">
        <v>3246</v>
      </c>
      <c r="B538" t="s">
        <v>3287</v>
      </c>
      <c r="C538" t="s">
        <v>161</v>
      </c>
      <c r="D538" t="s">
        <v>1756</v>
      </c>
      <c r="E538" t="s">
        <v>3288</v>
      </c>
      <c r="F538" t="s">
        <v>1583</v>
      </c>
      <c r="G538" s="9" t="str">
        <f>+IF(PMG_D__Remuneracion[[#This Row],[Precio Valorizado]]="Nudo",VLOOKUP(PMG_D__Remuneracion[[#This Row],[Barra]]&amp;"_"&amp;PMG_D__Remuneracion[[#This Row],[Tensión]],Tabla3[aux],1,0),"-")</f>
        <v>CABRERO_13</v>
      </c>
      <c r="H53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39" spans="1:8">
      <c r="A539" t="s">
        <v>2872</v>
      </c>
      <c r="B539" t="s">
        <v>2873</v>
      </c>
      <c r="C539" t="s">
        <v>419</v>
      </c>
      <c r="D539" t="s">
        <v>1755</v>
      </c>
      <c r="E539" t="s">
        <v>2874</v>
      </c>
      <c r="F539" t="s">
        <v>1583</v>
      </c>
      <c r="G539" s="9" t="str">
        <f>+IF(PMG_D__Remuneracion[[#This Row],[Precio Valorizado]]="Nudo",VLOOKUP(PMG_D__Remuneracion[[#This Row],[Barra]]&amp;"_"&amp;PMG_D__Remuneracion[[#This Row],[Tensión]],Tabla3[aux],1,0),"-")</f>
        <v>EL_MANZANO_23</v>
      </c>
      <c r="H53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40" spans="1:8">
      <c r="A540" t="s">
        <v>6790</v>
      </c>
      <c r="B540" t="s">
        <v>6791</v>
      </c>
      <c r="C540" t="s">
        <v>3592</v>
      </c>
      <c r="D540" t="s">
        <v>1756</v>
      </c>
      <c r="E540" t="s">
        <v>1840</v>
      </c>
      <c r="F540" t="s">
        <v>1758</v>
      </c>
      <c r="G540" s="9" t="str">
        <f>+IF(PMG_D__Remuneracion[[#This Row],[Precio Valorizado]]="Nudo",VLOOKUP(PMG_D__Remuneracion[[#This Row],[Barra]]&amp;"_"&amp;PMG_D__Remuneracion[[#This Row],[Tensión]],Tabla3[aux],1,0),"-")</f>
        <v>-</v>
      </c>
      <c r="H540" s="9" t="str">
        <f>+IF(PMG_D__Remuneracion[[#This Row],[Precio Valorizado]]="Estabilizado",VLOOKUP(PMG_D__Remuneracion[[#This Row],[Barra]]&amp;"_"&amp;PMG_D__Remuneracion[[#This Row],[Tensión]],'FACTORES DE REFERENCIACION'!N:N,1,0),"-")</f>
        <v>T.PINOS_13</v>
      </c>
    </row>
    <row r="541" spans="1:8">
      <c r="A541" t="s">
        <v>6386</v>
      </c>
      <c r="B541" t="s">
        <v>6387</v>
      </c>
      <c r="C541" t="s">
        <v>929</v>
      </c>
      <c r="D541" t="s">
        <v>1755</v>
      </c>
      <c r="E541" t="s">
        <v>3227</v>
      </c>
      <c r="F541" t="s">
        <v>1583</v>
      </c>
      <c r="G541" s="9" t="str">
        <f>+IF(PMG_D__Remuneracion[[#This Row],[Precio Valorizado]]="Nudo",VLOOKUP(PMG_D__Remuneracion[[#This Row],[Barra]]&amp;"_"&amp;PMG_D__Remuneracion[[#This Row],[Tensión]],Tabla3[aux],1,0),"-")</f>
        <v>OVALLE_23</v>
      </c>
      <c r="H54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42" spans="1:8">
      <c r="A542" t="s">
        <v>6350</v>
      </c>
      <c r="B542" t="s">
        <v>6351</v>
      </c>
      <c r="C542" t="s">
        <v>1194</v>
      </c>
      <c r="D542" t="s">
        <v>1756</v>
      </c>
      <c r="E542" t="s">
        <v>6352</v>
      </c>
      <c r="F542" t="s">
        <v>1583</v>
      </c>
      <c r="G542" s="9" t="str">
        <f>+IF(PMG_D__Remuneracion[[#This Row],[Precio Valorizado]]="Nudo",VLOOKUP(PMG_D__Remuneracion[[#This Row],[Barra]]&amp;"_"&amp;PMG_D__Remuneracion[[#This Row],[Tensión]],Tabla3[aux],1,0),"-")</f>
        <v>RANGUILI_13</v>
      </c>
      <c r="H54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43" spans="1:8">
      <c r="A543" t="s">
        <v>2875</v>
      </c>
      <c r="B543" t="s">
        <v>2876</v>
      </c>
      <c r="C543" t="s">
        <v>215</v>
      </c>
      <c r="D543" t="s">
        <v>1756</v>
      </c>
      <c r="E543" t="s">
        <v>1883</v>
      </c>
      <c r="F543" t="s">
        <v>1583</v>
      </c>
      <c r="G543" s="9" t="str">
        <f>+IF(PMG_D__Remuneracion[[#This Row],[Precio Valorizado]]="Nudo",VLOOKUP(PMG_D__Remuneracion[[#This Row],[Barra]]&amp;"_"&amp;PMG_D__Remuneracion[[#This Row],[Tensión]],Tabla3[aux],1,0),"-")</f>
        <v>CAUQUENES_13</v>
      </c>
      <c r="H54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44" spans="1:8">
      <c r="A544" t="s">
        <v>2877</v>
      </c>
      <c r="B544" t="s">
        <v>2878</v>
      </c>
      <c r="C544" t="s">
        <v>866</v>
      </c>
      <c r="D544" t="s">
        <v>1756</v>
      </c>
      <c r="E544" t="s">
        <v>1801</v>
      </c>
      <c r="F544" t="s">
        <v>1583</v>
      </c>
      <c r="G544" s="9" t="str">
        <f>+IF(PMG_D__Remuneracion[[#This Row],[Precio Valorizado]]="Nudo",VLOOKUP(PMG_D__Remuneracion[[#This Row],[Barra]]&amp;"_"&amp;PMG_D__Remuneracion[[#This Row],[Tensión]],Tabla3[aux],1,0),"-")</f>
        <v>MOLINA_13</v>
      </c>
      <c r="H54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45" spans="1:8">
      <c r="A545" t="s">
        <v>2879</v>
      </c>
      <c r="B545" t="s">
        <v>2880</v>
      </c>
      <c r="C545" t="s">
        <v>1200</v>
      </c>
      <c r="D545" t="s">
        <v>1756</v>
      </c>
      <c r="E545" t="s">
        <v>1801</v>
      </c>
      <c r="F545" t="s">
        <v>1583</v>
      </c>
      <c r="G545" s="9" t="str">
        <f>+IF(PMG_D__Remuneracion[[#This Row],[Precio Valorizado]]="Nudo",VLOOKUP(PMG_D__Remuneracion[[#This Row],[Barra]]&amp;"_"&amp;PMG_D__Remuneracion[[#This Row],[Tensión]],Tabla3[aux],1,0),"-")</f>
        <v>RAUQUEN_13</v>
      </c>
      <c r="H54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46" spans="1:8">
      <c r="A546" t="s">
        <v>2881</v>
      </c>
      <c r="B546" t="s">
        <v>2882</v>
      </c>
      <c r="C546" t="s">
        <v>1460</v>
      </c>
      <c r="D546" t="s">
        <v>1756</v>
      </c>
      <c r="E546" t="s">
        <v>2883</v>
      </c>
      <c r="F546" t="s">
        <v>1583</v>
      </c>
      <c r="G546" s="9" t="str">
        <f>+IF(PMG_D__Remuneracion[[#This Row],[Precio Valorizado]]="Nudo",VLOOKUP(PMG_D__Remuneracion[[#This Row],[Barra]]&amp;"_"&amp;PMG_D__Remuneracion[[#This Row],[Tensión]],Tabla3[aux],1,0),"-")</f>
        <v>TENO_13</v>
      </c>
      <c r="H54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47" spans="1:8">
      <c r="A547" t="s">
        <v>2884</v>
      </c>
      <c r="B547" t="s">
        <v>2885</v>
      </c>
      <c r="C547" t="s">
        <v>1035</v>
      </c>
      <c r="D547" t="s">
        <v>1756</v>
      </c>
      <c r="E547" t="s">
        <v>2886</v>
      </c>
      <c r="F547" t="s">
        <v>1583</v>
      </c>
      <c r="G547" s="9" t="str">
        <f>+IF(PMG_D__Remuneracion[[#This Row],[Precio Valorizado]]="Nudo",VLOOKUP(PMG_D__Remuneracion[[#This Row],[Barra]]&amp;"_"&amp;PMG_D__Remuneracion[[#This Row],[Tensión]],Tabla3[aux],1,0),"-")</f>
        <v>PENABLANCA_13</v>
      </c>
      <c r="H54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48" spans="1:8">
      <c r="A548" t="s">
        <v>2887</v>
      </c>
      <c r="B548" t="s">
        <v>2888</v>
      </c>
      <c r="C548" t="s">
        <v>929</v>
      </c>
      <c r="D548" t="s">
        <v>1755</v>
      </c>
      <c r="E548" t="s">
        <v>2889</v>
      </c>
      <c r="F548" t="s">
        <v>1583</v>
      </c>
      <c r="G548" s="9" t="str">
        <f>+IF(PMG_D__Remuneracion[[#This Row],[Precio Valorizado]]="Nudo",VLOOKUP(PMG_D__Remuneracion[[#This Row],[Barra]]&amp;"_"&amp;PMG_D__Remuneracion[[#This Row],[Tensión]],Tabla3[aux],1,0),"-")</f>
        <v>OVALLE_23</v>
      </c>
      <c r="H54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49" spans="1:8">
      <c r="A549" t="s">
        <v>2890</v>
      </c>
      <c r="B549" t="s">
        <v>2891</v>
      </c>
      <c r="C549" t="s">
        <v>1175</v>
      </c>
      <c r="D549" t="s">
        <v>1756</v>
      </c>
      <c r="E549" t="s">
        <v>2892</v>
      </c>
      <c r="F549" t="s">
        <v>1583</v>
      </c>
      <c r="G549" s="9" t="str">
        <f>+IF(PMG_D__Remuneracion[[#This Row],[Precio Valorizado]]="Nudo",VLOOKUP(PMG_D__Remuneracion[[#This Row],[Barra]]&amp;"_"&amp;PMG_D__Remuneracion[[#This Row],[Tensión]],Tabla3[aux],1,0),"-")</f>
        <v>QUIRIHUE_13</v>
      </c>
      <c r="H54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50" spans="1:8">
      <c r="A550" t="s">
        <v>2893</v>
      </c>
      <c r="B550" t="s">
        <v>2894</v>
      </c>
      <c r="C550" t="s">
        <v>890</v>
      </c>
      <c r="D550" t="s">
        <v>1756</v>
      </c>
      <c r="E550" t="s">
        <v>2250</v>
      </c>
      <c r="F550" t="s">
        <v>1583</v>
      </c>
      <c r="G550" s="9" t="str">
        <f>+IF(PMG_D__Remuneracion[[#This Row],[Precio Valorizado]]="Nudo",VLOOKUP(PMG_D__Remuneracion[[#This Row],[Barra]]&amp;"_"&amp;PMG_D__Remuneracion[[#This Row],[Tensión]],Tabla3[aux],1,0),"-")</f>
        <v>NAHUELBUTA_13</v>
      </c>
      <c r="H55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51" spans="1:8">
      <c r="A551" t="s">
        <v>2895</v>
      </c>
      <c r="B551" t="s">
        <v>2896</v>
      </c>
      <c r="C551" t="s">
        <v>1212</v>
      </c>
      <c r="D551" t="s">
        <v>1756</v>
      </c>
      <c r="E551" t="s">
        <v>1828</v>
      </c>
      <c r="F551" t="s">
        <v>1583</v>
      </c>
      <c r="G551" s="9" t="str">
        <f>+IF(PMG_D__Remuneracion[[#This Row],[Precio Valorizado]]="Nudo",VLOOKUP(PMG_D__Remuneracion[[#This Row],[Barra]]&amp;"_"&amp;PMG_D__Remuneracion[[#This Row],[Tensión]],Tabla3[aux],1,0),"-")</f>
        <v>RENGO_13</v>
      </c>
      <c r="H55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52" spans="1:8">
      <c r="A552" t="s">
        <v>2897</v>
      </c>
      <c r="B552" t="s">
        <v>2898</v>
      </c>
      <c r="C552" t="s">
        <v>1273</v>
      </c>
      <c r="D552" t="s">
        <v>1756</v>
      </c>
      <c r="E552" t="s">
        <v>2899</v>
      </c>
      <c r="F552" t="s">
        <v>1583</v>
      </c>
      <c r="G552" s="9" t="str">
        <f>+IF(PMG_D__Remuneracion[[#This Row],[Precio Valorizado]]="Nudo",VLOOKUP(PMG_D__Remuneracion[[#This Row],[Barra]]&amp;"_"&amp;PMG_D__Remuneracion[[#This Row],[Tensión]],Tabla3[aux],1,0),"-")</f>
        <v>S.RAFAEL_13</v>
      </c>
      <c r="H55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53" spans="1:8">
      <c r="A553" t="s">
        <v>2900</v>
      </c>
      <c r="B553" t="s">
        <v>2901</v>
      </c>
      <c r="C553" t="s">
        <v>1235</v>
      </c>
      <c r="D553" t="s">
        <v>1756</v>
      </c>
      <c r="E553" t="s">
        <v>2902</v>
      </c>
      <c r="F553" t="s">
        <v>1583</v>
      </c>
      <c r="G553" s="9" t="str">
        <f>+IF(PMG_D__Remuneracion[[#This Row],[Precio Valorizado]]="Nudo",VLOOKUP(PMG_D__Remuneracion[[#This Row],[Barra]]&amp;"_"&amp;PMG_D__Remuneracion[[#This Row],[Tensión]],Tabla3[aux],1,0),"-")</f>
        <v>S.ANTONIO_13</v>
      </c>
      <c r="H55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54" spans="1:8">
      <c r="A554" t="s">
        <v>2903</v>
      </c>
      <c r="B554" t="s">
        <v>2908</v>
      </c>
      <c r="C554" t="s">
        <v>1212</v>
      </c>
      <c r="D554" t="s">
        <v>1756</v>
      </c>
      <c r="E554" t="s">
        <v>2904</v>
      </c>
      <c r="F554" t="s">
        <v>1583</v>
      </c>
      <c r="G554" s="9" t="str">
        <f>+IF(PMG_D__Remuneracion[[#This Row],[Precio Valorizado]]="Nudo",VLOOKUP(PMG_D__Remuneracion[[#This Row],[Barra]]&amp;"_"&amp;PMG_D__Remuneracion[[#This Row],[Tensión]],Tabla3[aux],1,0),"-")</f>
        <v>RENGO_13</v>
      </c>
      <c r="H55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55" spans="1:8">
      <c r="A555" t="s">
        <v>2905</v>
      </c>
      <c r="B555" t="s">
        <v>2906</v>
      </c>
      <c r="C555" t="s">
        <v>39</v>
      </c>
      <c r="D555" t="s">
        <v>1755</v>
      </c>
      <c r="E555" t="s">
        <v>6317</v>
      </c>
      <c r="F555" t="s">
        <v>1583</v>
      </c>
      <c r="G555" s="9" t="str">
        <f>+IF(PMG_D__Remuneracion[[#This Row],[Precio Valorizado]]="Nudo",VLOOKUP(PMG_D__Remuneracion[[#This Row],[Barra]]&amp;"_"&amp;PMG_D__Remuneracion[[#This Row],[Tensión]],Tabla3[aux],1,0),"-")</f>
        <v>ALCONES_23</v>
      </c>
      <c r="H55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56" spans="1:8">
      <c r="A556" t="s">
        <v>2907</v>
      </c>
      <c r="B556" t="s">
        <v>2908</v>
      </c>
      <c r="C556" t="s">
        <v>1245</v>
      </c>
      <c r="D556" t="s">
        <v>1756</v>
      </c>
      <c r="E556" t="s">
        <v>2909</v>
      </c>
      <c r="F556" t="s">
        <v>1583</v>
      </c>
      <c r="G556" s="9" t="str">
        <f>+IF(PMG_D__Remuneracion[[#This Row],[Precio Valorizado]]="Nudo",VLOOKUP(PMG_D__Remuneracion[[#This Row],[Barra]]&amp;"_"&amp;PMG_D__Remuneracion[[#This Row],[Tensión]],Tabla3[aux],1,0),"-")</f>
        <v>S.FELIPE_13</v>
      </c>
      <c r="H55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57" spans="1:8">
      <c r="A557" t="s">
        <v>2910</v>
      </c>
      <c r="B557" t="s">
        <v>2911</v>
      </c>
      <c r="C557" t="s">
        <v>1142</v>
      </c>
      <c r="D557" t="s">
        <v>1756</v>
      </c>
      <c r="E557" t="s">
        <v>2912</v>
      </c>
      <c r="F557" t="s">
        <v>1583</v>
      </c>
      <c r="G557" s="9" t="str">
        <f>+IF(PMG_D__Remuneracion[[#This Row],[Precio Valorizado]]="Nudo",VLOOKUP(PMG_D__Remuneracion[[#This Row],[Barra]]&amp;"_"&amp;PMG_D__Remuneracion[[#This Row],[Tensión]],Tabla3[aux],1,0),"-")</f>
        <v>QUIANI_13</v>
      </c>
      <c r="H55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58" spans="1:8">
      <c r="A558" t="s">
        <v>2913</v>
      </c>
      <c r="B558" t="s">
        <v>2914</v>
      </c>
      <c r="C558" t="s">
        <v>1056</v>
      </c>
      <c r="D558" t="s">
        <v>1755</v>
      </c>
      <c r="E558" t="s">
        <v>2915</v>
      </c>
      <c r="F558" t="s">
        <v>1758</v>
      </c>
      <c r="G558" s="9" t="str">
        <f>+IF(PMG_D__Remuneracion[[#This Row],[Precio Valorizado]]="Nudo",VLOOKUP(PMG_D__Remuneracion[[#This Row],[Barra]]&amp;"_"&amp;PMG_D__Remuneracion[[#This Row],[Tensión]],Tabla3[aux],1,0),"-")</f>
        <v>-</v>
      </c>
      <c r="H558" s="9" t="str">
        <f>+IF(PMG_D__Remuneracion[[#This Row],[Precio Valorizado]]="Estabilizado",VLOOKUP(PMG_D__Remuneracion[[#This Row],[Barra]]&amp;"_"&amp;PMG_D__Remuneracion[[#This Row],[Tensión]],'FACTORES DE REFERENCIACION'!N:N,1,0),"-")</f>
        <v>PICOLTUE_23</v>
      </c>
    </row>
    <row r="559" spans="1:8">
      <c r="A559" t="s">
        <v>2916</v>
      </c>
      <c r="B559" t="s">
        <v>2917</v>
      </c>
      <c r="C559" t="s">
        <v>1242</v>
      </c>
      <c r="D559" t="s">
        <v>1756</v>
      </c>
      <c r="E559" t="s">
        <v>2918</v>
      </c>
      <c r="F559" t="s">
        <v>1583</v>
      </c>
      <c r="G559" s="9" t="str">
        <f>+IF(PMG_D__Remuneracion[[#This Row],[Precio Valorizado]]="Nudo",VLOOKUP(PMG_D__Remuneracion[[#This Row],[Barra]]&amp;"_"&amp;PMG_D__Remuneracion[[#This Row],[Tensión]],Tabla3[aux],1,0),"-")</f>
        <v>S.F.MOSTAZAL_13</v>
      </c>
      <c r="H55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60" spans="1:8">
      <c r="A560" t="s">
        <v>2919</v>
      </c>
      <c r="B560" t="s">
        <v>2920</v>
      </c>
      <c r="C560" t="s">
        <v>666</v>
      </c>
      <c r="D560" t="s">
        <v>1756</v>
      </c>
      <c r="E560" t="s">
        <v>2921</v>
      </c>
      <c r="F560" t="s">
        <v>1583</v>
      </c>
      <c r="G560" s="9" t="str">
        <f>+IF(PMG_D__Remuneracion[[#This Row],[Precio Valorizado]]="Nudo",VLOOKUP(PMG_D__Remuneracion[[#This Row],[Barra]]&amp;"_"&amp;PMG_D__Remuneracion[[#This Row],[Tensión]],Tabla3[aux],1,0),"-")</f>
        <v>LASARANAS_13</v>
      </c>
      <c r="H56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61" spans="1:8">
      <c r="A561" t="s">
        <v>2922</v>
      </c>
      <c r="B561" t="s">
        <v>2923</v>
      </c>
      <c r="C561" t="s">
        <v>212</v>
      </c>
      <c r="D561" t="s">
        <v>1756</v>
      </c>
      <c r="E561" t="s">
        <v>3206</v>
      </c>
      <c r="F561" t="s">
        <v>1583</v>
      </c>
      <c r="G561" s="9" t="str">
        <f>+IF(PMG_D__Remuneracion[[#This Row],[Precio Valorizado]]="Nudo",VLOOKUP(PMG_D__Remuneracion[[#This Row],[Barra]]&amp;"_"&amp;PMG_D__Remuneracion[[#This Row],[Tensión]],Tabla3[aux],1,0),"-")</f>
        <v>CATEMU_13</v>
      </c>
      <c r="H56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62" spans="1:8">
      <c r="A562" t="s">
        <v>2924</v>
      </c>
      <c r="B562" t="s">
        <v>2925</v>
      </c>
      <c r="C562" t="s">
        <v>315</v>
      </c>
      <c r="D562" t="s">
        <v>1754</v>
      </c>
      <c r="E562" t="s">
        <v>3281</v>
      </c>
      <c r="F562" t="s">
        <v>1583</v>
      </c>
      <c r="G562" s="9" t="str">
        <f>+IF(PMG_D__Remuneracion[[#This Row],[Precio Valorizado]]="Nudo",VLOOKUP(PMG_D__Remuneracion[[#This Row],[Barra]]&amp;"_"&amp;PMG_D__Remuneracion[[#This Row],[Tensión]],Tabla3[aux],1,0),"-")</f>
        <v>COLCHAGUA_15</v>
      </c>
      <c r="H56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63" spans="1:8">
      <c r="A563" t="s">
        <v>6569</v>
      </c>
      <c r="B563" t="s">
        <v>6570</v>
      </c>
      <c r="C563" t="s">
        <v>5555</v>
      </c>
      <c r="D563" t="s">
        <v>1756</v>
      </c>
      <c r="E563" t="s">
        <v>6571</v>
      </c>
      <c r="F563" t="s">
        <v>1583</v>
      </c>
      <c r="G563" s="9" t="str">
        <f>+IF(PMG_D__Remuneracion[[#This Row],[Precio Valorizado]]="Nudo",VLOOKUP(PMG_D__Remuneracion[[#This Row],[Barra]]&amp;"_"&amp;PMG_D__Remuneracion[[#This Row],[Tensión]],Tabla3[aux],1,0),"-")</f>
        <v>MARBELLA_13</v>
      </c>
      <c r="H56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64" spans="1:8">
      <c r="A564" t="s">
        <v>2926</v>
      </c>
      <c r="B564" t="s">
        <v>2927</v>
      </c>
      <c r="C564" t="s">
        <v>265</v>
      </c>
      <c r="D564" t="s">
        <v>1756</v>
      </c>
      <c r="E564" t="s">
        <v>1801</v>
      </c>
      <c r="F564" t="s">
        <v>1583</v>
      </c>
      <c r="G564" s="9" t="str">
        <f>+IF(PMG_D__Remuneracion[[#This Row],[Precio Valorizado]]="Nudo",VLOOKUP(PMG_D__Remuneracion[[#This Row],[Barra]]&amp;"_"&amp;PMG_D__Remuneracion[[#This Row],[Tensión]],Tabla3[aux],1,0),"-")</f>
        <v>CHIMBARONGO_13</v>
      </c>
      <c r="H56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65" spans="1:8">
      <c r="A565" t="s">
        <v>2928</v>
      </c>
      <c r="B565" t="s">
        <v>2929</v>
      </c>
      <c r="C565" t="s">
        <v>1200</v>
      </c>
      <c r="D565" t="s">
        <v>1756</v>
      </c>
      <c r="E565" t="s">
        <v>2930</v>
      </c>
      <c r="F565" t="s">
        <v>1583</v>
      </c>
      <c r="G565" s="9" t="str">
        <f>+IF(PMG_D__Remuneracion[[#This Row],[Precio Valorizado]]="Nudo",VLOOKUP(PMG_D__Remuneracion[[#This Row],[Barra]]&amp;"_"&amp;PMG_D__Remuneracion[[#This Row],[Tensión]],Tabla3[aux],1,0),"-")</f>
        <v>RAUQUEN_13</v>
      </c>
      <c r="H56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66" spans="1:8">
      <c r="A566" t="s">
        <v>2931</v>
      </c>
      <c r="B566" t="s">
        <v>2932</v>
      </c>
      <c r="C566" t="s">
        <v>1224</v>
      </c>
      <c r="D566" t="s">
        <v>1756</v>
      </c>
      <c r="E566" t="s">
        <v>2667</v>
      </c>
      <c r="F566" t="s">
        <v>1583</v>
      </c>
      <c r="G566" s="9" t="str">
        <f>+IF(PMG_D__Remuneracion[[#This Row],[Precio Valorizado]]="Nudo",VLOOKUP(PMG_D__Remuneracion[[#This Row],[Barra]]&amp;"_"&amp;PMG_D__Remuneracion[[#This Row],[Tensión]],Tabla3[aux],1,0),"-")</f>
        <v>ROSARIO_13</v>
      </c>
      <c r="H56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67" spans="1:8">
      <c r="A567" t="s">
        <v>2933</v>
      </c>
      <c r="B567" t="s">
        <v>2934</v>
      </c>
      <c r="C567" t="s">
        <v>896</v>
      </c>
      <c r="D567" t="s">
        <v>1756</v>
      </c>
      <c r="E567" t="s">
        <v>3206</v>
      </c>
      <c r="F567" t="s">
        <v>1583</v>
      </c>
      <c r="G567" s="9" t="str">
        <f>+IF(PMG_D__Remuneracion[[#This Row],[Precio Valorizado]]="Nudo",VLOOKUP(PMG_D__Remuneracion[[#This Row],[Barra]]&amp;"_"&amp;PMG_D__Remuneracion[[#This Row],[Tensión]],Tabla3[aux],1,0),"-")</f>
        <v>NANCAGUA_13</v>
      </c>
      <c r="H56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68" spans="1:8">
      <c r="A568" t="s">
        <v>6572</v>
      </c>
      <c r="B568" t="s">
        <v>6573</v>
      </c>
      <c r="C568" t="s">
        <v>1231</v>
      </c>
      <c r="D568" t="s">
        <v>1755</v>
      </c>
      <c r="E568" t="s">
        <v>6317</v>
      </c>
      <c r="F568" t="s">
        <v>1583</v>
      </c>
      <c r="G568" s="9" t="str">
        <f>+IF(PMG_D__Remuneracion[[#This Row],[Precio Valorizado]]="Nudo",VLOOKUP(PMG_D__Remuneracion[[#This Row],[Barra]]&amp;"_"&amp;PMG_D__Remuneracion[[#This Row],[Tensión]],Tabla3[aux],1,0),"-")</f>
        <v>RUNGUE_23</v>
      </c>
      <c r="H56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69" spans="1:8">
      <c r="A569" t="s">
        <v>2935</v>
      </c>
      <c r="B569" t="s">
        <v>2936</v>
      </c>
      <c r="C569" t="s">
        <v>485</v>
      </c>
      <c r="D569" t="s">
        <v>1754</v>
      </c>
      <c r="E569" t="s">
        <v>2937</v>
      </c>
      <c r="F569" t="s">
        <v>1583</v>
      </c>
      <c r="G569" s="9" t="str">
        <f>+IF(PMG_D__Remuneracion[[#This Row],[Precio Valorizado]]="Nudo",VLOOKUP(PMG_D__Remuneracion[[#This Row],[Barra]]&amp;"_"&amp;PMG_D__Remuneracion[[#This Row],[Tensión]],Tabla3[aux],1,0),"-")</f>
        <v>FATIMA_15</v>
      </c>
      <c r="H56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70" spans="1:8">
      <c r="A570" t="s">
        <v>2938</v>
      </c>
      <c r="B570" t="s">
        <v>2939</v>
      </c>
      <c r="C570" t="s">
        <v>866</v>
      </c>
      <c r="D570" t="s">
        <v>1756</v>
      </c>
      <c r="E570" t="s">
        <v>2306</v>
      </c>
      <c r="F570" t="s">
        <v>1583</v>
      </c>
      <c r="G570" s="9" t="str">
        <f>+IF(PMG_D__Remuneracion[[#This Row],[Precio Valorizado]]="Nudo",VLOOKUP(PMG_D__Remuneracion[[#This Row],[Barra]]&amp;"_"&amp;PMG_D__Remuneracion[[#This Row],[Tensión]],Tabla3[aux],1,0),"-")</f>
        <v>MOLINA_13</v>
      </c>
      <c r="H57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71" spans="1:8">
      <c r="A571" t="s">
        <v>2940</v>
      </c>
      <c r="B571" t="s">
        <v>2941</v>
      </c>
      <c r="C571" t="s">
        <v>666</v>
      </c>
      <c r="D571" t="s">
        <v>1756</v>
      </c>
      <c r="E571" t="s">
        <v>2942</v>
      </c>
      <c r="F571" t="s">
        <v>1583</v>
      </c>
      <c r="G571" s="9" t="str">
        <f>+IF(PMG_D__Remuneracion[[#This Row],[Precio Valorizado]]="Nudo",VLOOKUP(PMG_D__Remuneracion[[#This Row],[Barra]]&amp;"_"&amp;PMG_D__Remuneracion[[#This Row],[Tensión]],Tabla3[aux],1,0),"-")</f>
        <v>LASARANAS_13</v>
      </c>
      <c r="H57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72" spans="1:8">
      <c r="A572" t="s">
        <v>2943</v>
      </c>
      <c r="B572" t="s">
        <v>2944</v>
      </c>
      <c r="C572" t="s">
        <v>929</v>
      </c>
      <c r="D572" t="s">
        <v>1755</v>
      </c>
      <c r="E572" t="s">
        <v>2945</v>
      </c>
      <c r="F572" t="s">
        <v>1583</v>
      </c>
      <c r="G572" s="9" t="str">
        <f>+IF(PMG_D__Remuneracion[[#This Row],[Precio Valorizado]]="Nudo",VLOOKUP(PMG_D__Remuneracion[[#This Row],[Barra]]&amp;"_"&amp;PMG_D__Remuneracion[[#This Row],[Tensión]],Tabla3[aux],1,0),"-")</f>
        <v>OVALLE_23</v>
      </c>
      <c r="H57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73" spans="1:8">
      <c r="A573" t="s">
        <v>2946</v>
      </c>
      <c r="B573" t="s">
        <v>2947</v>
      </c>
      <c r="C573" t="s">
        <v>1343</v>
      </c>
      <c r="D573" t="s">
        <v>1756</v>
      </c>
      <c r="E573" t="s">
        <v>2948</v>
      </c>
      <c r="F573" t="s">
        <v>1583</v>
      </c>
      <c r="G573" s="9" t="str">
        <f>+IF(PMG_D__Remuneracion[[#This Row],[Precio Valorizado]]="Nudo",VLOOKUP(PMG_D__Remuneracion[[#This Row],[Barra]]&amp;"_"&amp;PMG_D__Remuneracion[[#This Row],[Tensión]],Tabla3[aux],1,0),"-")</f>
        <v>STA.ELVIRA_13</v>
      </c>
      <c r="H57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74" spans="1:8">
      <c r="A574" t="s">
        <v>2949</v>
      </c>
      <c r="B574" t="s">
        <v>2950</v>
      </c>
      <c r="C574" t="s">
        <v>238</v>
      </c>
      <c r="D574" t="s">
        <v>1756</v>
      </c>
      <c r="E574" t="s">
        <v>2951</v>
      </c>
      <c r="F574" t="s">
        <v>1583</v>
      </c>
      <c r="G574" s="9" t="str">
        <f>+IF(PMG_D__Remuneracion[[#This Row],[Precio Valorizado]]="Nudo",VLOOKUP(PMG_D__Remuneracion[[#This Row],[Barra]]&amp;"_"&amp;PMG_D__Remuneracion[[#This Row],[Tensión]],Tabla3[aux],1,0),"-")</f>
        <v>CHACAHUIN_13</v>
      </c>
      <c r="H57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75" spans="1:8">
      <c r="A575" t="s">
        <v>3247</v>
      </c>
      <c r="B575" t="s">
        <v>3289</v>
      </c>
      <c r="C575" t="s">
        <v>444</v>
      </c>
      <c r="D575" t="s">
        <v>1756</v>
      </c>
      <c r="E575" t="s">
        <v>1828</v>
      </c>
      <c r="F575" t="s">
        <v>1583</v>
      </c>
      <c r="G575" s="9" t="str">
        <f>+IF(PMG_D__Remuneracion[[#This Row],[Precio Valorizado]]="Nudo",VLOOKUP(PMG_D__Remuneracion[[#This Row],[Barra]]&amp;"_"&amp;PMG_D__Remuneracion[[#This Row],[Tensión]],Tabla3[aux],1,0),"-")</f>
        <v>ELMONTE_13</v>
      </c>
      <c r="H57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76" spans="1:8">
      <c r="A576" t="s">
        <v>2952</v>
      </c>
      <c r="B576" t="s">
        <v>2953</v>
      </c>
      <c r="C576" t="s">
        <v>548</v>
      </c>
      <c r="D576" t="s">
        <v>1756</v>
      </c>
      <c r="E576" t="s">
        <v>6317</v>
      </c>
      <c r="F576" t="s">
        <v>1583</v>
      </c>
      <c r="G576" s="9" t="str">
        <f>+IF(PMG_D__Remuneracion[[#This Row],[Precio Valorizado]]="Nudo",VLOOKUP(PMG_D__Remuneracion[[#This Row],[Barra]]&amp;"_"&amp;PMG_D__Remuneracion[[#This Row],[Tensión]],Tabla3[aux],1,0),"-")</f>
        <v>ITAHUE_13</v>
      </c>
      <c r="H57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77" spans="1:8">
      <c r="A577" t="s">
        <v>2954</v>
      </c>
      <c r="B577" t="s">
        <v>2955</v>
      </c>
      <c r="C577" t="s">
        <v>1239</v>
      </c>
      <c r="D577" t="s">
        <v>1756</v>
      </c>
      <c r="E577" t="s">
        <v>1814</v>
      </c>
      <c r="F577" t="s">
        <v>1583</v>
      </c>
      <c r="G577" s="9" t="str">
        <f>+IF(PMG_D__Remuneracion[[#This Row],[Precio Valorizado]]="Nudo",VLOOKUP(PMG_D__Remuneracion[[#This Row],[Barra]]&amp;"_"&amp;PMG_D__Remuneracion[[#This Row],[Tensión]],Tabla3[aux],1,0),"-")</f>
        <v>S.CARLOS_13</v>
      </c>
      <c r="H57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78" spans="1:8">
      <c r="A578" t="s">
        <v>2956</v>
      </c>
      <c r="B578" t="s">
        <v>2957</v>
      </c>
      <c r="C578" t="s">
        <v>829</v>
      </c>
      <c r="D578" t="s">
        <v>1754</v>
      </c>
      <c r="E578" t="s">
        <v>2958</v>
      </c>
      <c r="F578" t="s">
        <v>1583</v>
      </c>
      <c r="G578" s="9" t="str">
        <f>+IF(PMG_D__Remuneracion[[#This Row],[Precio Valorizado]]="Nudo",VLOOKUP(PMG_D__Remuneracion[[#This Row],[Barra]]&amp;"_"&amp;PMG_D__Remuneracion[[#This Row],[Tensión]],Tabla3[aux],1,0),"-")</f>
        <v>MAULE_15</v>
      </c>
      <c r="H57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79" spans="1:8">
      <c r="A579" t="s">
        <v>2959</v>
      </c>
      <c r="B579" t="s">
        <v>2960</v>
      </c>
      <c r="C579" t="s">
        <v>307</v>
      </c>
      <c r="D579" t="s">
        <v>1756</v>
      </c>
      <c r="E579" t="s">
        <v>2961</v>
      </c>
      <c r="F579" t="s">
        <v>1583</v>
      </c>
      <c r="G579" s="9" t="str">
        <f>+IF(PMG_D__Remuneracion[[#This Row],[Precio Valorizado]]="Nudo",VLOOKUP(PMG_D__Remuneracion[[#This Row],[Barra]]&amp;"_"&amp;PMG_D__Remuneracion[[#This Row],[Tensión]],Tabla3[aux],1,0),"-")</f>
        <v>COCHARCAS2_13</v>
      </c>
      <c r="H57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80" spans="1:8">
      <c r="A580" t="s">
        <v>2962</v>
      </c>
      <c r="B580" t="s">
        <v>2963</v>
      </c>
      <c r="C580" t="s">
        <v>401</v>
      </c>
      <c r="D580" t="s">
        <v>1755</v>
      </c>
      <c r="E580" t="s">
        <v>2964</v>
      </c>
      <c r="F580" t="s">
        <v>1583</v>
      </c>
      <c r="G580" s="9" t="str">
        <f>+IF(PMG_D__Remuneracion[[#This Row],[Precio Valorizado]]="Nudo",VLOOKUP(PMG_D__Remuneracion[[#This Row],[Barra]]&amp;"_"&amp;PMG_D__Remuneracion[[#This Row],[Tensión]],Tabla3[aux],1,0),"-")</f>
        <v>DUQUECO_23</v>
      </c>
      <c r="H58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81" spans="1:8">
      <c r="A581" t="s">
        <v>2965</v>
      </c>
      <c r="B581" t="s">
        <v>2966</v>
      </c>
      <c r="C581" t="s">
        <v>1090</v>
      </c>
      <c r="D581" t="s">
        <v>1755</v>
      </c>
      <c r="E581" t="s">
        <v>2967</v>
      </c>
      <c r="F581" t="s">
        <v>1583</v>
      </c>
      <c r="G581" s="9" t="str">
        <f>+IF(PMG_D__Remuneracion[[#This Row],[Precio Valorizado]]="Nudo",VLOOKUP(PMG_D__Remuneracion[[#This Row],[Barra]]&amp;"_"&amp;PMG_D__Remuneracion[[#This Row],[Tensión]],Tabla3[aux],1,0),"-")</f>
        <v>POLPAICO_23</v>
      </c>
      <c r="H58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82" spans="1:8">
      <c r="A582" t="s">
        <v>2968</v>
      </c>
      <c r="B582" t="s">
        <v>2969</v>
      </c>
      <c r="C582" t="s">
        <v>1019</v>
      </c>
      <c r="D582" t="s">
        <v>1756</v>
      </c>
      <c r="E582" t="s">
        <v>2970</v>
      </c>
      <c r="F582" t="s">
        <v>1583</v>
      </c>
      <c r="G582" s="9" t="str">
        <f>+IF(PMG_D__Remuneracion[[#This Row],[Precio Valorizado]]="Nudo",VLOOKUP(PMG_D__Remuneracion[[#This Row],[Barra]]&amp;"_"&amp;PMG_D__Remuneracion[[#This Row],[Tensión]],Tabla3[aux],1,0),"-")</f>
        <v>PARRAL_13</v>
      </c>
      <c r="H58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83" spans="1:8">
      <c r="A583" t="s">
        <v>2971</v>
      </c>
      <c r="B583" t="s">
        <v>2972</v>
      </c>
      <c r="C583" t="s">
        <v>288</v>
      </c>
      <c r="D583" t="s">
        <v>1756</v>
      </c>
      <c r="E583" t="s">
        <v>2334</v>
      </c>
      <c r="F583" t="s">
        <v>1583</v>
      </c>
      <c r="G583" s="9" t="str">
        <f>+IF(PMG_D__Remuneracion[[#This Row],[Precio Valorizado]]="Nudo",VLOOKUP(PMG_D__Remuneracion[[#This Row],[Barra]]&amp;"_"&amp;PMG_D__Remuneracion[[#This Row],[Tensión]],Tabla3[aux],1,0),"-")</f>
        <v>CHUMAQUITO_13</v>
      </c>
      <c r="H58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84" spans="1:8">
      <c r="A584" t="s">
        <v>3325</v>
      </c>
      <c r="B584" t="s">
        <v>3326</v>
      </c>
      <c r="C584" t="s">
        <v>1270</v>
      </c>
      <c r="D584" t="s">
        <v>1756</v>
      </c>
      <c r="E584" t="s">
        <v>3327</v>
      </c>
      <c r="F584" t="s">
        <v>1583</v>
      </c>
      <c r="G584" s="9" t="str">
        <f>+IF(PMG_D__Remuneracion[[#This Row],[Precio Valorizado]]="Nudo",VLOOKUP(PMG_D__Remuneracion[[#This Row],[Barra]]&amp;"_"&amp;PMG_D__Remuneracion[[#This Row],[Tensión]],Tabla3[aux],1,0),"-")</f>
        <v>S.PEDRO_13</v>
      </c>
      <c r="H58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85" spans="1:8">
      <c r="A585" t="s">
        <v>2973</v>
      </c>
      <c r="B585" t="s">
        <v>2974</v>
      </c>
      <c r="C585" t="s">
        <v>304</v>
      </c>
      <c r="D585" t="s">
        <v>1756</v>
      </c>
      <c r="E585" t="s">
        <v>1814</v>
      </c>
      <c r="F585" t="s">
        <v>1583</v>
      </c>
      <c r="G585" s="9" t="str">
        <f>+IF(PMG_D__Remuneracion[[#This Row],[Precio Valorizado]]="Nudo",VLOOKUP(PMG_D__Remuneracion[[#This Row],[Barra]]&amp;"_"&amp;PMG_D__Remuneracion[[#This Row],[Tensión]],Tabla3[aux],1,0),"-")</f>
        <v>COCHARCAS_13</v>
      </c>
      <c r="H58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86" spans="1:8">
      <c r="A586" t="s">
        <v>2975</v>
      </c>
      <c r="B586" t="s">
        <v>2976</v>
      </c>
      <c r="C586" t="s">
        <v>666</v>
      </c>
      <c r="D586" t="s">
        <v>1756</v>
      </c>
      <c r="E586" t="s">
        <v>1840</v>
      </c>
      <c r="F586" t="s">
        <v>1583</v>
      </c>
      <c r="G586" s="9" t="str">
        <f>+IF(PMG_D__Remuneracion[[#This Row],[Precio Valorizado]]="Nudo",VLOOKUP(PMG_D__Remuneracion[[#This Row],[Barra]]&amp;"_"&amp;PMG_D__Remuneracion[[#This Row],[Tensión]],Tabla3[aux],1,0),"-")</f>
        <v>LASARANAS_13</v>
      </c>
      <c r="H58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87" spans="1:8">
      <c r="A587" t="s">
        <v>2977</v>
      </c>
      <c r="B587" t="s">
        <v>2978</v>
      </c>
      <c r="C587" t="s">
        <v>1278</v>
      </c>
      <c r="D587" t="s">
        <v>1756</v>
      </c>
      <c r="E587" t="s">
        <v>2048</v>
      </c>
      <c r="F587" t="s">
        <v>1583</v>
      </c>
      <c r="G587" s="9" t="str">
        <f>+IF(PMG_D__Remuneracion[[#This Row],[Precio Valorizado]]="Nudo",VLOOKUP(PMG_D__Remuneracion[[#This Row],[Barra]]&amp;"_"&amp;PMG_D__Remuneracion[[#This Row],[Tensión]],Tabla3[aux],1,0),"-")</f>
        <v>S.RAFAEL_S_13</v>
      </c>
      <c r="H58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88" spans="1:8">
      <c r="A588" t="s">
        <v>2979</v>
      </c>
      <c r="B588" t="s">
        <v>2980</v>
      </c>
      <c r="C588" t="s">
        <v>450</v>
      </c>
      <c r="D588" t="s">
        <v>1755</v>
      </c>
      <c r="E588" t="s">
        <v>2981</v>
      </c>
      <c r="F588" t="s">
        <v>1583</v>
      </c>
      <c r="G588" s="9" t="str">
        <f>+IF(PMG_D__Remuneracion[[#This Row],[Precio Valorizado]]="Nudo",VLOOKUP(PMG_D__Remuneracion[[#This Row],[Barra]]&amp;"_"&amp;PMG_D__Remuneracion[[#This Row],[Tensión]],Tabla3[aux],1,0),"-")</f>
        <v>ELPEUMO_23</v>
      </c>
      <c r="H58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89" spans="1:8">
      <c r="A589" t="s">
        <v>6353</v>
      </c>
      <c r="B589" t="s">
        <v>6354</v>
      </c>
      <c r="C589" t="s">
        <v>485</v>
      </c>
      <c r="D589" t="s">
        <v>1754</v>
      </c>
      <c r="E589" t="s">
        <v>6355</v>
      </c>
      <c r="F589" t="s">
        <v>1583</v>
      </c>
      <c r="G589" s="9" t="str">
        <f>+IF(PMG_D__Remuneracion[[#This Row],[Precio Valorizado]]="Nudo",VLOOKUP(PMG_D__Remuneracion[[#This Row],[Barra]]&amp;"_"&amp;PMG_D__Remuneracion[[#This Row],[Tensión]],Tabla3[aux],1,0),"-")</f>
        <v>FATIMA_15</v>
      </c>
      <c r="H58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90" spans="1:8">
      <c r="A590" t="s">
        <v>6501</v>
      </c>
      <c r="B590" t="s">
        <v>3223</v>
      </c>
      <c r="C590" t="s">
        <v>4993</v>
      </c>
      <c r="D590" t="s">
        <v>1754</v>
      </c>
      <c r="E590" t="s">
        <v>3224</v>
      </c>
      <c r="F590" t="s">
        <v>1583</v>
      </c>
      <c r="G590" s="9" t="str">
        <f>+IF(PMG_D__Remuneracion[[#This Row],[Precio Valorizado]]="Nudo",VLOOKUP(PMG_D__Remuneracion[[#This Row],[Barra]]&amp;"_"&amp;PMG_D__Remuneracion[[#This Row],[Tensión]],Tabla3[aux],1,0),"-")</f>
        <v>FUENTECILLA_15</v>
      </c>
      <c r="H59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91" spans="1:8">
      <c r="A591" t="s">
        <v>3225</v>
      </c>
      <c r="B591" t="s">
        <v>3226</v>
      </c>
      <c r="C591" t="s">
        <v>843</v>
      </c>
      <c r="D591" t="s">
        <v>1756</v>
      </c>
      <c r="E591" t="s">
        <v>3227</v>
      </c>
      <c r="F591" t="s">
        <v>1583</v>
      </c>
      <c r="G591" s="9" t="str">
        <f>+IF(PMG_D__Remuneracion[[#This Row],[Precio Valorizado]]="Nudo",VLOOKUP(PMG_D__Remuneracion[[#This Row],[Barra]]&amp;"_"&amp;PMG_D__Remuneracion[[#This Row],[Tensión]],Tabla3[aux],1,0),"-")</f>
        <v>MELIPILLA_13</v>
      </c>
      <c r="H59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92" spans="1:8">
      <c r="A592" t="s">
        <v>2982</v>
      </c>
      <c r="B592" t="s">
        <v>2983</v>
      </c>
      <c r="C592" t="s">
        <v>444</v>
      </c>
      <c r="D592" t="s">
        <v>1756</v>
      </c>
      <c r="E592" t="s">
        <v>2984</v>
      </c>
      <c r="F592" t="s">
        <v>1583</v>
      </c>
      <c r="G592" s="9" t="str">
        <f>+IF(PMG_D__Remuneracion[[#This Row],[Precio Valorizado]]="Nudo",VLOOKUP(PMG_D__Remuneracion[[#This Row],[Barra]]&amp;"_"&amp;PMG_D__Remuneracion[[#This Row],[Tensión]],Tabla3[aux],1,0),"-")</f>
        <v>ELMONTE_13</v>
      </c>
      <c r="H59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93" spans="1:8">
      <c r="A593" t="s">
        <v>2985</v>
      </c>
      <c r="B593" t="s">
        <v>2986</v>
      </c>
      <c r="C593" t="s">
        <v>1286</v>
      </c>
      <c r="D593" t="s">
        <v>1756</v>
      </c>
      <c r="E593" t="s">
        <v>2098</v>
      </c>
      <c r="F593" t="s">
        <v>1758</v>
      </c>
      <c r="G593" s="9" t="str">
        <f>+IF(PMG_D__Remuneracion[[#This Row],[Precio Valorizado]]="Nudo",VLOOKUP(PMG_D__Remuneracion[[#This Row],[Barra]]&amp;"_"&amp;PMG_D__Remuneracion[[#This Row],[Tensión]],Tabla3[aux],1,0),"-")</f>
        <v>-</v>
      </c>
      <c r="H593" s="9" t="str">
        <f>+IF(PMG_D__Remuneracion[[#This Row],[Precio Valorizado]]="Estabilizado",VLOOKUP(PMG_D__Remuneracion[[#This Row],[Barra]]&amp;"_"&amp;PMG_D__Remuneracion[[#This Row],[Tensión]],'FACTORES DE REFERENCIACION'!N:N,1,0),"-")</f>
        <v>S.VICENTETT_13</v>
      </c>
    </row>
    <row r="594" spans="1:8">
      <c r="A594" t="s">
        <v>2987</v>
      </c>
      <c r="B594" t="s">
        <v>2988</v>
      </c>
      <c r="C594" t="s">
        <v>545</v>
      </c>
      <c r="D594" t="s">
        <v>1756</v>
      </c>
      <c r="E594" t="s">
        <v>1828</v>
      </c>
      <c r="F594" t="s">
        <v>1583</v>
      </c>
      <c r="G594" s="9" t="str">
        <f>+IF(PMG_D__Remuneracion[[#This Row],[Precio Valorizado]]="Nudo",VLOOKUP(PMG_D__Remuneracion[[#This Row],[Barra]]&amp;"_"&amp;PMG_D__Remuneracion[[#This Row],[Tensión]],Tabla3[aux],1,0),"-")</f>
        <v>ISLADMAIPO_13</v>
      </c>
      <c r="H59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95" spans="1:8">
      <c r="A595" t="s">
        <v>2989</v>
      </c>
      <c r="B595" t="s">
        <v>2990</v>
      </c>
      <c r="C595" t="s">
        <v>315</v>
      </c>
      <c r="D595" t="s">
        <v>1754</v>
      </c>
      <c r="E595" t="s">
        <v>1801</v>
      </c>
      <c r="F595" t="s">
        <v>1583</v>
      </c>
      <c r="G595" s="9" t="str">
        <f>+IF(PMG_D__Remuneracion[[#This Row],[Precio Valorizado]]="Nudo",VLOOKUP(PMG_D__Remuneracion[[#This Row],[Barra]]&amp;"_"&amp;PMG_D__Remuneracion[[#This Row],[Tensión]],Tabla3[aux],1,0),"-")</f>
        <v>COLCHAGUA_15</v>
      </c>
      <c r="H59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96" spans="1:8">
      <c r="A596" t="s">
        <v>2991</v>
      </c>
      <c r="B596" t="s">
        <v>2992</v>
      </c>
      <c r="C596" t="s">
        <v>929</v>
      </c>
      <c r="D596" t="s">
        <v>1755</v>
      </c>
      <c r="E596" t="s">
        <v>2993</v>
      </c>
      <c r="F596" t="s">
        <v>1583</v>
      </c>
      <c r="G596" s="9" t="str">
        <f>+IF(PMG_D__Remuneracion[[#This Row],[Precio Valorizado]]="Nudo",VLOOKUP(PMG_D__Remuneracion[[#This Row],[Barra]]&amp;"_"&amp;PMG_D__Remuneracion[[#This Row],[Tensión]],Tabla3[aux],1,0),"-")</f>
        <v>OVALLE_23</v>
      </c>
      <c r="H59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97" spans="1:8">
      <c r="A597" t="s">
        <v>2994</v>
      </c>
      <c r="B597" t="s">
        <v>2995</v>
      </c>
      <c r="C597" t="s">
        <v>1002</v>
      </c>
      <c r="D597" t="s">
        <v>1756</v>
      </c>
      <c r="E597" t="s">
        <v>2996</v>
      </c>
      <c r="F597" t="s">
        <v>1583</v>
      </c>
      <c r="G597" s="9" t="str">
        <f>+IF(PMG_D__Remuneracion[[#This Row],[Precio Valorizado]]="Nudo",VLOOKUP(PMG_D__Remuneracion[[#This Row],[Barra]]&amp;"_"&amp;PMG_D__Remuneracion[[#This Row],[Tensión]],Tabla3[aux],1,0),"-")</f>
        <v>PANIAHUE_13</v>
      </c>
      <c r="H597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98" spans="1:8">
      <c r="A598" t="s">
        <v>2997</v>
      </c>
      <c r="B598" t="s">
        <v>2998</v>
      </c>
      <c r="C598" t="s">
        <v>1224</v>
      </c>
      <c r="D598" t="s">
        <v>1756</v>
      </c>
      <c r="E598" t="s">
        <v>6502</v>
      </c>
      <c r="F598" t="s">
        <v>1583</v>
      </c>
      <c r="G598" s="9" t="str">
        <f>+IF(PMG_D__Remuneracion[[#This Row],[Precio Valorizado]]="Nudo",VLOOKUP(PMG_D__Remuneracion[[#This Row],[Barra]]&amp;"_"&amp;PMG_D__Remuneracion[[#This Row],[Tensión]],Tabla3[aux],1,0),"-")</f>
        <v>ROSARIO_13</v>
      </c>
      <c r="H598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599" spans="1:8">
      <c r="A599" t="s">
        <v>2999</v>
      </c>
      <c r="B599" t="s">
        <v>3000</v>
      </c>
      <c r="C599" t="s">
        <v>1507</v>
      </c>
      <c r="D599" t="s">
        <v>1754</v>
      </c>
      <c r="E599" t="s">
        <v>2667</v>
      </c>
      <c r="F599" t="s">
        <v>1583</v>
      </c>
      <c r="G599" s="9" t="str">
        <f>+IF(PMG_D__Remuneracion[[#This Row],[Precio Valorizado]]="Nudo",VLOOKUP(PMG_D__Remuneracion[[#This Row],[Barra]]&amp;"_"&amp;PMG_D__Remuneracion[[#This Row],[Tensión]],Tabla3[aux],1,0),"-")</f>
        <v>TUNICHE_15</v>
      </c>
      <c r="H599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00" spans="1:8">
      <c r="A600" t="s">
        <v>3001</v>
      </c>
      <c r="B600" t="s">
        <v>3002</v>
      </c>
      <c r="C600" t="s">
        <v>304</v>
      </c>
      <c r="D600" t="s">
        <v>1756</v>
      </c>
      <c r="E600" t="s">
        <v>1814</v>
      </c>
      <c r="F600" t="s">
        <v>1583</v>
      </c>
      <c r="G600" s="9" t="str">
        <f>+IF(PMG_D__Remuneracion[[#This Row],[Precio Valorizado]]="Nudo",VLOOKUP(PMG_D__Remuneracion[[#This Row],[Barra]]&amp;"_"&amp;PMG_D__Remuneracion[[#This Row],[Tensión]],Tabla3[aux],1,0),"-")</f>
        <v>COCHARCAS_13</v>
      </c>
      <c r="H600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01" spans="1:8">
      <c r="A601" t="s">
        <v>3003</v>
      </c>
      <c r="B601" t="s">
        <v>3004</v>
      </c>
      <c r="C601" t="s">
        <v>651</v>
      </c>
      <c r="D601" t="s">
        <v>1756</v>
      </c>
      <c r="E601" t="s">
        <v>1801</v>
      </c>
      <c r="F601" t="s">
        <v>1583</v>
      </c>
      <c r="G601" s="9" t="str">
        <f>+IF(PMG_D__Remuneracion[[#This Row],[Precio Valorizado]]="Nudo",VLOOKUP(PMG_D__Remuneracion[[#This Row],[Barra]]&amp;"_"&amp;PMG_D__Remuneracion[[#This Row],[Tensión]],Tabla3[aux],1,0),"-")</f>
        <v>LAPALMA_13</v>
      </c>
      <c r="H601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02" spans="1:8">
      <c r="A602" t="s">
        <v>3005</v>
      </c>
      <c r="B602" t="s">
        <v>3006</v>
      </c>
      <c r="C602" t="s">
        <v>1540</v>
      </c>
      <c r="D602" t="s">
        <v>1755</v>
      </c>
      <c r="E602" t="s">
        <v>3007</v>
      </c>
      <c r="F602" t="s">
        <v>1583</v>
      </c>
      <c r="G602" s="9" t="str">
        <f>+IF(PMG_D__Remuneracion[[#This Row],[Precio Valorizado]]="Nudo",VLOOKUP(PMG_D__Remuneracion[[#This Row],[Barra]]&amp;"_"&amp;PMG_D__Remuneracion[[#This Row],[Tensión]],Tabla3[aux],1,0),"-")</f>
        <v>VICUNA_23</v>
      </c>
      <c r="H602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03" spans="1:8">
      <c r="A603" t="s">
        <v>3008</v>
      </c>
      <c r="B603" t="s">
        <v>3009</v>
      </c>
      <c r="C603" t="s">
        <v>1090</v>
      </c>
      <c r="D603" t="s">
        <v>1755</v>
      </c>
      <c r="E603" t="s">
        <v>3010</v>
      </c>
      <c r="F603" t="s">
        <v>1583</v>
      </c>
      <c r="G603" s="9" t="str">
        <f>+IF(PMG_D__Remuneracion[[#This Row],[Precio Valorizado]]="Nudo",VLOOKUP(PMG_D__Remuneracion[[#This Row],[Barra]]&amp;"_"&amp;PMG_D__Remuneracion[[#This Row],[Tensión]],Tabla3[aux],1,0),"-")</f>
        <v>POLPAICO_23</v>
      </c>
      <c r="H603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04" spans="1:8">
      <c r="A604" t="s">
        <v>3011</v>
      </c>
      <c r="B604" t="s">
        <v>3012</v>
      </c>
      <c r="C604" t="s">
        <v>158</v>
      </c>
      <c r="D604" t="s">
        <v>1755</v>
      </c>
      <c r="E604" t="s">
        <v>3013</v>
      </c>
      <c r="F604" t="s">
        <v>1583</v>
      </c>
      <c r="G604" s="9" t="str">
        <f>+IF(PMG_D__Remuneracion[[#This Row],[Precio Valorizado]]="Nudo",VLOOKUP(PMG_D__Remuneracion[[#This Row],[Barra]]&amp;"_"&amp;PMG_D__Remuneracion[[#This Row],[Tensión]],Tabla3[aux],1,0),"-")</f>
        <v>CABILDO_23</v>
      </c>
      <c r="H604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05" spans="1:8">
      <c r="A605" t="s">
        <v>3014</v>
      </c>
      <c r="B605" t="s">
        <v>3015</v>
      </c>
      <c r="C605" t="s">
        <v>929</v>
      </c>
      <c r="D605" t="s">
        <v>1755</v>
      </c>
      <c r="E605" t="s">
        <v>1806</v>
      </c>
      <c r="F605" t="s">
        <v>1583</v>
      </c>
      <c r="G605" s="9" t="str">
        <f>+IF(PMG_D__Remuneracion[[#This Row],[Precio Valorizado]]="Nudo",VLOOKUP(PMG_D__Remuneracion[[#This Row],[Barra]]&amp;"_"&amp;PMG_D__Remuneracion[[#This Row],[Tensión]],Tabla3[aux],1,0),"-")</f>
        <v>OVALLE_23</v>
      </c>
      <c r="H605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06" spans="1:8">
      <c r="A606" t="s">
        <v>3016</v>
      </c>
      <c r="B606" t="s">
        <v>3017</v>
      </c>
      <c r="C606" t="s">
        <v>1239</v>
      </c>
      <c r="D606" t="s">
        <v>1756</v>
      </c>
      <c r="E606" t="s">
        <v>1814</v>
      </c>
      <c r="F606" t="s">
        <v>1583</v>
      </c>
      <c r="G606" s="9" t="str">
        <f>+IF(PMG_D__Remuneracion[[#This Row],[Precio Valorizado]]="Nudo",VLOOKUP(PMG_D__Remuneracion[[#This Row],[Barra]]&amp;"_"&amp;PMG_D__Remuneracion[[#This Row],[Tensión]],Tabla3[aux],1,0),"-")</f>
        <v>S.CARLOS_13</v>
      </c>
      <c r="H606" s="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07" spans="1:8">
      <c r="A607" t="s">
        <v>3018</v>
      </c>
      <c r="B607" t="s">
        <v>3019</v>
      </c>
      <c r="C607" t="s">
        <v>816</v>
      </c>
      <c r="D607" t="s">
        <v>1756</v>
      </c>
      <c r="E607" t="s">
        <v>3020</v>
      </c>
      <c r="F607" t="s">
        <v>1583</v>
      </c>
      <c r="G607" t="str">
        <f>+IF(PMG_D__Remuneracion[[#This Row],[Precio Valorizado]]="Nudo",VLOOKUP(PMG_D__Remuneracion[[#This Row],[Barra]]&amp;"_"&amp;PMG_D__Remuneracion[[#This Row],[Tensión]],Tabla3[aux],1,0),"-")</f>
        <v>MARCHIHUE_13</v>
      </c>
      <c r="H607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08" spans="1:8">
      <c r="A608" t="s">
        <v>3021</v>
      </c>
      <c r="B608" t="s">
        <v>3022</v>
      </c>
      <c r="C608" t="s">
        <v>401</v>
      </c>
      <c r="D608" t="s">
        <v>1755</v>
      </c>
      <c r="E608" t="s">
        <v>3023</v>
      </c>
      <c r="F608" t="s">
        <v>1583</v>
      </c>
      <c r="G608" t="str">
        <f>+IF(PMG_D__Remuneracion[[#This Row],[Precio Valorizado]]="Nudo",VLOOKUP(PMG_D__Remuneracion[[#This Row],[Barra]]&amp;"_"&amp;PMG_D__Remuneracion[[#This Row],[Tensión]],Tabla3[aux],1,0),"-")</f>
        <v>DUQUECO_23</v>
      </c>
      <c r="H608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09" spans="1:8">
      <c r="A609" t="s">
        <v>3024</v>
      </c>
      <c r="B609" t="s">
        <v>3025</v>
      </c>
      <c r="C609" t="s">
        <v>304</v>
      </c>
      <c r="D609" t="s">
        <v>1756</v>
      </c>
      <c r="E609" t="s">
        <v>1814</v>
      </c>
      <c r="F609" t="s">
        <v>1583</v>
      </c>
      <c r="G609" t="str">
        <f>+IF(PMG_D__Remuneracion[[#This Row],[Precio Valorizado]]="Nudo",VLOOKUP(PMG_D__Remuneracion[[#This Row],[Barra]]&amp;"_"&amp;PMG_D__Remuneracion[[#This Row],[Tensión]],Tabla3[aux],1,0),"-")</f>
        <v>COCHARCAS_13</v>
      </c>
      <c r="H60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10" spans="1:8">
      <c r="A610" t="s">
        <v>3026</v>
      </c>
      <c r="B610" t="s">
        <v>3027</v>
      </c>
      <c r="C610" t="s">
        <v>108</v>
      </c>
      <c r="D610" t="s">
        <v>1756</v>
      </c>
      <c r="E610" t="s">
        <v>6551</v>
      </c>
      <c r="F610" t="s">
        <v>1583</v>
      </c>
      <c r="G610" t="str">
        <f>+IF(PMG_D__Remuneracion[[#This Row],[Precio Valorizado]]="Nudo",VLOOKUP(PMG_D__Remuneracion[[#This Row],[Barra]]&amp;"_"&amp;PMG_D__Remuneracion[[#This Row],[Tensión]],Tabla3[aux],1,0),"-")</f>
        <v>BATUCO_13</v>
      </c>
      <c r="H610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11" spans="1:8">
      <c r="A611" t="s">
        <v>3028</v>
      </c>
      <c r="B611" t="s">
        <v>3029</v>
      </c>
      <c r="C611" t="s">
        <v>539</v>
      </c>
      <c r="D611" t="s">
        <v>1755</v>
      </c>
      <c r="E611" t="s">
        <v>3030</v>
      </c>
      <c r="F611" t="s">
        <v>1583</v>
      </c>
      <c r="G611" t="str">
        <f>+IF(PMG_D__Remuneracion[[#This Row],[Precio Valorizado]]="Nudo",VLOOKUP(PMG_D__Remuneracion[[#This Row],[Barra]]&amp;"_"&amp;PMG_D__Remuneracion[[#This Row],[Tensión]],Tabla3[aux],1,0),"-")</f>
        <v>INCAHUASI_23</v>
      </c>
      <c r="H611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12" spans="1:8">
      <c r="A612" t="s">
        <v>6369</v>
      </c>
      <c r="B612" t="s">
        <v>6370</v>
      </c>
      <c r="C612" t="s">
        <v>3832</v>
      </c>
      <c r="D612" t="s">
        <v>1756</v>
      </c>
      <c r="E612" t="s">
        <v>6371</v>
      </c>
      <c r="F612" t="s">
        <v>1758</v>
      </c>
      <c r="G612" t="str">
        <f>+IF(PMG_D__Remuneracion[[#This Row],[Precio Valorizado]]="Nudo",VLOOKUP(PMG_D__Remuneracion[[#This Row],[Barra]]&amp;"_"&amp;PMG_D__Remuneracion[[#This Row],[Tensión]],Tabla3[aux],1,0),"-")</f>
        <v>-</v>
      </c>
      <c r="H612" t="str">
        <f>+IF(PMG_D__Remuneracion[[#This Row],[Precio Valorizado]]="Estabilizado",VLOOKUP(PMG_D__Remuneracion[[#This Row],[Barra]]&amp;"_"&amp;PMG_D__Remuneracion[[#This Row],[Tensión]],'FACTORES DE REFERENCIACION'!N:N,1,0),"-")</f>
        <v>VILLARRICA_13</v>
      </c>
    </row>
    <row r="613" spans="1:8">
      <c r="A613" t="s">
        <v>3031</v>
      </c>
      <c r="B613" t="s">
        <v>3032</v>
      </c>
      <c r="C613" t="s">
        <v>1273</v>
      </c>
      <c r="D613" t="s">
        <v>1756</v>
      </c>
      <c r="E613" t="s">
        <v>3206</v>
      </c>
      <c r="F613" t="s">
        <v>1583</v>
      </c>
      <c r="G613" t="str">
        <f>+IF(PMG_D__Remuneracion[[#This Row],[Precio Valorizado]]="Nudo",VLOOKUP(PMG_D__Remuneracion[[#This Row],[Barra]]&amp;"_"&amp;PMG_D__Remuneracion[[#This Row],[Tensión]],Tabla3[aux],1,0),"-")</f>
        <v>S.RAFAEL_13</v>
      </c>
      <c r="H613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14" spans="1:8">
      <c r="A614" t="s">
        <v>3033</v>
      </c>
      <c r="B614" t="s">
        <v>3034</v>
      </c>
      <c r="C614" t="s">
        <v>1005</v>
      </c>
      <c r="D614" t="s">
        <v>1756</v>
      </c>
      <c r="E614" t="s">
        <v>2638</v>
      </c>
      <c r="F614" t="s">
        <v>1583</v>
      </c>
      <c r="G614" t="str">
        <f>+IF(PMG_D__Remuneracion[[#This Row],[Precio Valorizado]]="Nudo",VLOOKUP(PMG_D__Remuneracion[[#This Row],[Barra]]&amp;"_"&amp;PMG_D__Remuneracion[[#This Row],[Tensión]],Tabla3[aux],1,0),"-")</f>
        <v>PANIMAVIDA_13</v>
      </c>
      <c r="H614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15" spans="1:8">
      <c r="A615" t="s">
        <v>3248</v>
      </c>
      <c r="B615" t="s">
        <v>3290</v>
      </c>
      <c r="C615" t="s">
        <v>281</v>
      </c>
      <c r="D615" t="s">
        <v>1756</v>
      </c>
      <c r="E615" t="s">
        <v>3291</v>
      </c>
      <c r="F615" t="s">
        <v>1583</v>
      </c>
      <c r="G615" t="str">
        <f>+IF(PMG_D__Remuneracion[[#This Row],[Precio Valorizado]]="Nudo",VLOOKUP(PMG_D__Remuneracion[[#This Row],[Barra]]&amp;"_"&amp;PMG_D__Remuneracion[[#This Row],[Tensión]],Tabla3[aux],1,0),"-")</f>
        <v>CHOLGUAN_13</v>
      </c>
      <c r="H615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16" spans="1:8">
      <c r="A616" t="s">
        <v>3249</v>
      </c>
      <c r="B616" t="s">
        <v>3292</v>
      </c>
      <c r="C616" t="s">
        <v>281</v>
      </c>
      <c r="D616" t="s">
        <v>1756</v>
      </c>
      <c r="E616" t="s">
        <v>3291</v>
      </c>
      <c r="F616" t="s">
        <v>1583</v>
      </c>
      <c r="G616" t="str">
        <f>+IF(PMG_D__Remuneracion[[#This Row],[Precio Valorizado]]="Nudo",VLOOKUP(PMG_D__Remuneracion[[#This Row],[Barra]]&amp;"_"&amp;PMG_D__Remuneracion[[#This Row],[Tensión]],Tabla3[aux],1,0),"-")</f>
        <v>CHOLGUAN_13</v>
      </c>
      <c r="H616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17" spans="1:8">
      <c r="A617" t="s">
        <v>6460</v>
      </c>
      <c r="B617" t="s">
        <v>6461</v>
      </c>
      <c r="C617" t="s">
        <v>1466</v>
      </c>
      <c r="D617" t="s">
        <v>1755</v>
      </c>
      <c r="E617" t="s">
        <v>3281</v>
      </c>
      <c r="F617" t="s">
        <v>1583</v>
      </c>
      <c r="G617" t="str">
        <f>+IF(PMG_D__Remuneracion[[#This Row],[Precio Valorizado]]="Nudo",VLOOKUP(PMG_D__Remuneracion[[#This Row],[Barra]]&amp;"_"&amp;PMG_D__Remuneracion[[#This Row],[Tensión]],Tabla3[aux],1,0),"-")</f>
        <v>TESORO_23</v>
      </c>
      <c r="H617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18" spans="1:8">
      <c r="A618" t="s">
        <v>3035</v>
      </c>
      <c r="B618" t="s">
        <v>3036</v>
      </c>
      <c r="C618" t="s">
        <v>532</v>
      </c>
      <c r="D618" t="s">
        <v>1755</v>
      </c>
      <c r="E618" t="s">
        <v>3037</v>
      </c>
      <c r="F618" t="s">
        <v>1583</v>
      </c>
      <c r="G618" t="str">
        <f>+IF(PMG_D__Remuneracion[[#This Row],[Precio Valorizado]]="Nudo",VLOOKUP(PMG_D__Remuneracion[[#This Row],[Barra]]&amp;"_"&amp;PMG_D__Remuneracion[[#This Row],[Tensión]],Tabla3[aux],1,0),"-")</f>
        <v>ILLAPEL_23</v>
      </c>
      <c r="H618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19" spans="1:8">
      <c r="A619" t="s">
        <v>3228</v>
      </c>
      <c r="B619" t="s">
        <v>3229</v>
      </c>
      <c r="C619" t="s">
        <v>775</v>
      </c>
      <c r="D619" t="s">
        <v>1756</v>
      </c>
      <c r="E619" t="s">
        <v>3227</v>
      </c>
      <c r="F619" t="s">
        <v>1583</v>
      </c>
      <c r="G619" t="str">
        <f>+IF(PMG_D__Remuneracion[[#This Row],[Precio Valorizado]]="Nudo",VLOOKUP(PMG_D__Remuneracion[[#This Row],[Barra]]&amp;"_"&amp;PMG_D__Remuneracion[[#This Row],[Tensión]],Tabla3[aux],1,0),"-")</f>
        <v>M.PATRIA_13</v>
      </c>
      <c r="H61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20" spans="1:8">
      <c r="A620" t="s">
        <v>3038</v>
      </c>
      <c r="B620" t="s">
        <v>3039</v>
      </c>
      <c r="C620" t="s">
        <v>1245</v>
      </c>
      <c r="D620" t="s">
        <v>1756</v>
      </c>
      <c r="E620" t="s">
        <v>3040</v>
      </c>
      <c r="F620" t="s">
        <v>1583</v>
      </c>
      <c r="G620" t="str">
        <f>+IF(PMG_D__Remuneracion[[#This Row],[Precio Valorizado]]="Nudo",VLOOKUP(PMG_D__Remuneracion[[#This Row],[Barra]]&amp;"_"&amp;PMG_D__Remuneracion[[#This Row],[Tensión]],Tabla3[aux],1,0),"-")</f>
        <v>S.FELIPE_13</v>
      </c>
      <c r="H620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21" spans="1:8">
      <c r="A621" t="s">
        <v>3041</v>
      </c>
      <c r="B621" t="s">
        <v>3042</v>
      </c>
      <c r="C621" t="s">
        <v>1540</v>
      </c>
      <c r="D621" t="s">
        <v>1755</v>
      </c>
      <c r="E621" t="s">
        <v>1883</v>
      </c>
      <c r="F621" t="s">
        <v>1583</v>
      </c>
      <c r="G621" t="str">
        <f>+IF(PMG_D__Remuneracion[[#This Row],[Precio Valorizado]]="Nudo",VLOOKUP(PMG_D__Remuneracion[[#This Row],[Barra]]&amp;"_"&amp;PMG_D__Remuneracion[[#This Row],[Tensión]],Tabla3[aux],1,0),"-")</f>
        <v>VICUNA_23</v>
      </c>
      <c r="H621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22" spans="1:8">
      <c r="A622" t="s">
        <v>3043</v>
      </c>
      <c r="B622" t="s">
        <v>3044</v>
      </c>
      <c r="C622" t="s">
        <v>719</v>
      </c>
      <c r="D622" t="s">
        <v>1755</v>
      </c>
      <c r="E622" t="s">
        <v>2667</v>
      </c>
      <c r="F622" t="s">
        <v>1583</v>
      </c>
      <c r="G622" t="str">
        <f>+IF(PMG_D__Remuneracion[[#This Row],[Precio Valorizado]]="Nudo",VLOOKUP(PMG_D__Remuneracion[[#This Row],[Barra]]&amp;"_"&amp;PMG_D__Remuneracion[[#This Row],[Tensión]],Tabla3[aux],1,0),"-")</f>
        <v>LO_BOZA_23</v>
      </c>
      <c r="H622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23" spans="1:8">
      <c r="A623" t="s">
        <v>3045</v>
      </c>
      <c r="B623" t="s">
        <v>3046</v>
      </c>
      <c r="C623" t="s">
        <v>651</v>
      </c>
      <c r="D623" t="s">
        <v>1756</v>
      </c>
      <c r="E623" t="s">
        <v>3293</v>
      </c>
      <c r="F623" t="s">
        <v>1583</v>
      </c>
      <c r="G623" t="str">
        <f>+IF(PMG_D__Remuneracion[[#This Row],[Precio Valorizado]]="Nudo",VLOOKUP(PMG_D__Remuneracion[[#This Row],[Barra]]&amp;"_"&amp;PMG_D__Remuneracion[[#This Row],[Tensión]],Tabla3[aux],1,0),"-")</f>
        <v>LAPALMA_13</v>
      </c>
      <c r="H623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24" spans="1:8">
      <c r="A624" t="s">
        <v>3047</v>
      </c>
      <c r="B624" t="s">
        <v>3048</v>
      </c>
      <c r="C624" t="s">
        <v>1540</v>
      </c>
      <c r="D624" t="s">
        <v>1755</v>
      </c>
      <c r="E624" t="s">
        <v>3206</v>
      </c>
      <c r="F624" t="s">
        <v>1583</v>
      </c>
      <c r="G624" t="str">
        <f>+IF(PMG_D__Remuneracion[[#This Row],[Precio Valorizado]]="Nudo",VLOOKUP(PMG_D__Remuneracion[[#This Row],[Barra]]&amp;"_"&amp;PMG_D__Remuneracion[[#This Row],[Tensión]],Tabla3[aux],1,0),"-")</f>
        <v>VICUNA_23</v>
      </c>
      <c r="H624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25" spans="1:8">
      <c r="A625" t="s">
        <v>3049</v>
      </c>
      <c r="B625" t="s">
        <v>3050</v>
      </c>
      <c r="C625" t="s">
        <v>66</v>
      </c>
      <c r="D625" t="s">
        <v>1756</v>
      </c>
      <c r="E625" t="s">
        <v>3328</v>
      </c>
      <c r="F625" t="s">
        <v>1583</v>
      </c>
      <c r="G625" t="str">
        <f>+IF(PMG_D__Remuneracion[[#This Row],[Precio Valorizado]]="Nudo",VLOOKUP(PMG_D__Remuneracion[[#This Row],[Barra]]&amp;"_"&amp;PMG_D__Remuneracion[[#This Row],[Tensión]],Tabla3[aux],1,0),"-")</f>
        <v>ANDACOLLO_13</v>
      </c>
      <c r="H625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26" spans="1:8">
      <c r="A626" t="s">
        <v>3051</v>
      </c>
      <c r="B626" t="s">
        <v>3052</v>
      </c>
      <c r="C626" t="s">
        <v>1035</v>
      </c>
      <c r="D626" t="s">
        <v>1756</v>
      </c>
      <c r="E626" t="s">
        <v>3053</v>
      </c>
      <c r="F626" t="s">
        <v>1583</v>
      </c>
      <c r="G626" t="str">
        <f>+IF(PMG_D__Remuneracion[[#This Row],[Precio Valorizado]]="Nudo",VLOOKUP(PMG_D__Remuneracion[[#This Row],[Barra]]&amp;"_"&amp;PMG_D__Remuneracion[[#This Row],[Tensión]],Tabla3[aux],1,0),"-")</f>
        <v>PENABLANCA_13</v>
      </c>
      <c r="H626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27" spans="1:8">
      <c r="A627" t="s">
        <v>6574</v>
      </c>
      <c r="B627" t="s">
        <v>6575</v>
      </c>
      <c r="C627" t="s">
        <v>405</v>
      </c>
      <c r="D627" t="s">
        <v>1755</v>
      </c>
      <c r="E627" t="s">
        <v>6317</v>
      </c>
      <c r="F627" t="s">
        <v>1758</v>
      </c>
      <c r="G627" t="str">
        <f>+IF(PMG_D__Remuneracion[[#This Row],[Precio Valorizado]]="Nudo",VLOOKUP(PMG_D__Remuneracion[[#This Row],[Barra]]&amp;"_"&amp;PMG_D__Remuneracion[[#This Row],[Tensión]],Tabla3[aux],1,0),"-")</f>
        <v>-</v>
      </c>
      <c r="H627" t="str">
        <f>+IF(PMG_D__Remuneracion[[#This Row],[Precio Valorizado]]="Estabilizado",VLOOKUP(PMG_D__Remuneracion[[#This Row],[Barra]]&amp;"_"&amp;PMG_D__Remuneracion[[#This Row],[Tensión]],'FACTORES DE REFERENCIACION'!N:N,1,0),"-")</f>
        <v>E.PENON_23</v>
      </c>
    </row>
    <row r="628" spans="1:8">
      <c r="A628" t="s">
        <v>3054</v>
      </c>
      <c r="B628" t="s">
        <v>3055</v>
      </c>
      <c r="C628" t="s">
        <v>800</v>
      </c>
      <c r="D628" t="s">
        <v>1756</v>
      </c>
      <c r="E628" t="s">
        <v>3056</v>
      </c>
      <c r="F628" t="s">
        <v>1583</v>
      </c>
      <c r="G628" t="str">
        <f>+IF(PMG_D__Remuneracion[[#This Row],[Precio Valorizado]]="Nudo",VLOOKUP(PMG_D__Remuneracion[[#This Row],[Barra]]&amp;"_"&amp;PMG_D__Remuneracion[[#This Row],[Tensión]],Tabla3[aux],1,0),"-")</f>
        <v>MALLOA_13</v>
      </c>
      <c r="H628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29" spans="1:8">
      <c r="A629" t="s">
        <v>3057</v>
      </c>
      <c r="B629" t="s">
        <v>6621</v>
      </c>
      <c r="C629" t="s">
        <v>401</v>
      </c>
      <c r="D629" t="s">
        <v>1755</v>
      </c>
      <c r="E629" t="s">
        <v>1814</v>
      </c>
      <c r="F629" t="s">
        <v>1583</v>
      </c>
      <c r="G629" t="str">
        <f>+IF(PMG_D__Remuneracion[[#This Row],[Precio Valorizado]]="Nudo",VLOOKUP(PMG_D__Remuneracion[[#This Row],[Barra]]&amp;"_"&amp;PMG_D__Remuneracion[[#This Row],[Tensión]],Tabla3[aux],1,0),"-")</f>
        <v>DUQUECO_23</v>
      </c>
      <c r="H62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30" spans="1:8">
      <c r="A630" t="s">
        <v>3058</v>
      </c>
      <c r="B630" t="s">
        <v>3059</v>
      </c>
      <c r="C630" t="s">
        <v>405</v>
      </c>
      <c r="D630" t="s">
        <v>1755</v>
      </c>
      <c r="E630" t="s">
        <v>1883</v>
      </c>
      <c r="F630" t="s">
        <v>1583</v>
      </c>
      <c r="G630" t="str">
        <f>+IF(PMG_D__Remuneracion[[#This Row],[Precio Valorizado]]="Nudo",VLOOKUP(PMG_D__Remuneracion[[#This Row],[Barra]]&amp;"_"&amp;PMG_D__Remuneracion[[#This Row],[Tensión]],Tabla3[aux],1,0),"-")</f>
        <v>E.PENON_23</v>
      </c>
      <c r="H630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31" spans="1:8">
      <c r="A631" t="s">
        <v>3060</v>
      </c>
      <c r="B631" t="s">
        <v>3061</v>
      </c>
      <c r="C631" t="s">
        <v>158</v>
      </c>
      <c r="D631" t="s">
        <v>1755</v>
      </c>
      <c r="E631" t="s">
        <v>2015</v>
      </c>
      <c r="F631" t="s">
        <v>1583</v>
      </c>
      <c r="G631" t="str">
        <f>+IF(PMG_D__Remuneracion[[#This Row],[Precio Valorizado]]="Nudo",VLOOKUP(PMG_D__Remuneracion[[#This Row],[Barra]]&amp;"_"&amp;PMG_D__Remuneracion[[#This Row],[Tensión]],Tabla3[aux],1,0),"-")</f>
        <v>CABILDO_23</v>
      </c>
      <c r="H631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32" spans="1:8">
      <c r="A632" t="s">
        <v>3062</v>
      </c>
      <c r="B632" t="s">
        <v>3063</v>
      </c>
      <c r="C632" t="s">
        <v>929</v>
      </c>
      <c r="D632" t="s">
        <v>1755</v>
      </c>
      <c r="E632" t="s">
        <v>1785</v>
      </c>
      <c r="F632" t="s">
        <v>1583</v>
      </c>
      <c r="G632" t="str">
        <f>+IF(PMG_D__Remuneracion[[#This Row],[Precio Valorizado]]="Nudo",VLOOKUP(PMG_D__Remuneracion[[#This Row],[Barra]]&amp;"_"&amp;PMG_D__Remuneracion[[#This Row],[Tensión]],Tabla3[aux],1,0),"-")</f>
        <v>OVALLE_23</v>
      </c>
      <c r="H632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33" spans="1:8">
      <c r="A633" t="s">
        <v>3345</v>
      </c>
      <c r="B633" t="s">
        <v>3346</v>
      </c>
      <c r="C633" t="s">
        <v>800</v>
      </c>
      <c r="D633" t="s">
        <v>1756</v>
      </c>
      <c r="E633" t="s">
        <v>1828</v>
      </c>
      <c r="F633" t="s">
        <v>1583</v>
      </c>
      <c r="G633" t="str">
        <f>+IF(PMG_D__Remuneracion[[#This Row],[Precio Valorizado]]="Nudo",VLOOKUP(PMG_D__Remuneracion[[#This Row],[Barra]]&amp;"_"&amp;PMG_D__Remuneracion[[#This Row],[Tensión]],Tabla3[aux],1,0),"-")</f>
        <v>MALLOA_13</v>
      </c>
      <c r="H633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34" spans="1:8">
      <c r="A634" t="s">
        <v>3064</v>
      </c>
      <c r="B634" t="s">
        <v>3065</v>
      </c>
      <c r="C634" t="s">
        <v>335</v>
      </c>
      <c r="D634" t="s">
        <v>1756</v>
      </c>
      <c r="E634" t="s">
        <v>3066</v>
      </c>
      <c r="F634" t="s">
        <v>1583</v>
      </c>
      <c r="G634" t="str">
        <f>+IF(PMG_D__Remuneracion[[#This Row],[Precio Valorizado]]="Nudo",VLOOKUP(PMG_D__Remuneracion[[#This Row],[Barra]]&amp;"_"&amp;PMG_D__Remuneracion[[#This Row],[Tensión]],Tabla3[aux],1,0),"-")</f>
        <v>CONCON_13</v>
      </c>
      <c r="H634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35" spans="1:8">
      <c r="A635" t="s">
        <v>3067</v>
      </c>
      <c r="B635" t="s">
        <v>3068</v>
      </c>
      <c r="C635" t="s">
        <v>328</v>
      </c>
      <c r="D635" t="s">
        <v>1756</v>
      </c>
      <c r="E635" t="s">
        <v>3069</v>
      </c>
      <c r="F635" t="s">
        <v>1583</v>
      </c>
      <c r="G635" t="str">
        <f>+IF(PMG_D__Remuneracion[[#This Row],[Precio Valorizado]]="Nudo",VLOOKUP(PMG_D__Remuneracion[[#This Row],[Barra]]&amp;"_"&amp;PMG_D__Remuneracion[[#This Row],[Tensión]],Tabla3[aux],1,0),"-")</f>
        <v>COMPANIA_13</v>
      </c>
      <c r="H635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36" spans="1:8">
      <c r="A636" t="s">
        <v>3070</v>
      </c>
      <c r="B636" t="s">
        <v>3071</v>
      </c>
      <c r="C636" t="s">
        <v>804</v>
      </c>
      <c r="D636" t="s">
        <v>1756</v>
      </c>
      <c r="E636" t="s">
        <v>3072</v>
      </c>
      <c r="F636" t="s">
        <v>1583</v>
      </c>
      <c r="G636" t="str">
        <f>+IF(PMG_D__Remuneracion[[#This Row],[Precio Valorizado]]="Nudo",VLOOKUP(PMG_D__Remuneracion[[#This Row],[Barra]]&amp;"_"&amp;PMG_D__Remuneracion[[#This Row],[Tensión]],Tabla3[aux],1,0),"-")</f>
        <v>MALLOCO_13</v>
      </c>
      <c r="H636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37" spans="1:8">
      <c r="A637" t="s">
        <v>3073</v>
      </c>
      <c r="B637" t="s">
        <v>3074</v>
      </c>
      <c r="C637" t="s">
        <v>1266</v>
      </c>
      <c r="D637" t="s">
        <v>1756</v>
      </c>
      <c r="E637" t="s">
        <v>3075</v>
      </c>
      <c r="F637" t="s">
        <v>1583</v>
      </c>
      <c r="G637" t="str">
        <f>+IF(PMG_D__Remuneracion[[#This Row],[Precio Valorizado]]="Nudo",VLOOKUP(PMG_D__Remuneracion[[#This Row],[Barra]]&amp;"_"&amp;PMG_D__Remuneracion[[#This Row],[Tensión]],Tabla3[aux],1,0),"-")</f>
        <v>S.MIGUEL_13</v>
      </c>
      <c r="H637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38" spans="1:8">
      <c r="A638" t="s">
        <v>3076</v>
      </c>
      <c r="B638" t="s">
        <v>3077</v>
      </c>
      <c r="C638" t="s">
        <v>929</v>
      </c>
      <c r="D638" t="s">
        <v>1755</v>
      </c>
      <c r="E638" t="s">
        <v>3078</v>
      </c>
      <c r="F638" t="s">
        <v>1583</v>
      </c>
      <c r="G638" t="str">
        <f>+IF(PMG_D__Remuneracion[[#This Row],[Precio Valorizado]]="Nudo",VLOOKUP(PMG_D__Remuneracion[[#This Row],[Barra]]&amp;"_"&amp;PMG_D__Remuneracion[[#This Row],[Tensión]],Tabla3[aux],1,0),"-")</f>
        <v>OVALLE_23</v>
      </c>
      <c r="H638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39" spans="1:8">
      <c r="A639" t="s">
        <v>3079</v>
      </c>
      <c r="B639" t="s">
        <v>3080</v>
      </c>
      <c r="C639" t="s">
        <v>837</v>
      </c>
      <c r="D639" t="s">
        <v>1756</v>
      </c>
      <c r="E639" t="s">
        <v>1806</v>
      </c>
      <c r="F639" t="s">
        <v>1583</v>
      </c>
      <c r="G639" t="str">
        <f>+IF(PMG_D__Remuneracion[[#This Row],[Precio Valorizado]]="Nudo",VLOOKUP(PMG_D__Remuneracion[[#This Row],[Barra]]&amp;"_"&amp;PMG_D__Remuneracion[[#This Row],[Tensión]],Tabla3[aux],1,0),"-")</f>
        <v>MEJILLONES_13</v>
      </c>
      <c r="H63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40" spans="1:8">
      <c r="A640" t="s">
        <v>3358</v>
      </c>
      <c r="B640" t="s">
        <v>3359</v>
      </c>
      <c r="C640" t="s">
        <v>1531</v>
      </c>
      <c r="D640" t="s">
        <v>1756</v>
      </c>
      <c r="E640" t="s">
        <v>1785</v>
      </c>
      <c r="F640" t="s">
        <v>1583</v>
      </c>
      <c r="G640" t="str">
        <f>+IF(PMG_D__Remuneracion[[#This Row],[Precio Valorizado]]="Nudo",VLOOKUP(PMG_D__Remuneracion[[#This Row],[Barra]]&amp;"_"&amp;PMG_D__Remuneracion[[#This Row],[Tensión]],Tabla3[aux],1,0),"-")</f>
        <v>VALLENAR_13</v>
      </c>
      <c r="H640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41" spans="1:8">
      <c r="A641" t="s">
        <v>3081</v>
      </c>
      <c r="B641" t="s">
        <v>3082</v>
      </c>
      <c r="C641" t="s">
        <v>935</v>
      </c>
      <c r="D641" t="s">
        <v>1755</v>
      </c>
      <c r="E641" t="s">
        <v>3083</v>
      </c>
      <c r="F641" t="s">
        <v>1583</v>
      </c>
      <c r="G641" t="str">
        <f>+IF(PMG_D__Remuneracion[[#This Row],[Precio Valorizado]]="Nudo",VLOOKUP(PMG_D__Remuneracion[[#This Row],[Barra]]&amp;"_"&amp;PMG_D__Remuneracion[[#This Row],[Tensión]],Tabla3[aux],1,0),"-")</f>
        <v>P.ALMONTE_23</v>
      </c>
      <c r="H641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42" spans="1:8">
      <c r="A642" t="s">
        <v>3084</v>
      </c>
      <c r="B642" t="s">
        <v>3085</v>
      </c>
      <c r="C642" t="s">
        <v>1540</v>
      </c>
      <c r="D642" t="s">
        <v>1755</v>
      </c>
      <c r="E642" t="s">
        <v>3086</v>
      </c>
      <c r="F642" t="s">
        <v>1583</v>
      </c>
      <c r="G642" t="str">
        <f>+IF(PMG_D__Remuneracion[[#This Row],[Precio Valorizado]]="Nudo",VLOOKUP(PMG_D__Remuneracion[[#This Row],[Barra]]&amp;"_"&amp;PMG_D__Remuneracion[[#This Row],[Tensión]],Tabla3[aux],1,0),"-")</f>
        <v>VICUNA_23</v>
      </c>
      <c r="H642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43" spans="1:8">
      <c r="A643" t="s">
        <v>3087</v>
      </c>
      <c r="B643" t="s">
        <v>3088</v>
      </c>
      <c r="C643" t="s">
        <v>201</v>
      </c>
      <c r="D643" t="s">
        <v>1756</v>
      </c>
      <c r="E643" t="s">
        <v>1806</v>
      </c>
      <c r="F643" t="s">
        <v>1583</v>
      </c>
      <c r="G643" t="str">
        <f>+IF(PMG_D__Remuneracion[[#This Row],[Precio Valorizado]]="Nudo",VLOOKUP(PMG_D__Remuneracion[[#This Row],[Barra]]&amp;"_"&amp;PMG_D__Remuneracion[[#This Row],[Tensión]],Tabla3[aux],1,0),"-")</f>
        <v>CASABLANCA_13</v>
      </c>
      <c r="H643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44" spans="1:8">
      <c r="A644" t="s">
        <v>3230</v>
      </c>
      <c r="B644" t="s">
        <v>3231</v>
      </c>
      <c r="C644" t="s">
        <v>1109</v>
      </c>
      <c r="D644" t="s">
        <v>1756</v>
      </c>
      <c r="E644" t="s">
        <v>3232</v>
      </c>
      <c r="F644" t="s">
        <v>1583</v>
      </c>
      <c r="G644" t="str">
        <f>+IF(PMG_D__Remuneracion[[#This Row],[Precio Valorizado]]="Nudo",VLOOKUP(PMG_D__Remuneracion[[#This Row],[Barra]]&amp;"_"&amp;PMG_D__Remuneracion[[#This Row],[Tensión]],Tabla3[aux],1,0),"-")</f>
        <v>PUKARA_13</v>
      </c>
      <c r="H644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45" spans="1:8">
      <c r="A645" t="s">
        <v>3089</v>
      </c>
      <c r="B645" t="s">
        <v>3090</v>
      </c>
      <c r="C645" t="s">
        <v>16</v>
      </c>
      <c r="D645" t="s">
        <v>1753</v>
      </c>
      <c r="E645" t="s">
        <v>1788</v>
      </c>
      <c r="F645" t="s">
        <v>1583</v>
      </c>
      <c r="G645" t="str">
        <f>+IF(PMG_D__Remuneracion[[#This Row],[Precio Valorizado]]="Nudo",VLOOKUP(PMG_D__Remuneracion[[#This Row],[Barra]]&amp;"_"&amp;PMG_D__Remuneracion[[#This Row],[Tensión]],Tabla3[aux],1,0),"-")</f>
        <v>A.NEGRAS_66</v>
      </c>
      <c r="H645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46" spans="1:8">
      <c r="A646" t="s">
        <v>3250</v>
      </c>
      <c r="B646" t="s">
        <v>3294</v>
      </c>
      <c r="C646" t="s">
        <v>1501</v>
      </c>
      <c r="D646" t="s">
        <v>1756</v>
      </c>
      <c r="E646" t="s">
        <v>3227</v>
      </c>
      <c r="F646" t="s">
        <v>1583</v>
      </c>
      <c r="G646" t="str">
        <f>+IF(PMG_D__Remuneracion[[#This Row],[Precio Valorizado]]="Nudo",VLOOKUP(PMG_D__Remuneracion[[#This Row],[Barra]]&amp;"_"&amp;PMG_D__Remuneracion[[#This Row],[Tensión]],Tabla3[aux],1,0),"-")</f>
        <v>TRESESQUINAS_13</v>
      </c>
      <c r="H646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47" spans="1:8">
      <c r="A647" t="s">
        <v>3091</v>
      </c>
      <c r="B647" t="s">
        <v>3092</v>
      </c>
      <c r="C647" t="s">
        <v>228</v>
      </c>
      <c r="D647" t="s">
        <v>1756</v>
      </c>
      <c r="E647" t="s">
        <v>6551</v>
      </c>
      <c r="F647" t="s">
        <v>1583</v>
      </c>
      <c r="G647" t="str">
        <f>+IF(PMG_D__Remuneracion[[#This Row],[Precio Valorizado]]="Nudo",VLOOKUP(PMG_D__Remuneracion[[#This Row],[Barra]]&amp;"_"&amp;PMG_D__Remuneracion[[#This Row],[Tensión]],Tabla3[aux],1,0),"-")</f>
        <v>CERRILLOS_13</v>
      </c>
      <c r="H647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48" spans="1:8">
      <c r="A648" t="s">
        <v>3093</v>
      </c>
      <c r="B648" t="s">
        <v>3094</v>
      </c>
      <c r="C648" t="s">
        <v>158</v>
      </c>
      <c r="D648" t="s">
        <v>1755</v>
      </c>
      <c r="E648" t="s">
        <v>2667</v>
      </c>
      <c r="F648" t="s">
        <v>1583</v>
      </c>
      <c r="G648" t="str">
        <f>+IF(PMG_D__Remuneracion[[#This Row],[Precio Valorizado]]="Nudo",VLOOKUP(PMG_D__Remuneracion[[#This Row],[Barra]]&amp;"_"&amp;PMG_D__Remuneracion[[#This Row],[Tensión]],Tabla3[aux],1,0),"-")</f>
        <v>CABILDO_23</v>
      </c>
      <c r="H648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49" spans="1:8">
      <c r="A649" t="s">
        <v>3095</v>
      </c>
      <c r="B649" t="s">
        <v>3096</v>
      </c>
      <c r="C649" t="s">
        <v>1231</v>
      </c>
      <c r="D649" t="s">
        <v>1755</v>
      </c>
      <c r="E649" t="s">
        <v>6356</v>
      </c>
      <c r="F649" t="s">
        <v>1583</v>
      </c>
      <c r="G649" t="str">
        <f>+IF(PMG_D__Remuneracion[[#This Row],[Precio Valorizado]]="Nudo",VLOOKUP(PMG_D__Remuneracion[[#This Row],[Barra]]&amp;"_"&amp;PMG_D__Remuneracion[[#This Row],[Tensión]],Tabla3[aux],1,0),"-")</f>
        <v>RUNGUE_23</v>
      </c>
      <c r="H64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50" spans="1:8">
      <c r="A650" t="s">
        <v>3097</v>
      </c>
      <c r="B650" t="s">
        <v>3098</v>
      </c>
      <c r="C650" t="s">
        <v>419</v>
      </c>
      <c r="D650" t="s">
        <v>1755</v>
      </c>
      <c r="E650" t="s">
        <v>3099</v>
      </c>
      <c r="F650" t="s">
        <v>1583</v>
      </c>
      <c r="G650" t="str">
        <f>+IF(PMG_D__Remuneracion[[#This Row],[Precio Valorizado]]="Nudo",VLOOKUP(PMG_D__Remuneracion[[#This Row],[Barra]]&amp;"_"&amp;PMG_D__Remuneracion[[#This Row],[Tensión]],Tabla3[aux],1,0),"-")</f>
        <v>EL_MANZANO_23</v>
      </c>
      <c r="H650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51" spans="1:8">
      <c r="A651" t="s">
        <v>6330</v>
      </c>
      <c r="B651" t="s">
        <v>6331</v>
      </c>
      <c r="C651" t="s">
        <v>347</v>
      </c>
      <c r="D651" t="s">
        <v>1756</v>
      </c>
      <c r="E651" t="s">
        <v>6332</v>
      </c>
      <c r="F651" t="s">
        <v>1583</v>
      </c>
      <c r="G651" t="str">
        <f>+IF(PMG_D__Remuneracion[[#This Row],[Precio Valorizado]]="Nudo",VLOOKUP(PMG_D__Remuneracion[[#This Row],[Barra]]&amp;"_"&amp;PMG_D__Remuneracion[[#This Row],[Tensión]],Tabla3[aux],1,0),"-")</f>
        <v>COPIAPO_13</v>
      </c>
      <c r="H651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52" spans="1:8">
      <c r="A652" t="s">
        <v>3100</v>
      </c>
      <c r="B652" t="s">
        <v>3101</v>
      </c>
      <c r="C652" t="s">
        <v>281</v>
      </c>
      <c r="D652" t="s">
        <v>1756</v>
      </c>
      <c r="E652" t="s">
        <v>2528</v>
      </c>
      <c r="F652" t="s">
        <v>1583</v>
      </c>
      <c r="G652" t="str">
        <f>+IF(PMG_D__Remuneracion[[#This Row],[Precio Valorizado]]="Nudo",VLOOKUP(PMG_D__Remuneracion[[#This Row],[Barra]]&amp;"_"&amp;PMG_D__Remuneracion[[#This Row],[Tensión]],Tabla3[aux],1,0),"-")</f>
        <v>CHOLGUAN_13</v>
      </c>
      <c r="H652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53" spans="1:8">
      <c r="A653" t="s">
        <v>3102</v>
      </c>
      <c r="B653" t="s">
        <v>3103</v>
      </c>
      <c r="C653" t="s">
        <v>1460</v>
      </c>
      <c r="D653" t="s">
        <v>1756</v>
      </c>
      <c r="E653" t="s">
        <v>1883</v>
      </c>
      <c r="F653" t="s">
        <v>1583</v>
      </c>
      <c r="G653" t="str">
        <f>+IF(PMG_D__Remuneracion[[#This Row],[Precio Valorizado]]="Nudo",VLOOKUP(PMG_D__Remuneracion[[#This Row],[Barra]]&amp;"_"&amp;PMG_D__Remuneracion[[#This Row],[Tensión]],Tabla3[aux],1,0),"-")</f>
        <v>TENO_13</v>
      </c>
      <c r="H653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54" spans="1:8">
      <c r="A654" t="s">
        <v>3104</v>
      </c>
      <c r="B654" t="s">
        <v>3105</v>
      </c>
      <c r="C654" t="s">
        <v>258</v>
      </c>
      <c r="D654" t="s">
        <v>1756</v>
      </c>
      <c r="E654" t="s">
        <v>3106</v>
      </c>
      <c r="F654" t="s">
        <v>1583</v>
      </c>
      <c r="G654" t="str">
        <f>+IF(PMG_D__Remuneracion[[#This Row],[Precio Valorizado]]="Nudo",VLOOKUP(PMG_D__Remuneracion[[#This Row],[Barra]]&amp;"_"&amp;PMG_D__Remuneracion[[#This Row],[Tensión]],Tabla3[aux],1,0),"-")</f>
        <v>CHILLAN_13</v>
      </c>
      <c r="H654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55" spans="1:8">
      <c r="A655" t="s">
        <v>3107</v>
      </c>
      <c r="B655" t="s">
        <v>3108</v>
      </c>
      <c r="C655" t="s">
        <v>422</v>
      </c>
      <c r="D655" t="s">
        <v>1756</v>
      </c>
      <c r="E655" t="s">
        <v>3109</v>
      </c>
      <c r="F655" t="s">
        <v>1583</v>
      </c>
      <c r="G655" t="str">
        <f>+IF(PMG_D__Remuneracion[[#This Row],[Precio Valorizado]]="Nudo",VLOOKUP(PMG_D__Remuneracion[[#This Row],[Barra]]&amp;"_"&amp;PMG_D__Remuneracion[[#This Row],[Tensión]],Tabla3[aux],1,0),"-")</f>
        <v>EL_MELON_13</v>
      </c>
      <c r="H655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56" spans="1:8">
      <c r="A656" t="s">
        <v>3110</v>
      </c>
      <c r="B656" t="s">
        <v>3335</v>
      </c>
      <c r="C656" t="s">
        <v>347</v>
      </c>
      <c r="D656" t="s">
        <v>1756</v>
      </c>
      <c r="E656" t="s">
        <v>3111</v>
      </c>
      <c r="F656" t="s">
        <v>1583</v>
      </c>
      <c r="G656" t="str">
        <f>+IF(PMG_D__Remuneracion[[#This Row],[Precio Valorizado]]="Nudo",VLOOKUP(PMG_D__Remuneracion[[#This Row],[Barra]]&amp;"_"&amp;PMG_D__Remuneracion[[#This Row],[Tensión]],Tabla3[aux],1,0),"-")</f>
        <v>COPIAPO_13</v>
      </c>
      <c r="H656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57" spans="1:8">
      <c r="A657" t="s">
        <v>3112</v>
      </c>
      <c r="B657" t="s">
        <v>3113</v>
      </c>
      <c r="C657" t="s">
        <v>1323</v>
      </c>
      <c r="D657" t="s">
        <v>1755</v>
      </c>
      <c r="E657" t="s">
        <v>3295</v>
      </c>
      <c r="F657" t="s">
        <v>1583</v>
      </c>
      <c r="G657" t="str">
        <f>+IF(PMG_D__Remuneracion[[#This Row],[Precio Valorizado]]="Nudo",VLOOKUP(PMG_D__Remuneracion[[#This Row],[Barra]]&amp;"_"&amp;PMG_D__Remuneracion[[#This Row],[Tensión]],Tabla3[aux],1,0),"-")</f>
        <v>SANTA_MARTA_23</v>
      </c>
      <c r="H657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58" spans="1:8">
      <c r="A658" t="s">
        <v>3114</v>
      </c>
      <c r="B658" t="s">
        <v>3115</v>
      </c>
      <c r="C658" t="s">
        <v>687</v>
      </c>
      <c r="D658" t="s">
        <v>1756</v>
      </c>
      <c r="E658" t="s">
        <v>3116</v>
      </c>
      <c r="F658" t="s">
        <v>1583</v>
      </c>
      <c r="G658" t="str">
        <f>+IF(PMG_D__Remuneracion[[#This Row],[Precio Valorizado]]="Nudo",VLOOKUP(PMG_D__Remuneracion[[#This Row],[Barra]]&amp;"_"&amp;PMG_D__Remuneracion[[#This Row],[Tensión]],Tabla3[aux],1,0),"-")</f>
        <v>LEYDA_13</v>
      </c>
      <c r="H658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59" spans="1:8">
      <c r="A659" t="s">
        <v>6622</v>
      </c>
      <c r="B659" t="s">
        <v>6623</v>
      </c>
      <c r="C659" t="s">
        <v>36</v>
      </c>
      <c r="D659" t="s">
        <v>1754</v>
      </c>
      <c r="E659" t="s">
        <v>6624</v>
      </c>
      <c r="F659" t="s">
        <v>1758</v>
      </c>
      <c r="G659" t="str">
        <f>+IF(PMG_D__Remuneracion[[#This Row],[Precio Valorizado]]="Nudo",VLOOKUP(PMG_D__Remuneracion[[#This Row],[Barra]]&amp;"_"&amp;PMG_D__Remuneracion[[#This Row],[Tensión]],Tabla3[aux],1,0),"-")</f>
        <v>-</v>
      </c>
      <c r="H659" t="str">
        <f>+IF(PMG_D__Remuneracion[[#This Row],[Precio Valorizado]]="Estabilizado",VLOOKUP(PMG_D__Remuneracion[[#This Row],[Barra]]&amp;"_"&amp;PMG_D__Remuneracion[[#This Row],[Tensión]],'FACTORES DE REFERENCIACION'!N:N,1,0),"-")</f>
        <v>ALAMEDA_15</v>
      </c>
    </row>
    <row r="660" spans="1:8">
      <c r="A660" t="s">
        <v>3117</v>
      </c>
      <c r="B660" t="s">
        <v>3118</v>
      </c>
      <c r="C660" t="s">
        <v>651</v>
      </c>
      <c r="D660" t="s">
        <v>1756</v>
      </c>
      <c r="E660" t="s">
        <v>3119</v>
      </c>
      <c r="F660" t="s">
        <v>1583</v>
      </c>
      <c r="G660" t="str">
        <f>+IF(PMG_D__Remuneracion[[#This Row],[Precio Valorizado]]="Nudo",VLOOKUP(PMG_D__Remuneracion[[#This Row],[Barra]]&amp;"_"&amp;PMG_D__Remuneracion[[#This Row],[Tensión]],Tabla3[aux],1,0),"-")</f>
        <v>LAPALMA_13</v>
      </c>
      <c r="H660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61" spans="1:8">
      <c r="A661" t="s">
        <v>3120</v>
      </c>
      <c r="B661" t="s">
        <v>3121</v>
      </c>
      <c r="C661" t="s">
        <v>1224</v>
      </c>
      <c r="D661" t="s">
        <v>1756</v>
      </c>
      <c r="E661" t="s">
        <v>3122</v>
      </c>
      <c r="F661" t="s">
        <v>1583</v>
      </c>
      <c r="G661" t="str">
        <f>+IF(PMG_D__Remuneracion[[#This Row],[Precio Valorizado]]="Nudo",VLOOKUP(PMG_D__Remuneracion[[#This Row],[Barra]]&amp;"_"&amp;PMG_D__Remuneracion[[#This Row],[Tensión]],Tabla3[aux],1,0),"-")</f>
        <v>ROSARIO_13</v>
      </c>
      <c r="H661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62" spans="1:8">
      <c r="A662" t="s">
        <v>3123</v>
      </c>
      <c r="B662" t="s">
        <v>3124</v>
      </c>
      <c r="C662" t="s">
        <v>1547</v>
      </c>
      <c r="D662" t="s">
        <v>1756</v>
      </c>
      <c r="E662" t="s">
        <v>3125</v>
      </c>
      <c r="F662" t="s">
        <v>1583</v>
      </c>
      <c r="G662" t="str">
        <f>+IF(PMG_D__Remuneracion[[#This Row],[Precio Valorizado]]="Nudo",VLOOKUP(PMG_D__Remuneracion[[#This Row],[Barra]]&amp;"_"&amp;PMG_D__Remuneracion[[#This Row],[Tensión]],Tabla3[aux],1,0),"-")</f>
        <v>Y.BUENAS_13</v>
      </c>
      <c r="H662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63" spans="1:8">
      <c r="A663" t="s">
        <v>3126</v>
      </c>
      <c r="B663" t="s">
        <v>3127</v>
      </c>
      <c r="C663" t="s">
        <v>474</v>
      </c>
      <c r="D663" t="s">
        <v>1756</v>
      </c>
      <c r="E663" t="s">
        <v>2015</v>
      </c>
      <c r="F663" t="s">
        <v>1583</v>
      </c>
      <c r="G663" t="str">
        <f>+IF(PMG_D__Remuneracion[[#This Row],[Precio Valorizado]]="Nudo",VLOOKUP(PMG_D__Remuneracion[[#This Row],[Barra]]&amp;"_"&amp;PMG_D__Remuneracion[[#This Row],[Tensión]],Tabla3[aux],1,0),"-")</f>
        <v>ESPERANZA_13</v>
      </c>
      <c r="H663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64" spans="1:8">
      <c r="A664" t="s">
        <v>3128</v>
      </c>
      <c r="B664" t="s">
        <v>3129</v>
      </c>
      <c r="C664" t="s">
        <v>212</v>
      </c>
      <c r="D664" t="s">
        <v>1756</v>
      </c>
      <c r="E664" t="s">
        <v>3130</v>
      </c>
      <c r="F664" t="s">
        <v>1583</v>
      </c>
      <c r="G664" t="str">
        <f>+IF(PMG_D__Remuneracion[[#This Row],[Precio Valorizado]]="Nudo",VLOOKUP(PMG_D__Remuneracion[[#This Row],[Barra]]&amp;"_"&amp;PMG_D__Remuneracion[[#This Row],[Tensión]],Tabla3[aux],1,0),"-")</f>
        <v>CATEMU_13</v>
      </c>
      <c r="H664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65" spans="1:8">
      <c r="A665" t="s">
        <v>3131</v>
      </c>
      <c r="B665" t="s">
        <v>3132</v>
      </c>
      <c r="C665" t="s">
        <v>228</v>
      </c>
      <c r="D665" t="s">
        <v>1756</v>
      </c>
      <c r="E665" t="s">
        <v>2334</v>
      </c>
      <c r="F665" t="s">
        <v>1583</v>
      </c>
      <c r="G665" t="str">
        <f>+IF(PMG_D__Remuneracion[[#This Row],[Precio Valorizado]]="Nudo",VLOOKUP(PMG_D__Remuneracion[[#This Row],[Barra]]&amp;"_"&amp;PMG_D__Remuneracion[[#This Row],[Tensión]],Tabla3[aux],1,0),"-")</f>
        <v>CERRILLOS_13</v>
      </c>
      <c r="H665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66" spans="1:8">
      <c r="A666" t="s">
        <v>3133</v>
      </c>
      <c r="B666" t="s">
        <v>3134</v>
      </c>
      <c r="C666" t="s">
        <v>639</v>
      </c>
      <c r="D666" t="s">
        <v>1756</v>
      </c>
      <c r="E666" t="s">
        <v>3135</v>
      </c>
      <c r="F666" t="s">
        <v>1583</v>
      </c>
      <c r="G666" t="str">
        <f>+IF(PMG_D__Remuneracion[[#This Row],[Precio Valorizado]]="Nudo",VLOOKUP(PMG_D__Remuneracion[[#This Row],[Barra]]&amp;"_"&amp;PMG_D__Remuneracion[[#This Row],[Tensión]],Tabla3[aux],1,0),"-")</f>
        <v>LAJA_13</v>
      </c>
      <c r="H666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67" spans="1:8">
      <c r="A667" t="s">
        <v>6388</v>
      </c>
      <c r="B667" t="s">
        <v>6389</v>
      </c>
      <c r="C667" t="s">
        <v>215</v>
      </c>
      <c r="D667" t="s">
        <v>1756</v>
      </c>
      <c r="E667" t="s">
        <v>6390</v>
      </c>
      <c r="F667" t="s">
        <v>1583</v>
      </c>
      <c r="G667" t="str">
        <f>+IF(PMG_D__Remuneracion[[#This Row],[Precio Valorizado]]="Nudo",VLOOKUP(PMG_D__Remuneracion[[#This Row],[Barra]]&amp;"_"&amp;PMG_D__Remuneracion[[#This Row],[Tensión]],Tabla3[aux],1,0),"-")</f>
        <v>CAUQUENES_13</v>
      </c>
      <c r="H667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68" spans="1:8">
      <c r="A668" t="s">
        <v>3136</v>
      </c>
      <c r="B668" t="s">
        <v>3137</v>
      </c>
      <c r="C668" t="s">
        <v>1060</v>
      </c>
      <c r="D668" t="s">
        <v>1756</v>
      </c>
      <c r="E668" t="s">
        <v>3138</v>
      </c>
      <c r="F668" t="s">
        <v>1583</v>
      </c>
      <c r="G668" t="str">
        <f>+IF(PMG_D__Remuneracion[[#This Row],[Precio Valorizado]]="Nudo",VLOOKUP(PMG_D__Remuneracion[[#This Row],[Barra]]&amp;"_"&amp;PMG_D__Remuneracion[[#This Row],[Tensión]],Tabla3[aux],1,0),"-")</f>
        <v>PIDUCO_13</v>
      </c>
      <c r="H668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69" spans="1:8">
      <c r="A669" t="s">
        <v>3139</v>
      </c>
      <c r="B669" t="s">
        <v>3140</v>
      </c>
      <c r="C669" t="s">
        <v>1077</v>
      </c>
      <c r="D669" t="s">
        <v>1756</v>
      </c>
      <c r="E669" t="s">
        <v>3141</v>
      </c>
      <c r="F669" t="s">
        <v>1758</v>
      </c>
      <c r="G669" t="str">
        <f>+IF(PMG_D__Remuneracion[[#This Row],[Precio Valorizado]]="Nudo",VLOOKUP(PMG_D__Remuneracion[[#This Row],[Barra]]&amp;"_"&amp;PMG_D__Remuneracion[[#This Row],[Tensión]],Tabla3[aux],1,0),"-")</f>
        <v>-</v>
      </c>
      <c r="H669" t="str">
        <f>+IF(PMG_D__Remuneracion[[#This Row],[Precio Valorizado]]="Estabilizado",VLOOKUP(PMG_D__Remuneracion[[#This Row],[Barra]]&amp;"_"&amp;PMG_D__Remuneracion[[#This Row],[Tensión]],'FACTORES DE REFERENCIACION'!N:N,1,0),"-")</f>
        <v>PLACERES_13</v>
      </c>
    </row>
    <row r="670" spans="1:8">
      <c r="A670" t="s">
        <v>3142</v>
      </c>
      <c r="B670" t="s">
        <v>3143</v>
      </c>
      <c r="C670" t="s">
        <v>858</v>
      </c>
      <c r="D670" t="s">
        <v>1756</v>
      </c>
      <c r="E670" t="s">
        <v>3141</v>
      </c>
      <c r="F670" t="s">
        <v>1758</v>
      </c>
      <c r="G670" t="str">
        <f>+IF(PMG_D__Remuneracion[[#This Row],[Precio Valorizado]]="Nudo",VLOOKUP(PMG_D__Remuneracion[[#This Row],[Barra]]&amp;"_"&amp;PMG_D__Remuneracion[[#This Row],[Tensión]],Tabla3[aux],1,0),"-")</f>
        <v>-</v>
      </c>
      <c r="H670" t="str">
        <f>+IF(PMG_D__Remuneracion[[#This Row],[Precio Valorizado]]="Estabilizado",VLOOKUP(PMG_D__Remuneracion[[#This Row],[Barra]]&amp;"_"&amp;PMG_D__Remuneracion[[#This Row],[Tensión]],'FACTORES DE REFERENCIACION'!N:N,1,0),"-")</f>
        <v>MIRAFLORES_13</v>
      </c>
    </row>
    <row r="671" spans="1:8">
      <c r="A671" t="s">
        <v>6418</v>
      </c>
      <c r="B671" t="s">
        <v>6419</v>
      </c>
      <c r="C671" t="s">
        <v>1171</v>
      </c>
      <c r="D671" t="s">
        <v>1756</v>
      </c>
      <c r="E671" t="s">
        <v>6420</v>
      </c>
      <c r="F671" t="s">
        <v>1583</v>
      </c>
      <c r="G671" t="str">
        <f>+IF(PMG_D__Remuneracion[[#This Row],[Precio Valorizado]]="Nudo",VLOOKUP(PMG_D__Remuneracion[[#This Row],[Barra]]&amp;"_"&amp;PMG_D__Remuneracion[[#This Row],[Tensión]],Tabla3[aux],1,0),"-")</f>
        <v>QUINTERO_13</v>
      </c>
      <c r="H671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72" spans="1:8">
      <c r="A672" t="s">
        <v>3144</v>
      </c>
      <c r="B672" t="s">
        <v>3145</v>
      </c>
      <c r="C672" t="s">
        <v>108</v>
      </c>
      <c r="D672" t="s">
        <v>1756</v>
      </c>
      <c r="E672" t="s">
        <v>3146</v>
      </c>
      <c r="F672" t="s">
        <v>1583</v>
      </c>
      <c r="G672" t="str">
        <f>+IF(PMG_D__Remuneracion[[#This Row],[Precio Valorizado]]="Nudo",VLOOKUP(PMG_D__Remuneracion[[#This Row],[Barra]]&amp;"_"&amp;PMG_D__Remuneracion[[#This Row],[Tensión]],Tabla3[aux],1,0),"-")</f>
        <v>BATUCO_13</v>
      </c>
      <c r="H672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73" spans="1:8">
      <c r="A673" t="s">
        <v>3147</v>
      </c>
      <c r="B673" t="s">
        <v>3148</v>
      </c>
      <c r="C673" t="s">
        <v>563</v>
      </c>
      <c r="D673" t="s">
        <v>1756</v>
      </c>
      <c r="E673" t="s">
        <v>3149</v>
      </c>
      <c r="F673" t="s">
        <v>1583</v>
      </c>
      <c r="G673" t="str">
        <f>+IF(PMG_D__Remuneracion[[#This Row],[Precio Valorizado]]="Nudo",VLOOKUP(PMG_D__Remuneracion[[#This Row],[Barra]]&amp;"_"&amp;PMG_D__Remuneracion[[#This Row],[Tensión]],Tabla3[aux],1,0),"-")</f>
        <v>L.ANGELES_13</v>
      </c>
      <c r="H673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74" spans="1:8">
      <c r="A674" t="s">
        <v>3347</v>
      </c>
      <c r="B674" t="s">
        <v>3348</v>
      </c>
      <c r="C674" t="s">
        <v>1460</v>
      </c>
      <c r="D674" t="s">
        <v>1756</v>
      </c>
      <c r="E674" t="s">
        <v>3349</v>
      </c>
      <c r="F674" t="s">
        <v>1583</v>
      </c>
      <c r="G674" t="str">
        <f>+IF(PMG_D__Remuneracion[[#This Row],[Precio Valorizado]]="Nudo",VLOOKUP(PMG_D__Remuneracion[[#This Row],[Barra]]&amp;"_"&amp;PMG_D__Remuneracion[[#This Row],[Tensión]],Tabla3[aux],1,0),"-")</f>
        <v>TENO_13</v>
      </c>
      <c r="H674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75" spans="1:8">
      <c r="A675" t="s">
        <v>3150</v>
      </c>
      <c r="B675" t="s">
        <v>3151</v>
      </c>
      <c r="C675" t="s">
        <v>265</v>
      </c>
      <c r="D675" t="s">
        <v>1756</v>
      </c>
      <c r="E675" t="s">
        <v>1814</v>
      </c>
      <c r="F675" t="s">
        <v>1583</v>
      </c>
      <c r="G675" t="str">
        <f>+IF(PMG_D__Remuneracion[[#This Row],[Precio Valorizado]]="Nudo",VLOOKUP(PMG_D__Remuneracion[[#This Row],[Barra]]&amp;"_"&amp;PMG_D__Remuneracion[[#This Row],[Tensión]],Tabla3[aux],1,0),"-")</f>
        <v>CHIMBARONGO_13</v>
      </c>
      <c r="H675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76" spans="1:8">
      <c r="A676" t="s">
        <v>3152</v>
      </c>
      <c r="B676" t="s">
        <v>3153</v>
      </c>
      <c r="C676" t="s">
        <v>258</v>
      </c>
      <c r="D676" t="s">
        <v>1756</v>
      </c>
      <c r="E676" t="s">
        <v>1801</v>
      </c>
      <c r="F676" t="s">
        <v>1583</v>
      </c>
      <c r="G676" t="str">
        <f>+IF(PMG_D__Remuneracion[[#This Row],[Precio Valorizado]]="Nudo",VLOOKUP(PMG_D__Remuneracion[[#This Row],[Barra]]&amp;"_"&amp;PMG_D__Remuneracion[[#This Row],[Tensión]],Tabla3[aux],1,0),"-")</f>
        <v>CHILLAN_13</v>
      </c>
      <c r="H676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77" spans="1:8">
      <c r="A677" t="s">
        <v>3154</v>
      </c>
      <c r="B677" t="s">
        <v>3155</v>
      </c>
      <c r="C677" t="s">
        <v>1460</v>
      </c>
      <c r="D677" t="s">
        <v>1756</v>
      </c>
      <c r="E677" t="s">
        <v>3156</v>
      </c>
      <c r="F677" t="s">
        <v>1583</v>
      </c>
      <c r="G677" t="str">
        <f>+IF(PMG_D__Remuneracion[[#This Row],[Precio Valorizado]]="Nudo",VLOOKUP(PMG_D__Remuneracion[[#This Row],[Barra]]&amp;"_"&amp;PMG_D__Remuneracion[[#This Row],[Tensión]],Tabla3[aux],1,0),"-")</f>
        <v>TENO_13</v>
      </c>
      <c r="H677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78" spans="1:8">
      <c r="A678" t="s">
        <v>3157</v>
      </c>
      <c r="B678" t="s">
        <v>3158</v>
      </c>
      <c r="C678" t="s">
        <v>1071</v>
      </c>
      <c r="D678" t="s">
        <v>1756</v>
      </c>
      <c r="E678" t="s">
        <v>3159</v>
      </c>
      <c r="F678" t="s">
        <v>1583</v>
      </c>
      <c r="G678" t="str">
        <f>+IF(PMG_D__Remuneracion[[#This Row],[Precio Valorizado]]="Nudo",VLOOKUP(PMG_D__Remuneracion[[#This Row],[Barra]]&amp;"_"&amp;PMG_D__Remuneracion[[#This Row],[Tensión]],Tabla3[aux],1,0),"-")</f>
        <v>PIRQUE_13</v>
      </c>
      <c r="H678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79" spans="1:8">
      <c r="A679" t="s">
        <v>3160</v>
      </c>
      <c r="B679" t="s">
        <v>3161</v>
      </c>
      <c r="C679" t="s">
        <v>168</v>
      </c>
      <c r="D679" t="s">
        <v>1755</v>
      </c>
      <c r="E679" t="s">
        <v>6404</v>
      </c>
      <c r="F679" t="s">
        <v>1583</v>
      </c>
      <c r="G679" t="str">
        <f>+IF(PMG_D__Remuneracion[[#This Row],[Precio Valorizado]]="Nudo",VLOOKUP(PMG_D__Remuneracion[[#This Row],[Barra]]&amp;"_"&amp;PMG_D__Remuneracion[[#This Row],[Tensión]],Tabla3[aux],1,0),"-")</f>
        <v>CALAMA_23</v>
      </c>
      <c r="H67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80" spans="1:8">
      <c r="A680" t="s">
        <v>6482</v>
      </c>
      <c r="B680" t="s">
        <v>6483</v>
      </c>
      <c r="C680" t="s">
        <v>644</v>
      </c>
      <c r="D680" t="s">
        <v>1756</v>
      </c>
      <c r="E680" t="s">
        <v>6484</v>
      </c>
      <c r="F680" t="s">
        <v>1583</v>
      </c>
      <c r="G680" t="str">
        <f>+IF(PMG_D__Remuneracion[[#This Row],[Precio Valorizado]]="Nudo",VLOOKUP(PMG_D__Remuneracion[[#This Row],[Barra]]&amp;"_"&amp;PMG_D__Remuneracion[[#This Row],[Tensión]],Tabla3[aux],1,0),"-")</f>
        <v>LAMANGA_13</v>
      </c>
      <c r="H680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81" spans="1:8">
      <c r="A681" t="s">
        <v>3162</v>
      </c>
      <c r="B681" t="s">
        <v>3163</v>
      </c>
      <c r="C681" t="s">
        <v>1520</v>
      </c>
      <c r="D681" t="s">
        <v>1756</v>
      </c>
      <c r="E681" t="s">
        <v>1801</v>
      </c>
      <c r="F681" t="s">
        <v>1583</v>
      </c>
      <c r="G681" t="str">
        <f>+IF(PMG_D__Remuneracion[[#This Row],[Precio Valorizado]]="Nudo",VLOOKUP(PMG_D__Remuneracion[[#This Row],[Barra]]&amp;"_"&amp;PMG_D__Remuneracion[[#This Row],[Tensión]],Tabla3[aux],1,0),"-")</f>
        <v>V.ALEGRE_13</v>
      </c>
      <c r="H681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82" spans="1:8">
      <c r="A682" t="s">
        <v>3164</v>
      </c>
      <c r="B682" t="s">
        <v>3165</v>
      </c>
      <c r="C682" t="s">
        <v>908</v>
      </c>
      <c r="D682" t="s">
        <v>1755</v>
      </c>
      <c r="E682" t="s">
        <v>1801</v>
      </c>
      <c r="F682" t="s">
        <v>1583</v>
      </c>
      <c r="G682" t="str">
        <f>+IF(PMG_D__Remuneracion[[#This Row],[Precio Valorizado]]="Nudo",VLOOKUP(PMG_D__Remuneracion[[#This Row],[Barra]]&amp;"_"&amp;PMG_D__Remuneracion[[#This Row],[Tensión]],Tabla3[aux],1,0),"-")</f>
        <v>NIRIVILO_23</v>
      </c>
      <c r="H682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83" spans="1:8">
      <c r="A683" t="s">
        <v>6333</v>
      </c>
      <c r="B683" t="s">
        <v>6334</v>
      </c>
      <c r="C683" t="s">
        <v>739</v>
      </c>
      <c r="D683" t="s">
        <v>1756</v>
      </c>
      <c r="E683" t="s">
        <v>3281</v>
      </c>
      <c r="F683" t="s">
        <v>1583</v>
      </c>
      <c r="G683" t="str">
        <f>+IF(PMG_D__Remuneracion[[#This Row],[Precio Valorizado]]="Nudo",VLOOKUP(PMG_D__Remuneracion[[#This Row],[Barra]]&amp;"_"&amp;PMG_D__Remuneracion[[#This Row],[Tensión]],Tabla3[aux],1,0),"-")</f>
        <v>LONGAVI_13</v>
      </c>
      <c r="H683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84" spans="1:8">
      <c r="A684" t="s">
        <v>3166</v>
      </c>
      <c r="B684" t="s">
        <v>3167</v>
      </c>
      <c r="C684" t="s">
        <v>1157</v>
      </c>
      <c r="D684" t="s">
        <v>1756</v>
      </c>
      <c r="E684" t="s">
        <v>3099</v>
      </c>
      <c r="F684" t="s">
        <v>1583</v>
      </c>
      <c r="G684" t="str">
        <f>+IF(PMG_D__Remuneracion[[#This Row],[Precio Valorizado]]="Nudo",VLOOKUP(PMG_D__Remuneracion[[#This Row],[Barra]]&amp;"_"&amp;PMG_D__Remuneracion[[#This Row],[Tensión]],Tabla3[aux],1,0),"-")</f>
        <v>QUILPUE_13</v>
      </c>
      <c r="H684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85" spans="1:8">
      <c r="A685" t="s">
        <v>3168</v>
      </c>
      <c r="B685" t="s">
        <v>3169</v>
      </c>
      <c r="C685" t="s">
        <v>1523</v>
      </c>
      <c r="D685" t="s">
        <v>1756</v>
      </c>
      <c r="E685" t="s">
        <v>3170</v>
      </c>
      <c r="F685" t="s">
        <v>1583</v>
      </c>
      <c r="G685" t="str">
        <f>+IF(PMG_D__Remuneracion[[#This Row],[Precio Valorizado]]="Nudo",VLOOKUP(PMG_D__Remuneracion[[#This Row],[Barra]]&amp;"_"&amp;PMG_D__Remuneracion[[#This Row],[Tensión]],Tabla3[aux],1,0),"-")</f>
        <v>V.PRAT_13</v>
      </c>
      <c r="H685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86" spans="1:8">
      <c r="A686" t="s">
        <v>3171</v>
      </c>
      <c r="B686" t="s">
        <v>3172</v>
      </c>
      <c r="C686" t="s">
        <v>1523</v>
      </c>
      <c r="D686" t="s">
        <v>1756</v>
      </c>
      <c r="E686" t="s">
        <v>1806</v>
      </c>
      <c r="F686" t="s">
        <v>1583</v>
      </c>
      <c r="G686" t="str">
        <f>+IF(PMG_D__Remuneracion[[#This Row],[Precio Valorizado]]="Nudo",VLOOKUP(PMG_D__Remuneracion[[#This Row],[Barra]]&amp;"_"&amp;PMG_D__Remuneracion[[#This Row],[Tensión]],Tabla3[aux],1,0),"-")</f>
        <v>V.PRAT_13</v>
      </c>
      <c r="H686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87" spans="1:8">
      <c r="A687" t="s">
        <v>3173</v>
      </c>
      <c r="B687" t="s">
        <v>3174</v>
      </c>
      <c r="C687" t="s">
        <v>739</v>
      </c>
      <c r="D687" t="s">
        <v>1756</v>
      </c>
      <c r="E687" t="s">
        <v>1801</v>
      </c>
      <c r="F687" t="s">
        <v>1583</v>
      </c>
      <c r="G687" t="str">
        <f>+IF(PMG_D__Remuneracion[[#This Row],[Precio Valorizado]]="Nudo",VLOOKUP(PMG_D__Remuneracion[[#This Row],[Barra]]&amp;"_"&amp;PMG_D__Remuneracion[[#This Row],[Tensión]],Tabla3[aux],1,0),"-")</f>
        <v>LONGAVI_13</v>
      </c>
      <c r="H687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88" spans="1:8">
      <c r="A688" t="s">
        <v>3175</v>
      </c>
      <c r="B688" t="s">
        <v>3176</v>
      </c>
      <c r="C688" t="s">
        <v>201</v>
      </c>
      <c r="D688" t="s">
        <v>1756</v>
      </c>
      <c r="E688" t="s">
        <v>3177</v>
      </c>
      <c r="F688" t="s">
        <v>1583</v>
      </c>
      <c r="G688" t="str">
        <f>+IF(PMG_D__Remuneracion[[#This Row],[Precio Valorizado]]="Nudo",VLOOKUP(PMG_D__Remuneracion[[#This Row],[Barra]]&amp;"_"&amp;PMG_D__Remuneracion[[#This Row],[Tensión]],Tabla3[aux],1,0),"-")</f>
        <v>CASABLANCA_13</v>
      </c>
      <c r="H688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89" spans="1:8">
      <c r="A689" t="s">
        <v>3178</v>
      </c>
      <c r="B689" t="s">
        <v>3179</v>
      </c>
      <c r="C689" t="s">
        <v>804</v>
      </c>
      <c r="D689" t="s">
        <v>1756</v>
      </c>
      <c r="E689" t="s">
        <v>2667</v>
      </c>
      <c r="F689" t="s">
        <v>1583</v>
      </c>
      <c r="G689" t="str">
        <f>+IF(PMG_D__Remuneracion[[#This Row],[Precio Valorizado]]="Nudo",VLOOKUP(PMG_D__Remuneracion[[#This Row],[Barra]]&amp;"_"&amp;PMG_D__Remuneracion[[#This Row],[Tensión]],Tabla3[aux],1,0),"-")</f>
        <v>MALLOCO_13</v>
      </c>
      <c r="H68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90" spans="1:8">
      <c r="A690" t="s">
        <v>3180</v>
      </c>
      <c r="B690" t="s">
        <v>3181</v>
      </c>
      <c r="C690" t="s">
        <v>1094</v>
      </c>
      <c r="D690" t="s">
        <v>1755</v>
      </c>
      <c r="E690" t="s">
        <v>1801</v>
      </c>
      <c r="F690" t="s">
        <v>1583</v>
      </c>
      <c r="G690" t="str">
        <f>+IF(PMG_D__Remuneracion[[#This Row],[Precio Valorizado]]="Nudo",VLOOKUP(PMG_D__Remuneracion[[#This Row],[Barra]]&amp;"_"&amp;PMG_D__Remuneracion[[#This Row],[Tensión]],Tabla3[aux],1,0),"-")</f>
        <v>PORTEZUELO_23</v>
      </c>
      <c r="H690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91" spans="1:8">
      <c r="A691" t="s">
        <v>6548</v>
      </c>
      <c r="B691" t="s">
        <v>6549</v>
      </c>
      <c r="C691" t="s">
        <v>1094</v>
      </c>
      <c r="D691" t="s">
        <v>1755</v>
      </c>
      <c r="E691" t="s">
        <v>6550</v>
      </c>
      <c r="F691" t="s">
        <v>1583</v>
      </c>
      <c r="G691" t="str">
        <f>+IF(PMG_D__Remuneracion[[#This Row],[Precio Valorizado]]="Nudo",VLOOKUP(PMG_D__Remuneracion[[#This Row],[Barra]]&amp;"_"&amp;PMG_D__Remuneracion[[#This Row],[Tensión]],Tabla3[aux],1,0),"-")</f>
        <v>PORTEZUELO_23</v>
      </c>
      <c r="H691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92" spans="1:8">
      <c r="A692" t="s">
        <v>3182</v>
      </c>
      <c r="B692" t="s">
        <v>3183</v>
      </c>
      <c r="C692" t="s">
        <v>212</v>
      </c>
      <c r="D692" t="s">
        <v>1756</v>
      </c>
      <c r="E692" t="s">
        <v>3184</v>
      </c>
      <c r="F692" t="s">
        <v>1583</v>
      </c>
      <c r="G692" t="str">
        <f>+IF(PMG_D__Remuneracion[[#This Row],[Precio Valorizado]]="Nudo",VLOOKUP(PMG_D__Remuneracion[[#This Row],[Barra]]&amp;"_"&amp;PMG_D__Remuneracion[[#This Row],[Tensión]],Tabla3[aux],1,0),"-")</f>
        <v>CATEMU_13</v>
      </c>
      <c r="H692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93" spans="1:8">
      <c r="A693" t="s">
        <v>6406</v>
      </c>
      <c r="B693" t="s">
        <v>6407</v>
      </c>
      <c r="C693" t="s">
        <v>281</v>
      </c>
      <c r="D693" t="s">
        <v>1756</v>
      </c>
      <c r="E693" t="s">
        <v>6408</v>
      </c>
      <c r="F693" t="s">
        <v>1583</v>
      </c>
      <c r="G693" t="str">
        <f>+IF(PMG_D__Remuneracion[[#This Row],[Precio Valorizado]]="Nudo",VLOOKUP(PMG_D__Remuneracion[[#This Row],[Barra]]&amp;"_"&amp;PMG_D__Remuneracion[[#This Row],[Tensión]],Tabla3[aux],1,0),"-")</f>
        <v>CHOLGUAN_13</v>
      </c>
      <c r="H693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94" spans="1:8">
      <c r="A694" t="s">
        <v>3185</v>
      </c>
      <c r="B694" t="s">
        <v>3186</v>
      </c>
      <c r="C694" t="s">
        <v>754</v>
      </c>
      <c r="D694" t="s">
        <v>1756</v>
      </c>
      <c r="E694" t="s">
        <v>3187</v>
      </c>
      <c r="F694" t="s">
        <v>1583</v>
      </c>
      <c r="G694" t="str">
        <f>+IF(PMG_D__Remuneracion[[#This Row],[Precio Valorizado]]="Nudo",VLOOKUP(PMG_D__Remuneracion[[#This Row],[Barra]]&amp;"_"&amp;PMG_D__Remuneracion[[#This Row],[Tensión]],Tabla3[aux],1,0),"-")</f>
        <v>LOS_MAQUIS_13</v>
      </c>
      <c r="H694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95" spans="1:8">
      <c r="A695" t="s">
        <v>6314</v>
      </c>
      <c r="B695" t="s">
        <v>3350</v>
      </c>
      <c r="C695" t="s">
        <v>3351</v>
      </c>
      <c r="D695" t="s">
        <v>1757</v>
      </c>
      <c r="E695" t="s">
        <v>3352</v>
      </c>
      <c r="F695" t="s">
        <v>1583</v>
      </c>
      <c r="G695" t="str">
        <f>+IF(PMG_D__Remuneracion[[#This Row],[Precio Valorizado]]="Nudo",VLOOKUP(PMG_D__Remuneracion[[#This Row],[Barra]]&amp;"_"&amp;PMG_D__Remuneracion[[#This Row],[Tensión]],Tabla3[aux],1,0),"-")</f>
        <v>TERMOPACIFIC_220</v>
      </c>
      <c r="H695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96" spans="1:8">
      <c r="A696" t="s">
        <v>6647</v>
      </c>
      <c r="B696" t="s">
        <v>6648</v>
      </c>
      <c r="C696" t="s">
        <v>281</v>
      </c>
      <c r="D696" t="s">
        <v>1756</v>
      </c>
      <c r="E696" t="s">
        <v>6649</v>
      </c>
      <c r="F696" t="s">
        <v>1583</v>
      </c>
      <c r="G696" t="str">
        <f>+IF(PMG_D__Remuneracion[[#This Row],[Precio Valorizado]]="Nudo",VLOOKUP(PMG_D__Remuneracion[[#This Row],[Barra]]&amp;"_"&amp;PMG_D__Remuneracion[[#This Row],[Tensión]],Tabla3[aux],1,0),"-")</f>
        <v>CHOLGUAN_13</v>
      </c>
      <c r="H696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97" spans="1:8">
      <c r="A697" t="s">
        <v>3188</v>
      </c>
      <c r="B697" t="s">
        <v>3189</v>
      </c>
      <c r="C697" t="s">
        <v>683</v>
      </c>
      <c r="D697" t="s">
        <v>1756</v>
      </c>
      <c r="E697" t="s">
        <v>3190</v>
      </c>
      <c r="F697" t="s">
        <v>1583</v>
      </c>
      <c r="G697" t="str">
        <f>+IF(PMG_D__Remuneracion[[#This Row],[Precio Valorizado]]="Nudo",VLOOKUP(PMG_D__Remuneracion[[#This Row],[Barra]]&amp;"_"&amp;PMG_D__Remuneracion[[#This Row],[Tensión]],Tabla3[aux],1,0),"-")</f>
        <v>LEBU_13</v>
      </c>
      <c r="H697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98" spans="1:8">
      <c r="A698" t="s">
        <v>3191</v>
      </c>
      <c r="B698" t="s">
        <v>3192</v>
      </c>
      <c r="C698" t="s">
        <v>935</v>
      </c>
      <c r="D698" t="s">
        <v>1755</v>
      </c>
      <c r="E698" t="s">
        <v>3193</v>
      </c>
      <c r="F698" t="s">
        <v>1583</v>
      </c>
      <c r="G698" t="str">
        <f>+IF(PMG_D__Remuneracion[[#This Row],[Precio Valorizado]]="Nudo",VLOOKUP(PMG_D__Remuneracion[[#This Row],[Barra]]&amp;"_"&amp;PMG_D__Remuneracion[[#This Row],[Tensión]],Tabla3[aux],1,0),"-")</f>
        <v>P.ALMONTE_23</v>
      </c>
      <c r="H698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699" spans="1:8">
      <c r="A699" t="s">
        <v>3194</v>
      </c>
      <c r="B699" t="s">
        <v>3195</v>
      </c>
      <c r="C699" t="s">
        <v>1382</v>
      </c>
      <c r="D699" t="s">
        <v>1755</v>
      </c>
      <c r="E699" t="s">
        <v>3296</v>
      </c>
      <c r="F699" t="s">
        <v>1583</v>
      </c>
      <c r="G699" t="str">
        <f>+IF(PMG_D__Remuneracion[[#This Row],[Precio Valorizado]]="Nudo",VLOOKUP(PMG_D__Remuneracion[[#This Row],[Barra]]&amp;"_"&amp;PMG_D__Remuneracion[[#This Row],[Tensión]],Tabla3[aux],1,0),"-")</f>
        <v>TAMARUGAL_23</v>
      </c>
      <c r="H699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00" spans="1:8">
      <c r="A700" t="s">
        <v>6592</v>
      </c>
      <c r="B700" t="s">
        <v>6593</v>
      </c>
      <c r="C700" t="s">
        <v>281</v>
      </c>
      <c r="D700" t="s">
        <v>1756</v>
      </c>
      <c r="E700" t="s">
        <v>6594</v>
      </c>
      <c r="F700" t="s">
        <v>1583</v>
      </c>
      <c r="G700" t="str">
        <f>+IF(PMG_D__Remuneracion[[#This Row],[Precio Valorizado]]="Nudo",VLOOKUP(PMG_D__Remuneracion[[#This Row],[Barra]]&amp;"_"&amp;PMG_D__Remuneracion[[#This Row],[Tensión]],Tabla3[aux],1,0),"-")</f>
        <v>CHOLGUAN_13</v>
      </c>
      <c r="H700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01" spans="1:8">
      <c r="A701" t="s">
        <v>3196</v>
      </c>
      <c r="B701" t="s">
        <v>3197</v>
      </c>
      <c r="C701" t="s">
        <v>941</v>
      </c>
      <c r="D701" t="s">
        <v>1756</v>
      </c>
      <c r="E701" t="s">
        <v>3198</v>
      </c>
      <c r="F701" t="s">
        <v>1583</v>
      </c>
      <c r="G701" t="str">
        <f>+IF(PMG_D__Remuneracion[[#This Row],[Precio Valorizado]]="Nudo",VLOOKUP(PMG_D__Remuneracion[[#This Row],[Barra]]&amp;"_"&amp;PMG_D__Remuneracion[[#This Row],[Tensión]],Tabla3[aux],1,0),"-")</f>
        <v>P.ALMONTE2_13</v>
      </c>
      <c r="H701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02" spans="1:8">
      <c r="A702" t="s">
        <v>6595</v>
      </c>
      <c r="B702" t="s">
        <v>6596</v>
      </c>
      <c r="C702" t="s">
        <v>281</v>
      </c>
      <c r="D702" t="s">
        <v>1756</v>
      </c>
      <c r="E702" t="s">
        <v>6597</v>
      </c>
      <c r="F702" t="s">
        <v>1583</v>
      </c>
      <c r="G702" t="str">
        <f>+IF(PMG_D__Remuneracion[[#This Row],[Precio Valorizado]]="Nudo",VLOOKUP(PMG_D__Remuneracion[[#This Row],[Barra]]&amp;"_"&amp;PMG_D__Remuneracion[[#This Row],[Tensión]],Tabla3[aux],1,0),"-")</f>
        <v>CHOLGUAN_13</v>
      </c>
      <c r="H702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03" spans="1:8">
      <c r="A703" t="s">
        <v>3199</v>
      </c>
      <c r="B703" t="s">
        <v>3200</v>
      </c>
      <c r="C703" t="s">
        <v>456</v>
      </c>
      <c r="D703" t="s">
        <v>1759</v>
      </c>
      <c r="E703" t="s">
        <v>1795</v>
      </c>
      <c r="F703" t="s">
        <v>1583</v>
      </c>
      <c r="G703" t="str">
        <f>+IF(PMG_D__Remuneracion[[#This Row],[Precio Valorizado]]="Nudo",VLOOKUP(PMG_D__Remuneracion[[#This Row],[Barra]]&amp;"_"&amp;PMG_D__Remuneracion[[#This Row],[Tensión]],Tabla3[aux],1,0),"-")</f>
        <v>ELSALVADOR_12</v>
      </c>
      <c r="H703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04" spans="1:8">
      <c r="A704" t="s">
        <v>3201</v>
      </c>
      <c r="B704" t="s">
        <v>3202</v>
      </c>
      <c r="C704" t="s">
        <v>1099</v>
      </c>
      <c r="D704" t="s">
        <v>1755</v>
      </c>
      <c r="E704" t="s">
        <v>3203</v>
      </c>
      <c r="F704" t="s">
        <v>1583</v>
      </c>
      <c r="G704" t="str">
        <f>+IF(PMG_D__Remuneracion[[#This Row],[Precio Valorizado]]="Nudo",VLOOKUP(PMG_D__Remuneracion[[#This Row],[Barra]]&amp;"_"&amp;PMG_D__Remuneracion[[#This Row],[Tensión]],Tabla3[aux],1,0),"-")</f>
        <v>PSECO_23</v>
      </c>
      <c r="H704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05" spans="1:8">
      <c r="A705" t="s">
        <v>3204</v>
      </c>
      <c r="B705" t="s">
        <v>3205</v>
      </c>
      <c r="C705" t="s">
        <v>1154</v>
      </c>
      <c r="D705" t="s">
        <v>1761</v>
      </c>
      <c r="E705" t="s">
        <v>3206</v>
      </c>
      <c r="F705" t="s">
        <v>1583</v>
      </c>
      <c r="G705" t="str">
        <f>+IF(PMG_D__Remuneracion[[#This Row],[Precio Valorizado]]="Nudo",VLOOKUP(PMG_D__Remuneracion[[#This Row],[Barra]]&amp;"_"&amp;PMG_D__Remuneracion[[#This Row],[Tensión]],Tabla3[aux],1,0),"-")</f>
        <v>QUILMO_33</v>
      </c>
      <c r="H705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  <row r="706" spans="1:8">
      <c r="A706" t="s">
        <v>3360</v>
      </c>
      <c r="B706" t="s">
        <v>3361</v>
      </c>
      <c r="C706" t="s">
        <v>3362</v>
      </c>
      <c r="D706" t="s">
        <v>3363</v>
      </c>
      <c r="E706" t="s">
        <v>3099</v>
      </c>
      <c r="F706" t="s">
        <v>1583</v>
      </c>
      <c r="G706" t="str">
        <f>+IF(PMG_D__Remuneracion[[#This Row],[Precio Valorizado]]="Nudo",VLOOKUP(PMG_D__Remuneracion[[#This Row],[Barra]]&amp;"_"&amp;PMG_D__Remuneracion[[#This Row],[Tensión]],Tabla3[aux],1,0),"-")</f>
        <v>CARENA_44</v>
      </c>
      <c r="H706" t="str">
        <f>+IF(PMG_D__Remuneracion[[#This Row],[Precio Valorizado]]="Estabilizado",VLOOKUP(PMG_D__Remuneracion[[#This Row],[Barra]]&amp;"_"&amp;PMG_D__Remuneracion[[#This Row],[Tensión]],'FACTORES DE REFERENCIACION'!N:N,1,0),"-")</f>
        <v>-</v>
      </c>
    </row>
  </sheetData>
  <phoneticPr fontId="20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DB31C-8EC6-46EF-A088-0CE2B3D00843}">
  <sheetPr codeName="Hoja2">
    <tabColor theme="9" tint="-0.249977111117893"/>
  </sheetPr>
  <dimension ref="A1:T1567"/>
  <sheetViews>
    <sheetView zoomScale="85" zoomScaleNormal="85" workbookViewId="0">
      <selection activeCell="D1" sqref="D1"/>
    </sheetView>
  </sheetViews>
  <sheetFormatPr baseColWidth="10" defaultRowHeight="15"/>
  <cols>
    <col min="1" max="1" width="10.140625" style="9" customWidth="1"/>
    <col min="2" max="2" width="15.140625" style="9" customWidth="1"/>
    <col min="3" max="3" width="17.5703125" style="9" customWidth="1"/>
    <col min="4" max="4" width="11.7109375" style="9" customWidth="1"/>
    <col min="5" max="5" width="16.5703125" style="9" bestFit="1" customWidth="1"/>
    <col min="6" max="6" width="17.42578125" style="9" customWidth="1"/>
    <col min="7" max="7" width="10.140625" style="9" customWidth="1"/>
    <col min="8" max="8" width="12.85546875" style="9" customWidth="1"/>
    <col min="9" max="9" width="21.5703125" style="9" customWidth="1"/>
    <col min="10" max="10" width="19.42578125" style="9" customWidth="1"/>
    <col min="11" max="11" width="14.140625" style="9" customWidth="1"/>
    <col min="12" max="12" width="10" style="9" customWidth="1"/>
    <col min="13" max="13" width="11.42578125" style="9"/>
    <col min="14" max="14" width="20.28515625" style="9" bestFit="1" customWidth="1"/>
    <col min="15" max="15" width="15.5703125" customWidth="1"/>
    <col min="17" max="17" width="11.85546875" bestFit="1" customWidth="1"/>
    <col min="19" max="19" width="24" bestFit="1" customWidth="1"/>
    <col min="20" max="20" width="24.7109375" customWidth="1"/>
  </cols>
  <sheetData>
    <row r="1" spans="1:20">
      <c r="A1" s="11" t="s">
        <v>1555</v>
      </c>
      <c r="B1" s="11" t="s">
        <v>1556</v>
      </c>
      <c r="C1" s="11" t="s">
        <v>1557</v>
      </c>
      <c r="D1" s="11" t="s">
        <v>1558</v>
      </c>
      <c r="E1" s="11" t="s">
        <v>1559</v>
      </c>
      <c r="F1" s="11" t="s">
        <v>1560</v>
      </c>
      <c r="G1" s="11" t="s">
        <v>1561</v>
      </c>
      <c r="H1" s="11" t="s">
        <v>1562</v>
      </c>
      <c r="I1" s="11" t="s">
        <v>1563</v>
      </c>
      <c r="J1" s="11" t="s">
        <v>1564</v>
      </c>
      <c r="K1" s="11" t="s">
        <v>1565</v>
      </c>
      <c r="L1" s="11" t="s">
        <v>1566</v>
      </c>
      <c r="M1" s="11" t="s">
        <v>1588</v>
      </c>
      <c r="N1" s="11" t="s">
        <v>1584</v>
      </c>
      <c r="P1" s="12" t="s">
        <v>3208</v>
      </c>
      <c r="Q1" s="13">
        <f>+SUM(M:M)</f>
        <v>256</v>
      </c>
      <c r="S1" s="10"/>
    </row>
    <row r="2" spans="1:20">
      <c r="A2" s="9">
        <v>15</v>
      </c>
      <c r="B2" s="9" t="s">
        <v>142</v>
      </c>
      <c r="C2" s="9">
        <v>220</v>
      </c>
      <c r="D2" s="9">
        <f>+VLOOKUP(B2&amp;"_"&amp;C2,'DECRETOS PNCP'!A:F,5,0)</f>
        <v>48.79</v>
      </c>
      <c r="E2" s="9" t="s">
        <v>493</v>
      </c>
      <c r="F2" s="9">
        <v>12</v>
      </c>
      <c r="G2" s="9" t="str">
        <f>+'DECRETOS PNCP'!$B$2</f>
        <v>4T-2026</v>
      </c>
      <c r="H2" s="9">
        <v>0</v>
      </c>
      <c r="I2" s="14" t="str">
        <f>+'PMG(D) segun remuneracion'!$K$1</f>
        <v>01-09-2026</v>
      </c>
      <c r="J2" s="14" t="str">
        <f>+'PMG(D) segun remuneracion'!$K$2</f>
        <v>30-09-2026</v>
      </c>
      <c r="K2" s="9">
        <f>+'PMG(D) segun remuneracion'!$K$3</f>
        <v>2</v>
      </c>
      <c r="L2" s="9">
        <f>+'PMG(D) segun remuneracion'!$K$4</f>
        <v>1</v>
      </c>
      <c r="M2" s="9">
        <f>+COUNTIFS(E:E,E2,F:F,F2)</f>
        <v>1</v>
      </c>
      <c r="N2" s="9" t="str">
        <f>+Tabla3[[#This Row],[Barra Balance]]&amp;"_"&amp;Tabla3[[#This Row],[Tensión Balance]]</f>
        <v>FLORIDA_12</v>
      </c>
      <c r="P2" s="12" t="s">
        <v>3209</v>
      </c>
      <c r="Q2" s="13">
        <f>+COUNT(M:M)</f>
        <v>256</v>
      </c>
      <c r="S2" s="28" t="s">
        <v>6764</v>
      </c>
    </row>
    <row r="3" spans="1:20">
      <c r="A3" s="9">
        <v>15</v>
      </c>
      <c r="B3" s="9" t="s">
        <v>142</v>
      </c>
      <c r="C3" s="9">
        <v>220</v>
      </c>
      <c r="D3" s="9">
        <f>+VLOOKUP(B3&amp;"_"&amp;C3,'DECRETOS PNCP'!A:F,5,0)</f>
        <v>48.79</v>
      </c>
      <c r="E3" s="9" t="s">
        <v>943</v>
      </c>
      <c r="F3" s="9">
        <v>13</v>
      </c>
      <c r="G3" s="9" t="str">
        <f>+'DECRETOS PNCP'!$B$2</f>
        <v>4T-2026</v>
      </c>
      <c r="H3" s="9">
        <v>0</v>
      </c>
      <c r="I3" s="14" t="str">
        <f>+'PMG(D) segun remuneracion'!$K$1</f>
        <v>01-09-2026</v>
      </c>
      <c r="J3" s="14" t="str">
        <f>+'PMG(D) segun remuneracion'!$K$2</f>
        <v>30-09-2026</v>
      </c>
      <c r="K3" s="9">
        <f>+'PMG(D) segun remuneracion'!$K$3</f>
        <v>2</v>
      </c>
      <c r="L3" s="9">
        <f>+'PMG(D) segun remuneracion'!$K$4</f>
        <v>1</v>
      </c>
      <c r="M3" s="9">
        <f t="shared" ref="M3:M33" si="0">+COUNTIFS(E:E,E3,F:F,F3)</f>
        <v>1</v>
      </c>
      <c r="N3" s="9" t="str">
        <f>+Tabla3[[#This Row],[Barra Balance]]&amp;"_"&amp;Tabla3[[#This Row],[Tensión Balance]]</f>
        <v>P.ALTO_13</v>
      </c>
      <c r="P3" s="12" t="s">
        <v>3207</v>
      </c>
      <c r="Q3" s="13" t="b">
        <f>+Q2=Q1</f>
        <v>1</v>
      </c>
    </row>
    <row r="4" spans="1:20">
      <c r="A4" s="9">
        <v>15</v>
      </c>
      <c r="B4" s="9" t="s">
        <v>795</v>
      </c>
      <c r="C4" s="9">
        <v>220</v>
      </c>
      <c r="D4" s="9">
        <f>+VLOOKUP(B4&amp;"_"&amp;C4,'DECRETOS PNCP'!A:F,5,0)</f>
        <v>50.423999999999999</v>
      </c>
      <c r="E4" s="9" t="s">
        <v>979</v>
      </c>
      <c r="F4" s="9">
        <v>23</v>
      </c>
      <c r="G4" s="9" t="str">
        <f>+'DECRETOS PNCP'!$B$2</f>
        <v>4T-2026</v>
      </c>
      <c r="H4" s="9">
        <v>0</v>
      </c>
      <c r="I4" s="14" t="str">
        <f>+'PMG(D) segun remuneracion'!$K$1</f>
        <v>01-09-2026</v>
      </c>
      <c r="J4" s="14" t="str">
        <f>+'PMG(D) segun remuneracion'!$K$2</f>
        <v>30-09-2026</v>
      </c>
      <c r="K4" s="9">
        <f>+'PMG(D) segun remuneracion'!$K$3</f>
        <v>2</v>
      </c>
      <c r="L4" s="9">
        <f>+'PMG(D) segun remuneracion'!$K$4</f>
        <v>1</v>
      </c>
      <c r="M4" s="9">
        <f t="shared" si="0"/>
        <v>1</v>
      </c>
      <c r="N4" s="9" t="str">
        <f>+Tabla3[[#This Row],[Barra Balance]]&amp;"_"&amp;Tabla3[[#This Row],[Tensión Balance]]</f>
        <v>PAJONAL_23</v>
      </c>
      <c r="S4" s="28" t="s">
        <v>1580</v>
      </c>
      <c r="T4" s="28" t="s">
        <v>6650</v>
      </c>
    </row>
    <row r="5" spans="1:20">
      <c r="A5" s="9">
        <v>15</v>
      </c>
      <c r="B5" s="9" t="s">
        <v>847</v>
      </c>
      <c r="C5" s="9">
        <v>220</v>
      </c>
      <c r="D5" s="9">
        <f>+VLOOKUP(B5&amp;"_"&amp;C5,'DECRETOS PNCP'!A:F,5,0)</f>
        <v>48.301000000000002</v>
      </c>
      <c r="E5" s="9" t="s">
        <v>847</v>
      </c>
      <c r="F5" s="9">
        <v>23</v>
      </c>
      <c r="G5" s="9" t="str">
        <f>+'DECRETOS PNCP'!$B$2</f>
        <v>4T-2026</v>
      </c>
      <c r="H5" s="9">
        <v>0</v>
      </c>
      <c r="I5" s="14" t="str">
        <f>+'PMG(D) segun remuneracion'!$K$1</f>
        <v>01-09-2026</v>
      </c>
      <c r="J5" s="14" t="str">
        <f>+'PMG(D) segun remuneracion'!$K$2</f>
        <v>30-09-2026</v>
      </c>
      <c r="K5" s="9">
        <f>+'PMG(D) segun remuneracion'!$K$3</f>
        <v>2</v>
      </c>
      <c r="L5" s="9">
        <f>+'PMG(D) segun remuneracion'!$K$4</f>
        <v>1</v>
      </c>
      <c r="M5" s="9">
        <f t="shared" si="0"/>
        <v>1</v>
      </c>
      <c r="N5" s="9" t="str">
        <f>+Tabla3[[#This Row],[Barra Balance]]&amp;"_"&amp;Tabla3[[#This Row],[Tensión Balance]]</f>
        <v>MELIPULLI_23</v>
      </c>
      <c r="S5" t="s">
        <v>1</v>
      </c>
      <c r="T5" t="s">
        <v>636</v>
      </c>
    </row>
    <row r="6" spans="1:20">
      <c r="A6" s="9">
        <v>15</v>
      </c>
      <c r="B6" s="9" t="s">
        <v>1526</v>
      </c>
      <c r="C6" s="9">
        <v>220</v>
      </c>
      <c r="D6" s="9">
        <f>+VLOOKUP(B6&amp;"_"&amp;C6,'DECRETOS PNCP'!A:F,5,0)</f>
        <v>50.09</v>
      </c>
      <c r="E6" s="9" t="s">
        <v>1112</v>
      </c>
      <c r="F6" s="9">
        <v>23</v>
      </c>
      <c r="G6" s="9" t="str">
        <f>+'DECRETOS PNCP'!$B$2</f>
        <v>4T-2026</v>
      </c>
      <c r="H6" s="9">
        <v>0</v>
      </c>
      <c r="I6" s="14" t="str">
        <f>+'PMG(D) segun remuneracion'!$K$1</f>
        <v>01-09-2026</v>
      </c>
      <c r="J6" s="14" t="str">
        <f>+'PMG(D) segun remuneracion'!$K$2</f>
        <v>30-09-2026</v>
      </c>
      <c r="K6" s="9">
        <f>+'PMG(D) segun remuneracion'!$K$3</f>
        <v>2</v>
      </c>
      <c r="L6" s="9">
        <f>+'PMG(D) segun remuneracion'!$K$4</f>
        <v>1</v>
      </c>
      <c r="M6" s="9">
        <f t="shared" si="0"/>
        <v>1</v>
      </c>
      <c r="N6" s="9" t="str">
        <f>+Tabla3[[#This Row],[Barra Balance]]&amp;"_"&amp;Tabla3[[#This Row],[Tensión Balance]]</f>
        <v>PULLINQUE_23</v>
      </c>
      <c r="S6" t="s">
        <v>2</v>
      </c>
      <c r="T6" t="s">
        <v>636</v>
      </c>
    </row>
    <row r="7" spans="1:20">
      <c r="A7" s="9">
        <v>15</v>
      </c>
      <c r="B7" s="9" t="s">
        <v>548</v>
      </c>
      <c r="C7" s="9">
        <v>220</v>
      </c>
      <c r="D7" s="9">
        <f>+VLOOKUP(B7&amp;"_"&amp;C7,'DECRETOS PNCP'!A:F,5,0)</f>
        <v>44.463999999999999</v>
      </c>
      <c r="E7" s="9" t="s">
        <v>866</v>
      </c>
      <c r="F7" s="9">
        <v>13</v>
      </c>
      <c r="G7" s="9" t="str">
        <f>+'DECRETOS PNCP'!$B$2</f>
        <v>4T-2026</v>
      </c>
      <c r="H7" s="9">
        <v>0</v>
      </c>
      <c r="I7" s="14" t="str">
        <f>+'PMG(D) segun remuneracion'!$K$1</f>
        <v>01-09-2026</v>
      </c>
      <c r="J7" s="14" t="str">
        <f>+'PMG(D) segun remuneracion'!$K$2</f>
        <v>30-09-2026</v>
      </c>
      <c r="K7" s="9">
        <f>+'PMG(D) segun remuneracion'!$K$3</f>
        <v>2</v>
      </c>
      <c r="L7" s="9">
        <f>+'PMG(D) segun remuneracion'!$K$4</f>
        <v>1</v>
      </c>
      <c r="M7" s="9">
        <f t="shared" si="0"/>
        <v>1</v>
      </c>
      <c r="N7" s="9" t="str">
        <f>+Tabla3[[#This Row],[Barra Balance]]&amp;"_"&amp;Tabla3[[#This Row],[Tensión Balance]]</f>
        <v>MOLINA_13</v>
      </c>
      <c r="S7" t="s">
        <v>1589</v>
      </c>
      <c r="T7" t="s">
        <v>551</v>
      </c>
    </row>
    <row r="8" spans="1:20">
      <c r="A8" s="9">
        <v>15</v>
      </c>
      <c r="B8" s="9" t="s">
        <v>948</v>
      </c>
      <c r="C8" s="9">
        <v>220</v>
      </c>
      <c r="D8" s="9">
        <f>+VLOOKUP(B8&amp;"_"&amp;C8,'DECRETOS PNCP'!A:F,5,0)</f>
        <v>51.737000000000002</v>
      </c>
      <c r="E8" s="9" t="s">
        <v>948</v>
      </c>
      <c r="F8" s="9">
        <v>220</v>
      </c>
      <c r="G8" s="9" t="str">
        <f>+'DECRETOS PNCP'!$B$2</f>
        <v>4T-2026</v>
      </c>
      <c r="H8" s="9">
        <v>0</v>
      </c>
      <c r="I8" s="14" t="str">
        <f>+'PMG(D) segun remuneracion'!$K$1</f>
        <v>01-09-2026</v>
      </c>
      <c r="J8" s="14" t="str">
        <f>+'PMG(D) segun remuneracion'!$K$2</f>
        <v>30-09-2026</v>
      </c>
      <c r="K8" s="9">
        <f>+'PMG(D) segun remuneracion'!$K$3</f>
        <v>2</v>
      </c>
      <c r="L8" s="9">
        <f>+'PMG(D) segun remuneracion'!$K$4</f>
        <v>1</v>
      </c>
      <c r="M8" s="9">
        <f t="shared" si="0"/>
        <v>1</v>
      </c>
      <c r="N8" s="9" t="str">
        <f>+Tabla3[[#This Row],[Barra Balance]]&amp;"_"&amp;Tabla3[[#This Row],[Tensión Balance]]</f>
        <v>P.AZUCAR_220</v>
      </c>
      <c r="S8" t="s">
        <v>1590</v>
      </c>
      <c r="T8" t="s">
        <v>551</v>
      </c>
    </row>
    <row r="9" spans="1:20">
      <c r="A9" s="9">
        <v>15</v>
      </c>
      <c r="B9" s="9" t="s">
        <v>948</v>
      </c>
      <c r="C9" s="9">
        <v>220</v>
      </c>
      <c r="D9" s="9">
        <f>+VLOOKUP(B9&amp;"_"&amp;C9,'DECRETOS PNCP'!A:F,5,0)</f>
        <v>51.737000000000002</v>
      </c>
      <c r="E9" s="9" t="s">
        <v>929</v>
      </c>
      <c r="F9" s="9">
        <v>23</v>
      </c>
      <c r="G9" s="9" t="str">
        <f>+'DECRETOS PNCP'!$B$2</f>
        <v>4T-2026</v>
      </c>
      <c r="H9" s="9">
        <v>0</v>
      </c>
      <c r="I9" s="14" t="str">
        <f>+'PMG(D) segun remuneracion'!$K$1</f>
        <v>01-09-2026</v>
      </c>
      <c r="J9" s="14" t="str">
        <f>+'PMG(D) segun remuneracion'!$K$2</f>
        <v>30-09-2026</v>
      </c>
      <c r="K9" s="9">
        <f>+'PMG(D) segun remuneracion'!$K$3</f>
        <v>2</v>
      </c>
      <c r="L9" s="9">
        <f>+'PMG(D) segun remuneracion'!$K$4</f>
        <v>1</v>
      </c>
      <c r="M9" s="9">
        <f t="shared" si="0"/>
        <v>1</v>
      </c>
      <c r="N9" s="9" t="str">
        <f>+Tabla3[[#This Row],[Barra Balance]]&amp;"_"&amp;Tabla3[[#This Row],[Tensión Balance]]</f>
        <v>OVALLE_23</v>
      </c>
      <c r="S9" t="s">
        <v>3</v>
      </c>
      <c r="T9" t="s">
        <v>551</v>
      </c>
    </row>
    <row r="10" spans="1:20">
      <c r="A10" s="9">
        <v>15</v>
      </c>
      <c r="B10" s="9" t="s">
        <v>548</v>
      </c>
      <c r="C10" s="9">
        <v>220</v>
      </c>
      <c r="D10" s="9">
        <f>+VLOOKUP(B10&amp;"_"&amp;C10,'DECRETOS PNCP'!A:F,5,0)</f>
        <v>44.463999999999999</v>
      </c>
      <c r="E10" s="9" t="s">
        <v>1460</v>
      </c>
      <c r="F10" s="9">
        <v>13</v>
      </c>
      <c r="G10" s="9" t="str">
        <f>+'DECRETOS PNCP'!$B$2</f>
        <v>4T-2026</v>
      </c>
      <c r="H10" s="9">
        <v>0</v>
      </c>
      <c r="I10" s="14" t="str">
        <f>+'PMG(D) segun remuneracion'!$K$1</f>
        <v>01-09-2026</v>
      </c>
      <c r="J10" s="14" t="str">
        <f>+'PMG(D) segun remuneracion'!$K$2</f>
        <v>30-09-2026</v>
      </c>
      <c r="K10" s="9">
        <f>+'PMG(D) segun remuneracion'!$K$3</f>
        <v>2</v>
      </c>
      <c r="L10" s="9">
        <f>+'PMG(D) segun remuneracion'!$K$4</f>
        <v>1</v>
      </c>
      <c r="M10" s="9">
        <f t="shared" si="0"/>
        <v>1</v>
      </c>
      <c r="N10" s="9" t="str">
        <f>+Tabla3[[#This Row],[Barra Balance]]&amp;"_"&amp;Tabla3[[#This Row],[Tensión Balance]]</f>
        <v>TENO_13</v>
      </c>
      <c r="S10" t="s">
        <v>4</v>
      </c>
      <c r="T10" t="s">
        <v>636</v>
      </c>
    </row>
    <row r="11" spans="1:20">
      <c r="A11" s="9">
        <v>15</v>
      </c>
      <c r="B11" s="9" t="s">
        <v>1454</v>
      </c>
      <c r="C11" s="9">
        <v>220</v>
      </c>
      <c r="D11" s="9">
        <f>+VLOOKUP(B11&amp;"_"&amp;C11,'DECRETOS PNCP'!A:F,5,0)</f>
        <v>42.14</v>
      </c>
      <c r="E11" s="9" t="s">
        <v>368</v>
      </c>
      <c r="F11" s="9">
        <v>13</v>
      </c>
      <c r="G11" s="9" t="str">
        <f>+'DECRETOS PNCP'!$B$2</f>
        <v>4T-2026</v>
      </c>
      <c r="H11" s="9">
        <v>0</v>
      </c>
      <c r="I11" s="14" t="str">
        <f>+'PMG(D) segun remuneracion'!$K$1</f>
        <v>01-09-2026</v>
      </c>
      <c r="J11" s="14" t="str">
        <f>+'PMG(D) segun remuneracion'!$K$2</f>
        <v>30-09-2026</v>
      </c>
      <c r="K11" s="9">
        <f>+'PMG(D) segun remuneracion'!$K$3</f>
        <v>2</v>
      </c>
      <c r="L11" s="9">
        <f>+'PMG(D) segun remuneracion'!$K$4</f>
        <v>1</v>
      </c>
      <c r="M11" s="9">
        <f t="shared" si="0"/>
        <v>1</v>
      </c>
      <c r="N11" s="9" t="str">
        <f>+Tabla3[[#This Row],[Barra Balance]]&amp;"_"&amp;Tabla3[[#This Row],[Tensión Balance]]</f>
        <v>CURACAUTIN_13</v>
      </c>
      <c r="S11" t="s">
        <v>5</v>
      </c>
      <c r="T11" t="s">
        <v>522</v>
      </c>
    </row>
    <row r="12" spans="1:20">
      <c r="A12" s="9">
        <v>15</v>
      </c>
      <c r="B12" s="9" t="s">
        <v>9</v>
      </c>
      <c r="C12" s="9">
        <v>220</v>
      </c>
      <c r="D12" s="9">
        <f>+VLOOKUP(B12&amp;"_"&amp;C12,'DECRETOS PNCP'!A:F,5,0)</f>
        <v>52.97</v>
      </c>
      <c r="E12" s="9" t="s">
        <v>1242</v>
      </c>
      <c r="F12" s="9">
        <v>13</v>
      </c>
      <c r="G12" s="9" t="str">
        <f>+'DECRETOS PNCP'!$B$2</f>
        <v>4T-2026</v>
      </c>
      <c r="H12" s="9">
        <v>0</v>
      </c>
      <c r="I12" s="14" t="str">
        <f>+'PMG(D) segun remuneracion'!$K$1</f>
        <v>01-09-2026</v>
      </c>
      <c r="J12" s="14" t="str">
        <f>+'PMG(D) segun remuneracion'!$K$2</f>
        <v>30-09-2026</v>
      </c>
      <c r="K12" s="9">
        <f>+'PMG(D) segun remuneracion'!$K$3</f>
        <v>2</v>
      </c>
      <c r="L12" s="9">
        <f>+'PMG(D) segun remuneracion'!$K$4</f>
        <v>1</v>
      </c>
      <c r="M12" s="9">
        <f t="shared" si="0"/>
        <v>1</v>
      </c>
      <c r="N12" s="9" t="str">
        <f>+Tabla3[[#This Row],[Barra Balance]]&amp;"_"&amp;Tabla3[[#This Row],[Tensión Balance]]</f>
        <v>S.F.MOSTAZAL_13</v>
      </c>
      <c r="S12" t="s">
        <v>6</v>
      </c>
      <c r="T12" t="s">
        <v>339</v>
      </c>
    </row>
    <row r="13" spans="1:20">
      <c r="A13" s="9">
        <v>15</v>
      </c>
      <c r="B13" s="9" t="s">
        <v>1187</v>
      </c>
      <c r="C13" s="9">
        <v>220</v>
      </c>
      <c r="D13" s="9">
        <f>+VLOOKUP(B13&amp;"_"&amp;C13,'DECRETOS PNCP'!A:F,5,0)</f>
        <v>48.460999999999999</v>
      </c>
      <c r="E13" s="9" t="s">
        <v>1066</v>
      </c>
      <c r="F13" s="9">
        <v>13</v>
      </c>
      <c r="G13" s="9" t="str">
        <f>+'DECRETOS PNCP'!$B$2</f>
        <v>4T-2026</v>
      </c>
      <c r="H13" s="9">
        <v>0</v>
      </c>
      <c r="I13" s="14" t="str">
        <f>+'PMG(D) segun remuneracion'!$K$1</f>
        <v>01-09-2026</v>
      </c>
      <c r="J13" s="14" t="str">
        <f>+'PMG(D) segun remuneracion'!$K$2</f>
        <v>30-09-2026</v>
      </c>
      <c r="K13" s="9">
        <f>+'PMG(D) segun remuneracion'!$K$3</f>
        <v>2</v>
      </c>
      <c r="L13" s="9">
        <f>+'PMG(D) segun remuneracion'!$K$4</f>
        <v>1</v>
      </c>
      <c r="M13" s="9">
        <f t="shared" si="0"/>
        <v>1</v>
      </c>
      <c r="N13" s="9" t="str">
        <f>+Tabla3[[#This Row],[Barra Balance]]&amp;"_"&amp;Tabla3[[#This Row],[Tensión Balance]]</f>
        <v>PILMAIQUEN_13</v>
      </c>
      <c r="S13" t="s">
        <v>7</v>
      </c>
      <c r="T13" t="s">
        <v>339</v>
      </c>
    </row>
    <row r="14" spans="1:20">
      <c r="A14" s="9">
        <v>15</v>
      </c>
      <c r="B14" s="9" t="s">
        <v>635</v>
      </c>
      <c r="C14" s="9">
        <v>220</v>
      </c>
      <c r="D14" s="9">
        <f>+VLOOKUP(B14&amp;"_"&amp;C14,'DECRETOS PNCP'!A:F,5,0)</f>
        <v>47.165999999999997</v>
      </c>
      <c r="E14" s="9" t="s">
        <v>191</v>
      </c>
      <c r="F14" s="9">
        <v>23</v>
      </c>
      <c r="G14" s="9" t="str">
        <f>+'DECRETOS PNCP'!$B$2</f>
        <v>4T-2026</v>
      </c>
      <c r="H14" s="9">
        <v>0</v>
      </c>
      <c r="I14" s="14" t="str">
        <f>+'PMG(D) segun remuneracion'!$K$1</f>
        <v>01-09-2026</v>
      </c>
      <c r="J14" s="14" t="str">
        <f>+'PMG(D) segun remuneracion'!$K$2</f>
        <v>30-09-2026</v>
      </c>
      <c r="K14" s="9">
        <f>+'PMG(D) segun remuneracion'!$K$3</f>
        <v>2</v>
      </c>
      <c r="L14" s="9">
        <f>+'PMG(D) segun remuneracion'!$K$4</f>
        <v>1</v>
      </c>
      <c r="M14" s="9">
        <f t="shared" si="0"/>
        <v>1</v>
      </c>
      <c r="N14" s="9" t="str">
        <f>+Tabla3[[#This Row],[Barra Balance]]&amp;"_"&amp;Tabla3[[#This Row],[Tensión Balance]]</f>
        <v>CARAMPANGUE_23</v>
      </c>
      <c r="S14" t="s">
        <v>8</v>
      </c>
      <c r="T14" t="s">
        <v>12</v>
      </c>
    </row>
    <row r="15" spans="1:20">
      <c r="A15" s="9">
        <v>15</v>
      </c>
      <c r="B15" s="9" t="s">
        <v>182</v>
      </c>
      <c r="C15" s="9">
        <v>220</v>
      </c>
      <c r="D15" s="9">
        <f>+VLOOKUP(B15&amp;"_"&amp;C15,'DECRETOS PNCP'!A:F,5,0)</f>
        <v>50.606000000000002</v>
      </c>
      <c r="E15" s="9" t="s">
        <v>441</v>
      </c>
      <c r="F15" s="9">
        <v>15</v>
      </c>
      <c r="G15" s="9" t="str">
        <f>+'DECRETOS PNCP'!$B$2</f>
        <v>4T-2026</v>
      </c>
      <c r="H15" s="9">
        <v>0</v>
      </c>
      <c r="I15" s="14" t="str">
        <f>+'PMG(D) segun remuneracion'!$K$1</f>
        <v>01-09-2026</v>
      </c>
      <c r="J15" s="14" t="str">
        <f>+'PMG(D) segun remuneracion'!$K$2</f>
        <v>30-09-2026</v>
      </c>
      <c r="K15" s="9">
        <f>+'PMG(D) segun remuneracion'!$K$3</f>
        <v>2</v>
      </c>
      <c r="L15" s="9">
        <f>+'PMG(D) segun remuneracion'!$K$4</f>
        <v>1</v>
      </c>
      <c r="M15" s="9">
        <f t="shared" si="0"/>
        <v>1</v>
      </c>
      <c r="N15" s="9" t="str">
        <f>+Tabla3[[#This Row],[Barra Balance]]&amp;"_"&amp;Tabla3[[#This Row],[Tensión Balance]]</f>
        <v>ELMANZANO_15</v>
      </c>
      <c r="S15" t="s">
        <v>10</v>
      </c>
      <c r="T15" t="s">
        <v>12</v>
      </c>
    </row>
    <row r="16" spans="1:20">
      <c r="A16" s="9">
        <v>15</v>
      </c>
      <c r="B16" s="9" t="s">
        <v>1197</v>
      </c>
      <c r="C16" s="9">
        <v>220</v>
      </c>
      <c r="D16" s="9">
        <f>+VLOOKUP(B16&amp;"_"&amp;C16,'DECRETOS PNCP'!A:F,5,0)</f>
        <v>49.04</v>
      </c>
      <c r="E16" s="9" t="s">
        <v>450</v>
      </c>
      <c r="F16" s="9">
        <v>23</v>
      </c>
      <c r="G16" s="9" t="str">
        <f>+'DECRETOS PNCP'!$B$2</f>
        <v>4T-2026</v>
      </c>
      <c r="H16" s="9">
        <v>0</v>
      </c>
      <c r="I16" s="14" t="str">
        <f>+'PMG(D) segun remuneracion'!$K$1</f>
        <v>01-09-2026</v>
      </c>
      <c r="J16" s="14" t="str">
        <f>+'PMG(D) segun remuneracion'!$K$2</f>
        <v>30-09-2026</v>
      </c>
      <c r="K16" s="9">
        <f>+'PMG(D) segun remuneracion'!$K$3</f>
        <v>2</v>
      </c>
      <c r="L16" s="9">
        <f>+'PMG(D) segun remuneracion'!$K$4</f>
        <v>1</v>
      </c>
      <c r="M16" s="9">
        <f t="shared" si="0"/>
        <v>1</v>
      </c>
      <c r="N16" s="9" t="str">
        <f>+Tabla3[[#This Row],[Barra Balance]]&amp;"_"&amp;Tabla3[[#This Row],[Tensión Balance]]</f>
        <v>ELPEUMO_23</v>
      </c>
      <c r="S16" t="s">
        <v>11</v>
      </c>
      <c r="T16" t="s">
        <v>12</v>
      </c>
    </row>
    <row r="17" spans="1:20">
      <c r="A17" s="9">
        <v>15</v>
      </c>
      <c r="B17" s="9" t="s">
        <v>14</v>
      </c>
      <c r="C17" s="9">
        <v>220</v>
      </c>
      <c r="D17" s="9">
        <f>+VLOOKUP(B17&amp;"_"&amp;C17,'DECRETOS PNCP'!A:F,5,0)</f>
        <v>49.323999999999998</v>
      </c>
      <c r="E17" s="9" t="s">
        <v>118</v>
      </c>
      <c r="F17" s="9">
        <v>13</v>
      </c>
      <c r="G17" s="9" t="str">
        <f>+'DECRETOS PNCP'!$B$2</f>
        <v>4T-2026</v>
      </c>
      <c r="H17" s="9">
        <v>0</v>
      </c>
      <c r="I17" s="14" t="str">
        <f>+'PMG(D) segun remuneracion'!$K$1</f>
        <v>01-09-2026</v>
      </c>
      <c r="J17" s="14" t="str">
        <f>+'PMG(D) segun remuneracion'!$K$2</f>
        <v>30-09-2026</v>
      </c>
      <c r="K17" s="9">
        <f>+'PMG(D) segun remuneracion'!$K$3</f>
        <v>2</v>
      </c>
      <c r="L17" s="9">
        <f>+'PMG(D) segun remuneracion'!$K$4</f>
        <v>1</v>
      </c>
      <c r="M17" s="9">
        <f t="shared" si="0"/>
        <v>1</v>
      </c>
      <c r="N17" s="9" t="str">
        <f>+Tabla3[[#This Row],[Barra Balance]]&amp;"_"&amp;Tabla3[[#This Row],[Tensión Balance]]</f>
        <v>BOLLENAR_13</v>
      </c>
      <c r="S17" t="s">
        <v>12</v>
      </c>
      <c r="T17" t="s">
        <v>12</v>
      </c>
    </row>
    <row r="18" spans="1:20">
      <c r="A18" s="9">
        <v>15</v>
      </c>
      <c r="B18" s="9" t="s">
        <v>911</v>
      </c>
      <c r="C18" s="9">
        <v>220</v>
      </c>
      <c r="D18" s="9">
        <f>+VLOOKUP(B18&amp;"_"&amp;C18,'DECRETOS PNCP'!A:F,5,0)</f>
        <v>51.460999999999999</v>
      </c>
      <c r="E18" s="9" t="s">
        <v>212</v>
      </c>
      <c r="F18" s="9">
        <v>13</v>
      </c>
      <c r="G18" s="9" t="str">
        <f>+'DECRETOS PNCP'!$B$2</f>
        <v>4T-2026</v>
      </c>
      <c r="H18" s="9">
        <v>0</v>
      </c>
      <c r="I18" s="14" t="str">
        <f>+'PMG(D) segun remuneracion'!$K$1</f>
        <v>01-09-2026</v>
      </c>
      <c r="J18" s="14" t="str">
        <f>+'PMG(D) segun remuneracion'!$K$2</f>
        <v>30-09-2026</v>
      </c>
      <c r="K18" s="9">
        <f>+'PMG(D) segun remuneracion'!$K$3</f>
        <v>2</v>
      </c>
      <c r="L18" s="9">
        <f>+'PMG(D) segun remuneracion'!$K$4</f>
        <v>1</v>
      </c>
      <c r="M18" s="9">
        <f t="shared" si="0"/>
        <v>1</v>
      </c>
      <c r="N18" s="9" t="str">
        <f>+Tabla3[[#This Row],[Barra Balance]]&amp;"_"&amp;Tabla3[[#This Row],[Tensión Balance]]</f>
        <v>CATEMU_13</v>
      </c>
      <c r="S18" t="s">
        <v>1591</v>
      </c>
      <c r="T18" t="s">
        <v>12</v>
      </c>
    </row>
    <row r="19" spans="1:20">
      <c r="A19" s="9">
        <v>15</v>
      </c>
      <c r="B19" s="9" t="s">
        <v>1454</v>
      </c>
      <c r="C19" s="9">
        <v>220</v>
      </c>
      <c r="D19" s="9">
        <f>+VLOOKUP(B19&amp;"_"&amp;C19,'DECRETOS PNCP'!A:F,5,0)</f>
        <v>42.14</v>
      </c>
      <c r="E19" s="9" t="s">
        <v>690</v>
      </c>
      <c r="F19" s="9">
        <v>13</v>
      </c>
      <c r="G19" s="9" t="str">
        <f>+'DECRETOS PNCP'!$B$2</f>
        <v>4T-2026</v>
      </c>
      <c r="H19" s="9">
        <v>0</v>
      </c>
      <c r="I19" s="14" t="str">
        <f>+'PMG(D) segun remuneracion'!$K$1</f>
        <v>01-09-2026</v>
      </c>
      <c r="J19" s="14" t="str">
        <f>+'PMG(D) segun remuneracion'!$K$2</f>
        <v>30-09-2026</v>
      </c>
      <c r="K19" s="9">
        <f>+'PMG(D) segun remuneracion'!$K$3</f>
        <v>2</v>
      </c>
      <c r="L19" s="9">
        <f>+'PMG(D) segun remuneracion'!$K$4</f>
        <v>1</v>
      </c>
      <c r="M19" s="9">
        <f t="shared" si="0"/>
        <v>1</v>
      </c>
      <c r="N19" s="9" t="str">
        <f>+Tabla3[[#This Row],[Barra Balance]]&amp;"_"&amp;Tabla3[[#This Row],[Tensión Balance]]</f>
        <v>LICANCO_13</v>
      </c>
      <c r="S19" t="s">
        <v>13</v>
      </c>
      <c r="T19" t="s">
        <v>15</v>
      </c>
    </row>
    <row r="20" spans="1:20">
      <c r="A20" s="9">
        <v>15</v>
      </c>
      <c r="B20" s="9" t="s">
        <v>1526</v>
      </c>
      <c r="C20" s="9">
        <v>220</v>
      </c>
      <c r="D20" s="9">
        <f>+VLOOKUP(B20&amp;"_"&amp;C20,'DECRETOS PNCP'!A:F,5,0)</f>
        <v>50.09</v>
      </c>
      <c r="E20" s="9" t="s">
        <v>999</v>
      </c>
      <c r="F20" s="9">
        <v>23</v>
      </c>
      <c r="G20" s="9" t="str">
        <f>+'DECRETOS PNCP'!$B$2</f>
        <v>4T-2026</v>
      </c>
      <c r="H20" s="9">
        <v>0</v>
      </c>
      <c r="I20" s="14" t="str">
        <f>+'PMG(D) segun remuneracion'!$K$1</f>
        <v>01-09-2026</v>
      </c>
      <c r="J20" s="14" t="str">
        <f>+'PMG(D) segun remuneracion'!$K$2</f>
        <v>30-09-2026</v>
      </c>
      <c r="K20" s="9">
        <f>+'PMG(D) segun remuneracion'!$K$3</f>
        <v>2</v>
      </c>
      <c r="L20" s="9">
        <f>+'PMG(D) segun remuneracion'!$K$4</f>
        <v>1</v>
      </c>
      <c r="M20" s="9">
        <f t="shared" si="0"/>
        <v>1</v>
      </c>
      <c r="N20" s="9" t="str">
        <f>+Tabla3[[#This Row],[Barra Balance]]&amp;"_"&amp;Tabla3[[#This Row],[Tensión Balance]]</f>
        <v>PANGUIPULLI_23</v>
      </c>
      <c r="S20" t="s">
        <v>15</v>
      </c>
      <c r="T20" t="s">
        <v>15</v>
      </c>
    </row>
    <row r="21" spans="1:20">
      <c r="A21" s="9">
        <v>15</v>
      </c>
      <c r="B21" s="9" t="s">
        <v>911</v>
      </c>
      <c r="C21" s="9">
        <v>220</v>
      </c>
      <c r="D21" s="9">
        <f>+VLOOKUP(B21&amp;"_"&amp;C21,'DECRETOS PNCP'!A:F,5,0)</f>
        <v>51.460999999999999</v>
      </c>
      <c r="E21" s="9" t="s">
        <v>609</v>
      </c>
      <c r="F21" s="9">
        <v>13</v>
      </c>
      <c r="G21" s="9" t="str">
        <f>+'DECRETOS PNCP'!$B$2</f>
        <v>4T-2026</v>
      </c>
      <c r="H21" s="9">
        <v>0</v>
      </c>
      <c r="I21" s="14" t="str">
        <f>+'PMG(D) segun remuneracion'!$K$1</f>
        <v>01-09-2026</v>
      </c>
      <c r="J21" s="14" t="str">
        <f>+'PMG(D) segun remuneracion'!$K$2</f>
        <v>30-09-2026</v>
      </c>
      <c r="K21" s="9">
        <f>+'PMG(D) segun remuneracion'!$K$3</f>
        <v>2</v>
      </c>
      <c r="L21" s="9">
        <f>+'PMG(D) segun remuneracion'!$K$4</f>
        <v>1</v>
      </c>
      <c r="M21" s="9">
        <f t="shared" si="0"/>
        <v>1</v>
      </c>
      <c r="N21" s="9" t="str">
        <f>+Tabla3[[#This Row],[Barra Balance]]&amp;"_"&amp;Tabla3[[#This Row],[Tensión Balance]]</f>
        <v>LA_CALERA_13</v>
      </c>
      <c r="S21" t="s">
        <v>17</v>
      </c>
      <c r="T21" t="s">
        <v>1152</v>
      </c>
    </row>
    <row r="22" spans="1:20">
      <c r="A22" s="9">
        <v>15</v>
      </c>
      <c r="B22" s="9" t="s">
        <v>1197</v>
      </c>
      <c r="C22" s="9">
        <v>220</v>
      </c>
      <c r="D22" s="9">
        <f>+VLOOKUP(B22&amp;"_"&amp;C22,'DECRETOS PNCP'!A:F,5,0)</f>
        <v>49.04</v>
      </c>
      <c r="E22" s="9" t="s">
        <v>816</v>
      </c>
      <c r="F22" s="9">
        <v>13</v>
      </c>
      <c r="G22" s="9" t="str">
        <f>+'DECRETOS PNCP'!$B$2</f>
        <v>4T-2026</v>
      </c>
      <c r="H22" s="9">
        <v>0</v>
      </c>
      <c r="I22" s="14" t="str">
        <f>+'PMG(D) segun remuneracion'!$K$1</f>
        <v>01-09-2026</v>
      </c>
      <c r="J22" s="14" t="str">
        <f>+'PMG(D) segun remuneracion'!$K$2</f>
        <v>30-09-2026</v>
      </c>
      <c r="K22" s="9">
        <f>+'PMG(D) segun remuneracion'!$K$3</f>
        <v>2</v>
      </c>
      <c r="L22" s="9">
        <f>+'PMG(D) segun remuneracion'!$K$4</f>
        <v>1</v>
      </c>
      <c r="M22" s="9">
        <f t="shared" si="0"/>
        <v>1</v>
      </c>
      <c r="N22" s="9" t="str">
        <f>+Tabla3[[#This Row],[Barra Balance]]&amp;"_"&amp;Tabla3[[#This Row],[Tensión Balance]]</f>
        <v>MARCHIHUE_13</v>
      </c>
      <c r="S22" t="s">
        <v>18</v>
      </c>
      <c r="T22" t="s">
        <v>1152</v>
      </c>
    </row>
    <row r="23" spans="1:20">
      <c r="A23" s="9">
        <v>15</v>
      </c>
      <c r="B23" s="9" t="s">
        <v>606</v>
      </c>
      <c r="C23" s="9">
        <v>220</v>
      </c>
      <c r="D23" s="9">
        <f>+VLOOKUP(B23&amp;"_"&amp;C23,'DECRETOS PNCP'!A:F,5,0)</f>
        <v>52.988</v>
      </c>
      <c r="E23" s="9" t="s">
        <v>532</v>
      </c>
      <c r="F23" s="9">
        <v>23</v>
      </c>
      <c r="G23" s="9" t="str">
        <f>+'DECRETOS PNCP'!$B$2</f>
        <v>4T-2026</v>
      </c>
      <c r="H23" s="9">
        <v>0</v>
      </c>
      <c r="I23" s="14" t="str">
        <f>+'PMG(D) segun remuneracion'!$K$1</f>
        <v>01-09-2026</v>
      </c>
      <c r="J23" s="14" t="str">
        <f>+'PMG(D) segun remuneracion'!$K$2</f>
        <v>30-09-2026</v>
      </c>
      <c r="K23" s="9">
        <f>+'PMG(D) segun remuneracion'!$K$3</f>
        <v>2</v>
      </c>
      <c r="L23" s="9">
        <f>+'PMG(D) segun remuneracion'!$K$4</f>
        <v>1</v>
      </c>
      <c r="M23" s="9">
        <f t="shared" si="0"/>
        <v>1</v>
      </c>
      <c r="N23" s="9" t="str">
        <f>+Tabla3[[#This Row],[Barra Balance]]&amp;"_"&amp;Tabla3[[#This Row],[Tensión Balance]]</f>
        <v>ILLAPEL_23</v>
      </c>
      <c r="S23" t="s">
        <v>0</v>
      </c>
      <c r="T23" t="s">
        <v>293</v>
      </c>
    </row>
    <row r="24" spans="1:20">
      <c r="A24" s="9">
        <v>15</v>
      </c>
      <c r="B24" s="9" t="s">
        <v>142</v>
      </c>
      <c r="C24" s="9">
        <v>220</v>
      </c>
      <c r="D24" s="9">
        <f>+VLOOKUP(B24&amp;"_"&amp;C24,'DECRETOS PNCP'!A:F,5,0)</f>
        <v>48.79</v>
      </c>
      <c r="E24" s="9" t="s">
        <v>792</v>
      </c>
      <c r="F24" s="9">
        <v>13</v>
      </c>
      <c r="G24" s="9" t="str">
        <f>+'DECRETOS PNCP'!$B$2</f>
        <v>4T-2026</v>
      </c>
      <c r="H24" s="9">
        <v>0</v>
      </c>
      <c r="I24" s="14" t="str">
        <f>+'PMG(D) segun remuneracion'!$K$1</f>
        <v>01-09-2026</v>
      </c>
      <c r="J24" s="14" t="str">
        <f>+'PMG(D) segun remuneracion'!$K$2</f>
        <v>30-09-2026</v>
      </c>
      <c r="K24" s="9">
        <f>+'PMG(D) segun remuneracion'!$K$3</f>
        <v>2</v>
      </c>
      <c r="L24" s="9">
        <f>+'PMG(D) segun remuneracion'!$K$4</f>
        <v>1</v>
      </c>
      <c r="M24" s="9">
        <f t="shared" si="0"/>
        <v>1</v>
      </c>
      <c r="N24" s="9" t="str">
        <f>+Tabla3[[#This Row],[Barra Balance]]&amp;"_"&amp;Tabla3[[#This Row],[Tensión Balance]]</f>
        <v>MAIPU_13</v>
      </c>
      <c r="S24" t="s">
        <v>19</v>
      </c>
      <c r="T24" t="s">
        <v>152</v>
      </c>
    </row>
    <row r="25" spans="1:20">
      <c r="A25" s="9">
        <v>15</v>
      </c>
      <c r="B25" s="9" t="s">
        <v>1197</v>
      </c>
      <c r="C25" s="9">
        <v>220</v>
      </c>
      <c r="D25" s="9">
        <f>+VLOOKUP(B25&amp;"_"&amp;C25,'DECRETOS PNCP'!A:F,5,0)</f>
        <v>49.04</v>
      </c>
      <c r="E25" s="9" t="s">
        <v>809</v>
      </c>
      <c r="F25" s="9">
        <v>13</v>
      </c>
      <c r="G25" s="9" t="str">
        <f>+'DECRETOS PNCP'!$B$2</f>
        <v>4T-2026</v>
      </c>
      <c r="H25" s="9">
        <v>0</v>
      </c>
      <c r="I25" s="14" t="str">
        <f>+'PMG(D) segun remuneracion'!$K$1</f>
        <v>01-09-2026</v>
      </c>
      <c r="J25" s="14" t="str">
        <f>+'PMG(D) segun remuneracion'!$K$2</f>
        <v>30-09-2026</v>
      </c>
      <c r="K25" s="9">
        <f>+'PMG(D) segun remuneracion'!$K$3</f>
        <v>2</v>
      </c>
      <c r="L25" s="9">
        <f>+'PMG(D) segun remuneracion'!$K$4</f>
        <v>1</v>
      </c>
      <c r="M25" s="9">
        <f t="shared" si="0"/>
        <v>1</v>
      </c>
      <c r="N25" s="9" t="str">
        <f>+Tabla3[[#This Row],[Barra Balance]]&amp;"_"&amp;Tabla3[[#This Row],[Tensión Balance]]</f>
        <v>MANDINGA_13</v>
      </c>
      <c r="S25" t="s">
        <v>20</v>
      </c>
      <c r="T25" t="s">
        <v>152</v>
      </c>
    </row>
    <row r="26" spans="1:20">
      <c r="A26" s="9">
        <v>15</v>
      </c>
      <c r="B26" s="9" t="s">
        <v>1187</v>
      </c>
      <c r="C26" s="9">
        <v>220</v>
      </c>
      <c r="D26" s="9">
        <f>+VLOOKUP(B26&amp;"_"&amp;C26,'DECRETOS PNCP'!A:F,5,0)</f>
        <v>48.460999999999999</v>
      </c>
      <c r="E26" s="9" t="s">
        <v>1179</v>
      </c>
      <c r="F26" s="9">
        <v>23</v>
      </c>
      <c r="G26" s="9" t="str">
        <f>+'DECRETOS PNCP'!$B$2</f>
        <v>4T-2026</v>
      </c>
      <c r="H26" s="9">
        <v>0</v>
      </c>
      <c r="I26" s="14" t="str">
        <f>+'PMG(D) segun remuneracion'!$K$1</f>
        <v>01-09-2026</v>
      </c>
      <c r="J26" s="14" t="str">
        <f>+'PMG(D) segun remuneracion'!$K$2</f>
        <v>30-09-2026</v>
      </c>
      <c r="K26" s="9">
        <f>+'PMG(D) segun remuneracion'!$K$3</f>
        <v>2</v>
      </c>
      <c r="L26" s="9">
        <f>+'PMG(D) segun remuneracion'!$K$4</f>
        <v>1</v>
      </c>
      <c r="M26" s="9">
        <f t="shared" si="0"/>
        <v>1</v>
      </c>
      <c r="N26" s="9" t="str">
        <f>+Tabla3[[#This Row],[Barra Balance]]&amp;"_"&amp;Tabla3[[#This Row],[Tensión Balance]]</f>
        <v>R.BONITO_23</v>
      </c>
      <c r="S26" t="s">
        <v>21</v>
      </c>
      <c r="T26" t="s">
        <v>1152</v>
      </c>
    </row>
    <row r="27" spans="1:20">
      <c r="A27" s="9">
        <v>15</v>
      </c>
      <c r="B27" s="9" t="s">
        <v>1187</v>
      </c>
      <c r="C27" s="9">
        <v>220</v>
      </c>
      <c r="D27" s="9">
        <f>+VLOOKUP(B27&amp;"_"&amp;C27,'DECRETOS PNCP'!A:F,5,0)</f>
        <v>48.460999999999999</v>
      </c>
      <c r="E27" s="9" t="s">
        <v>894</v>
      </c>
      <c r="F27" s="9">
        <v>23</v>
      </c>
      <c r="G27" s="9" t="str">
        <f>+'DECRETOS PNCP'!$B$2</f>
        <v>4T-2026</v>
      </c>
      <c r="H27" s="9">
        <v>0</v>
      </c>
      <c r="I27" s="14" t="str">
        <f>+'PMG(D) segun remuneracion'!$K$1</f>
        <v>01-09-2026</v>
      </c>
      <c r="J27" s="14" t="str">
        <f>+'PMG(D) segun remuneracion'!$K$2</f>
        <v>30-09-2026</v>
      </c>
      <c r="K27" s="9">
        <f>+'PMG(D) segun remuneracion'!$K$3</f>
        <v>2</v>
      </c>
      <c r="L27" s="9">
        <f>+'PMG(D) segun remuneracion'!$K$4</f>
        <v>1</v>
      </c>
      <c r="M27" s="9">
        <f t="shared" si="0"/>
        <v>1</v>
      </c>
      <c r="N27" s="9" t="str">
        <f>+Tabla3[[#This Row],[Barra Balance]]&amp;"_"&amp;Tabla3[[#This Row],[Tensión Balance]]</f>
        <v>NALCAS_23</v>
      </c>
      <c r="S27" t="s">
        <v>22</v>
      </c>
      <c r="T27" t="s">
        <v>590</v>
      </c>
    </row>
    <row r="28" spans="1:20">
      <c r="A28" s="9">
        <v>15</v>
      </c>
      <c r="B28" s="9" t="s">
        <v>248</v>
      </c>
      <c r="C28" s="9">
        <v>220</v>
      </c>
      <c r="D28" s="9">
        <f>+VLOOKUP(B28&amp;"_"&amp;C28,'DECRETOS PNCP'!A:F,5,0)</f>
        <v>45.99</v>
      </c>
      <c r="E28" s="9" t="s">
        <v>432</v>
      </c>
      <c r="F28" s="9">
        <v>23</v>
      </c>
      <c r="G28" s="9" t="str">
        <f>+'DECRETOS PNCP'!$B$2</f>
        <v>4T-2026</v>
      </c>
      <c r="H28" s="9">
        <v>0</v>
      </c>
      <c r="I28" s="14" t="str">
        <f>+'PMG(D) segun remuneracion'!$K$1</f>
        <v>01-09-2026</v>
      </c>
      <c r="J28" s="14" t="str">
        <f>+'PMG(D) segun remuneracion'!$K$2</f>
        <v>30-09-2026</v>
      </c>
      <c r="K28" s="9">
        <f>+'PMG(D) segun remuneracion'!$K$3</f>
        <v>2</v>
      </c>
      <c r="L28" s="9">
        <f>+'PMG(D) segun remuneracion'!$K$4</f>
        <v>1</v>
      </c>
      <c r="M28" s="9">
        <f t="shared" si="0"/>
        <v>1</v>
      </c>
      <c r="N28" s="9" t="str">
        <f>+Tabla3[[#This Row],[Barra Balance]]&amp;"_"&amp;Tabla3[[#This Row],[Tensión Balance]]</f>
        <v>ELAVELLANO_23</v>
      </c>
      <c r="S28" t="s">
        <v>23</v>
      </c>
      <c r="T28" t="s">
        <v>590</v>
      </c>
    </row>
    <row r="29" spans="1:20">
      <c r="A29" s="9">
        <v>15</v>
      </c>
      <c r="B29" s="9" t="s">
        <v>1090</v>
      </c>
      <c r="C29" s="9">
        <v>220</v>
      </c>
      <c r="D29" s="9">
        <f>+VLOOKUP(B29&amp;"_"&amp;C29,'DECRETOS PNCP'!A:F,5,0)</f>
        <v>48.715000000000003</v>
      </c>
      <c r="E29" s="9" t="s">
        <v>419</v>
      </c>
      <c r="F29" s="9">
        <v>23</v>
      </c>
      <c r="G29" s="9" t="str">
        <f>+'DECRETOS PNCP'!$B$2</f>
        <v>4T-2026</v>
      </c>
      <c r="H29" s="9">
        <v>0</v>
      </c>
      <c r="I29" s="14" t="str">
        <f>+'PMG(D) segun remuneracion'!$K$1</f>
        <v>01-09-2026</v>
      </c>
      <c r="J29" s="14" t="str">
        <f>+'PMG(D) segun remuneracion'!$K$2</f>
        <v>30-09-2026</v>
      </c>
      <c r="K29" s="9">
        <f>+'PMG(D) segun remuneracion'!$K$3</f>
        <v>2</v>
      </c>
      <c r="L29" s="9">
        <f>+'PMG(D) segun remuneracion'!$K$4</f>
        <v>1</v>
      </c>
      <c r="M29" s="9">
        <f t="shared" si="0"/>
        <v>1</v>
      </c>
      <c r="N29" s="9" t="str">
        <f>+Tabla3[[#This Row],[Barra Balance]]&amp;"_"&amp;Tabla3[[#This Row],[Tensión Balance]]</f>
        <v>EL_MANZANO_23</v>
      </c>
      <c r="S29" t="s">
        <v>24</v>
      </c>
      <c r="T29" t="s">
        <v>590</v>
      </c>
    </row>
    <row r="30" spans="1:20">
      <c r="A30" s="9">
        <v>15</v>
      </c>
      <c r="B30" s="9" t="s">
        <v>151</v>
      </c>
      <c r="C30" s="9">
        <v>220</v>
      </c>
      <c r="D30" s="9">
        <f>+VLOOKUP(B30&amp;"_"&amp;C30,'DECRETOS PNCP'!A:F,5,0)</f>
        <v>48.853000000000002</v>
      </c>
      <c r="E30" s="9" t="s">
        <v>1098</v>
      </c>
      <c r="F30" s="9">
        <v>110</v>
      </c>
      <c r="G30" s="9" t="str">
        <f>+'DECRETOS PNCP'!$B$2</f>
        <v>4T-2026</v>
      </c>
      <c r="H30" s="9">
        <v>0</v>
      </c>
      <c r="I30" s="14" t="str">
        <f>+'PMG(D) segun remuneracion'!$K$1</f>
        <v>01-09-2026</v>
      </c>
      <c r="J30" s="14" t="str">
        <f>+'PMG(D) segun remuneracion'!$K$2</f>
        <v>30-09-2026</v>
      </c>
      <c r="K30" s="9">
        <f>+'PMG(D) segun remuneracion'!$K$3</f>
        <v>2</v>
      </c>
      <c r="L30" s="9">
        <f>+'PMG(D) segun remuneracion'!$K$4</f>
        <v>1</v>
      </c>
      <c r="M30" s="9">
        <f t="shared" si="0"/>
        <v>1</v>
      </c>
      <c r="N30" s="9" t="str">
        <f>+Tabla3[[#This Row],[Barra Balance]]&amp;"_"&amp;Tabla3[[#This Row],[Tensión Balance]]</f>
        <v>PPEUCO_110</v>
      </c>
      <c r="S30" t="s">
        <v>25</v>
      </c>
      <c r="T30" t="s">
        <v>590</v>
      </c>
    </row>
    <row r="31" spans="1:20">
      <c r="A31" s="9">
        <v>15</v>
      </c>
      <c r="B31" s="9" t="s">
        <v>151</v>
      </c>
      <c r="C31" s="9">
        <v>220</v>
      </c>
      <c r="D31" s="9">
        <f>+VLOOKUP(B31&amp;"_"&amp;C31,'DECRETOS PNCP'!A:F,5,0)</f>
        <v>48.853000000000002</v>
      </c>
      <c r="E31" s="9" t="s">
        <v>108</v>
      </c>
      <c r="F31" s="9">
        <v>13</v>
      </c>
      <c r="G31" s="9" t="str">
        <f>+'DECRETOS PNCP'!$B$2</f>
        <v>4T-2026</v>
      </c>
      <c r="H31" s="9">
        <v>0</v>
      </c>
      <c r="I31" s="14" t="str">
        <f>+'PMG(D) segun remuneracion'!$K$1</f>
        <v>01-09-2026</v>
      </c>
      <c r="J31" s="14" t="str">
        <f>+'PMG(D) segun remuneracion'!$K$2</f>
        <v>30-09-2026</v>
      </c>
      <c r="K31" s="9">
        <f>+'PMG(D) segun remuneracion'!$K$3</f>
        <v>2</v>
      </c>
      <c r="L31" s="9">
        <f>+'PMG(D) segun remuneracion'!$K$4</f>
        <v>1</v>
      </c>
      <c r="M31" s="9">
        <f t="shared" si="0"/>
        <v>1</v>
      </c>
      <c r="N31" s="9" t="str">
        <f>+Tabla3[[#This Row],[Barra Balance]]&amp;"_"&amp;Tabla3[[#This Row],[Tensión Balance]]</f>
        <v>BATUCO_13</v>
      </c>
      <c r="S31" t="s">
        <v>26</v>
      </c>
      <c r="T31" t="s">
        <v>924</v>
      </c>
    </row>
    <row r="32" spans="1:20">
      <c r="A32" s="9">
        <v>15</v>
      </c>
      <c r="B32" s="9" t="s">
        <v>589</v>
      </c>
      <c r="C32" s="9">
        <v>220</v>
      </c>
      <c r="D32" s="9">
        <f>+VLOOKUP(B32&amp;"_"&amp;C32,'DECRETOS PNCP'!A:F,5,0)</f>
        <v>57.238999999999997</v>
      </c>
      <c r="E32" s="9" t="s">
        <v>1273</v>
      </c>
      <c r="F32" s="9">
        <v>13</v>
      </c>
      <c r="G32" s="9" t="str">
        <f>+'DECRETOS PNCP'!$B$2</f>
        <v>4T-2026</v>
      </c>
      <c r="H32" s="9">
        <v>0</v>
      </c>
      <c r="I32" s="14" t="str">
        <f>+'PMG(D) segun remuneracion'!$K$1</f>
        <v>01-09-2026</v>
      </c>
      <c r="J32" s="14" t="str">
        <f>+'PMG(D) segun remuneracion'!$K$2</f>
        <v>30-09-2026</v>
      </c>
      <c r="K32" s="9">
        <f>+'PMG(D) segun remuneracion'!$K$3</f>
        <v>2</v>
      </c>
      <c r="L32" s="9">
        <f>+'PMG(D) segun remuneracion'!$K$4</f>
        <v>1</v>
      </c>
      <c r="M32" s="9">
        <f t="shared" si="0"/>
        <v>1</v>
      </c>
      <c r="N32" s="9" t="str">
        <f>+Tabla3[[#This Row],[Barra Balance]]&amp;"_"&amp;Tabla3[[#This Row],[Tensión Balance]]</f>
        <v>S.RAFAEL_13</v>
      </c>
      <c r="S32" t="s">
        <v>27</v>
      </c>
      <c r="T32" t="s">
        <v>924</v>
      </c>
    </row>
    <row r="33" spans="1:20">
      <c r="A33" s="9">
        <v>15</v>
      </c>
      <c r="B33" s="9" t="s">
        <v>182</v>
      </c>
      <c r="C33" s="9">
        <v>220</v>
      </c>
      <c r="D33" s="9">
        <f>+VLOOKUP(B33&amp;"_"&amp;C33,'DECRETOS PNCP'!A:F,5,0)</f>
        <v>50.606000000000002</v>
      </c>
      <c r="E33" s="9" t="s">
        <v>265</v>
      </c>
      <c r="F33" s="9">
        <v>13</v>
      </c>
      <c r="G33" s="9" t="str">
        <f>+'DECRETOS PNCP'!$B$2</f>
        <v>4T-2026</v>
      </c>
      <c r="H33" s="9">
        <v>0</v>
      </c>
      <c r="I33" s="14" t="str">
        <f>+'PMG(D) segun remuneracion'!$K$1</f>
        <v>01-09-2026</v>
      </c>
      <c r="J33" s="14" t="str">
        <f>+'PMG(D) segun remuneracion'!$K$2</f>
        <v>30-09-2026</v>
      </c>
      <c r="K33" s="9">
        <f>+'PMG(D) segun remuneracion'!$K$3</f>
        <v>2</v>
      </c>
      <c r="L33" s="9">
        <f>+'PMG(D) segun remuneracion'!$K$4</f>
        <v>1</v>
      </c>
      <c r="M33" s="9">
        <f t="shared" si="0"/>
        <v>1</v>
      </c>
      <c r="N33" s="9" t="str">
        <f>+Tabla3[[#This Row],[Barra Balance]]&amp;"_"&amp;Tabla3[[#This Row],[Tensión Balance]]</f>
        <v>CHIMBARONGO_13</v>
      </c>
      <c r="S33" t="s">
        <v>1592</v>
      </c>
      <c r="T33" t="s">
        <v>924</v>
      </c>
    </row>
    <row r="34" spans="1:20">
      <c r="A34" s="9">
        <v>15</v>
      </c>
      <c r="B34" s="9" t="s">
        <v>935</v>
      </c>
      <c r="C34" s="9">
        <v>220</v>
      </c>
      <c r="D34" s="9">
        <f>+VLOOKUP(B34&amp;"_"&amp;C34,'DECRETOS PNCP'!A:F,5,0)</f>
        <v>52</v>
      </c>
      <c r="E34" s="9" t="s">
        <v>935</v>
      </c>
      <c r="F34" s="9">
        <v>23</v>
      </c>
      <c r="G34" s="9" t="str">
        <f>+'DECRETOS PNCP'!$B$2</f>
        <v>4T-2026</v>
      </c>
      <c r="H34" s="9">
        <v>0</v>
      </c>
      <c r="I34" s="14" t="str">
        <f>+'PMG(D) segun remuneracion'!$K$1</f>
        <v>01-09-2026</v>
      </c>
      <c r="J34" s="14" t="str">
        <f>+'PMG(D) segun remuneracion'!$K$2</f>
        <v>30-09-2026</v>
      </c>
      <c r="K34" s="9">
        <f>+'PMG(D) segun remuneracion'!$K$3</f>
        <v>2</v>
      </c>
      <c r="L34" s="9">
        <f>+'PMG(D) segun remuneracion'!$K$4</f>
        <v>1</v>
      </c>
      <c r="M34" s="9">
        <f t="shared" ref="M34:M65" si="1">+COUNTIFS(E:E,E34,F:F,F34)</f>
        <v>1</v>
      </c>
      <c r="N34" s="9" t="str">
        <f>+Tabla3[[#This Row],[Barra Balance]]&amp;"_"&amp;Tabla3[[#This Row],[Tensión Balance]]</f>
        <v>P.ALMONTE_23</v>
      </c>
      <c r="S34" t="s">
        <v>1593</v>
      </c>
      <c r="T34" t="s">
        <v>1017</v>
      </c>
    </row>
    <row r="35" spans="1:20">
      <c r="A35" s="9">
        <v>15</v>
      </c>
      <c r="B35" s="9" t="s">
        <v>168</v>
      </c>
      <c r="C35" s="9">
        <v>220</v>
      </c>
      <c r="D35" s="9">
        <f>+VLOOKUP(B35&amp;"_"&amp;C35,'DECRETOS PNCP'!A:F,5,0)</f>
        <v>52.978999999999999</v>
      </c>
      <c r="E35" s="9" t="s">
        <v>168</v>
      </c>
      <c r="F35" s="9">
        <v>110</v>
      </c>
      <c r="G35" s="9" t="str">
        <f>+'DECRETOS PNCP'!$B$2</f>
        <v>4T-2026</v>
      </c>
      <c r="H35" s="9">
        <v>0</v>
      </c>
      <c r="I35" s="14" t="str">
        <f>+'PMG(D) segun remuneracion'!$K$1</f>
        <v>01-09-2026</v>
      </c>
      <c r="J35" s="14" t="str">
        <f>+'PMG(D) segun remuneracion'!$K$2</f>
        <v>30-09-2026</v>
      </c>
      <c r="K35" s="9">
        <f>+'PMG(D) segun remuneracion'!$K$3</f>
        <v>2</v>
      </c>
      <c r="L35" s="9">
        <f>+'PMG(D) segun remuneracion'!$K$4</f>
        <v>1</v>
      </c>
      <c r="M35" s="9">
        <f t="shared" si="1"/>
        <v>1</v>
      </c>
      <c r="N35" s="9" t="str">
        <f>+Tabla3[[#This Row],[Barra Balance]]&amp;"_"&amp;Tabla3[[#This Row],[Tensión Balance]]</f>
        <v>CALAMA_110</v>
      </c>
      <c r="S35" t="s">
        <v>28</v>
      </c>
      <c r="T35" t="s">
        <v>1017</v>
      </c>
    </row>
    <row r="36" spans="1:20">
      <c r="A36" s="9">
        <v>15</v>
      </c>
      <c r="B36" s="9" t="s">
        <v>948</v>
      </c>
      <c r="C36" s="9">
        <v>220</v>
      </c>
      <c r="D36" s="9">
        <f>+VLOOKUP(B36&amp;"_"&amp;C36,'DECRETOS PNCP'!A:F,5,0)</f>
        <v>51.737000000000002</v>
      </c>
      <c r="E36" s="9" t="s">
        <v>775</v>
      </c>
      <c r="F36" s="9">
        <v>13</v>
      </c>
      <c r="G36" s="9" t="str">
        <f>+'DECRETOS PNCP'!$B$2</f>
        <v>4T-2026</v>
      </c>
      <c r="H36" s="9">
        <v>0</v>
      </c>
      <c r="I36" s="14" t="str">
        <f>+'PMG(D) segun remuneracion'!$K$1</f>
        <v>01-09-2026</v>
      </c>
      <c r="J36" s="14" t="str">
        <f>+'PMG(D) segun remuneracion'!$K$2</f>
        <v>30-09-2026</v>
      </c>
      <c r="K36" s="9">
        <f>+'PMG(D) segun remuneracion'!$K$3</f>
        <v>2</v>
      </c>
      <c r="L36" s="9">
        <f>+'PMG(D) segun remuneracion'!$K$4</f>
        <v>1</v>
      </c>
      <c r="M36" s="9">
        <f t="shared" si="1"/>
        <v>1</v>
      </c>
      <c r="N36" s="9" t="str">
        <f>+Tabla3[[#This Row],[Barra Balance]]&amp;"_"&amp;Tabla3[[#This Row],[Tensión Balance]]</f>
        <v>M.PATRIA_13</v>
      </c>
      <c r="S36" t="s">
        <v>30</v>
      </c>
      <c r="T36" t="s">
        <v>1186</v>
      </c>
    </row>
    <row r="37" spans="1:20">
      <c r="A37" s="9">
        <v>15</v>
      </c>
      <c r="B37" s="9" t="s">
        <v>795</v>
      </c>
      <c r="C37" s="9">
        <v>220</v>
      </c>
      <c r="D37" s="9">
        <f>+VLOOKUP(B37&amp;"_"&amp;C37,'DECRETOS PNCP'!A:F,5,0)</f>
        <v>50.423999999999999</v>
      </c>
      <c r="E37" s="9" t="s">
        <v>539</v>
      </c>
      <c r="F37" s="9">
        <v>23</v>
      </c>
      <c r="G37" s="9" t="str">
        <f>+'DECRETOS PNCP'!$B$2</f>
        <v>4T-2026</v>
      </c>
      <c r="H37" s="9">
        <v>0</v>
      </c>
      <c r="I37" s="14" t="str">
        <f>+'PMG(D) segun remuneracion'!$K$1</f>
        <v>01-09-2026</v>
      </c>
      <c r="J37" s="14" t="str">
        <f>+'PMG(D) segun remuneracion'!$K$2</f>
        <v>30-09-2026</v>
      </c>
      <c r="K37" s="9">
        <f>+'PMG(D) segun remuneracion'!$K$3</f>
        <v>2</v>
      </c>
      <c r="L37" s="9">
        <f>+'PMG(D) segun remuneracion'!$K$4</f>
        <v>1</v>
      </c>
      <c r="M37" s="9">
        <f t="shared" si="1"/>
        <v>1</v>
      </c>
      <c r="N37" s="9" t="str">
        <f>+Tabla3[[#This Row],[Barra Balance]]&amp;"_"&amp;Tabla3[[#This Row],[Tensión Balance]]</f>
        <v>INCAHUASI_23</v>
      </c>
      <c r="S37" t="s">
        <v>32</v>
      </c>
      <c r="T37" t="s">
        <v>1186</v>
      </c>
    </row>
    <row r="38" spans="1:20">
      <c r="A38" s="9">
        <v>15</v>
      </c>
      <c r="B38" s="9" t="s">
        <v>195</v>
      </c>
      <c r="C38" s="9">
        <v>220</v>
      </c>
      <c r="D38" s="9">
        <f>+VLOOKUP(B38&amp;"_"&amp;C38,'DECRETOS PNCP'!A:F,5,0)</f>
        <v>51.563000000000002</v>
      </c>
      <c r="E38" s="9" t="s">
        <v>195</v>
      </c>
      <c r="F38" s="9">
        <v>220</v>
      </c>
      <c r="G38" s="9" t="str">
        <f>+'DECRETOS PNCP'!$B$2</f>
        <v>4T-2026</v>
      </c>
      <c r="H38" s="9">
        <v>0</v>
      </c>
      <c r="I38" s="14" t="str">
        <f>+'PMG(D) segun remuneracion'!$K$1</f>
        <v>01-09-2026</v>
      </c>
      <c r="J38" s="14" t="str">
        <f>+'PMG(D) segun remuneracion'!$K$2</f>
        <v>30-09-2026</v>
      </c>
      <c r="K38" s="9">
        <f>+'PMG(D) segun remuneracion'!$K$3</f>
        <v>2</v>
      </c>
      <c r="L38" s="9">
        <f>+'PMG(D) segun remuneracion'!$K$4</f>
        <v>1</v>
      </c>
      <c r="M38" s="9">
        <f t="shared" si="1"/>
        <v>1</v>
      </c>
      <c r="N38" s="9" t="str">
        <f>+Tabla3[[#This Row],[Barra Balance]]&amp;"_"&amp;Tabla3[[#This Row],[Tensión Balance]]</f>
        <v>CARDONES_220</v>
      </c>
      <c r="S38" t="s">
        <v>33</v>
      </c>
      <c r="T38" t="s">
        <v>1186</v>
      </c>
    </row>
    <row r="39" spans="1:20">
      <c r="A39" s="9">
        <v>15</v>
      </c>
      <c r="B39" s="9" t="s">
        <v>548</v>
      </c>
      <c r="C39" s="9">
        <v>220</v>
      </c>
      <c r="D39" s="9">
        <f>+VLOOKUP(B39&amp;"_"&amp;C39,'DECRETOS PNCP'!A:F,5,0)</f>
        <v>44.463999999999999</v>
      </c>
      <c r="E39" s="9" t="s">
        <v>1194</v>
      </c>
      <c r="F39" s="9">
        <v>13</v>
      </c>
      <c r="G39" s="9" t="str">
        <f>+'DECRETOS PNCP'!$B$2</f>
        <v>4T-2026</v>
      </c>
      <c r="H39" s="9">
        <v>0</v>
      </c>
      <c r="I39" s="14" t="str">
        <f>+'PMG(D) segun remuneracion'!$K$1</f>
        <v>01-09-2026</v>
      </c>
      <c r="J39" s="14" t="str">
        <f>+'PMG(D) segun remuneracion'!$K$2</f>
        <v>30-09-2026</v>
      </c>
      <c r="K39" s="9">
        <f>+'PMG(D) segun remuneracion'!$K$3</f>
        <v>2</v>
      </c>
      <c r="L39" s="9">
        <f>+'PMG(D) segun remuneracion'!$K$4</f>
        <v>1</v>
      </c>
      <c r="M39" s="9">
        <f t="shared" si="1"/>
        <v>1</v>
      </c>
      <c r="N39" s="9" t="str">
        <f>+Tabla3[[#This Row],[Barra Balance]]&amp;"_"&amp;Tabla3[[#This Row],[Tensión Balance]]</f>
        <v>RANGUILI_13</v>
      </c>
      <c r="S39" t="s">
        <v>34</v>
      </c>
      <c r="T39" t="s">
        <v>12</v>
      </c>
    </row>
    <row r="40" spans="1:20">
      <c r="A40" s="9">
        <v>15</v>
      </c>
      <c r="B40" s="9" t="s">
        <v>248</v>
      </c>
      <c r="C40" s="9">
        <v>220</v>
      </c>
      <c r="D40" s="9">
        <f>+VLOOKUP(B40&amp;"_"&amp;C40,'DECRETOS PNCP'!A:F,5,0)</f>
        <v>45.99</v>
      </c>
      <c r="E40" s="9" t="s">
        <v>525</v>
      </c>
      <c r="F40" s="9">
        <v>13</v>
      </c>
      <c r="G40" s="9" t="str">
        <f>+'DECRETOS PNCP'!$B$2</f>
        <v>4T-2026</v>
      </c>
      <c r="H40" s="9">
        <v>0</v>
      </c>
      <c r="I40" s="14" t="str">
        <f>+'PMG(D) segun remuneracion'!$K$1</f>
        <v>01-09-2026</v>
      </c>
      <c r="J40" s="14" t="str">
        <f>+'PMG(D) segun remuneracion'!$K$2</f>
        <v>30-09-2026</v>
      </c>
      <c r="K40" s="9">
        <f>+'PMG(D) segun remuneracion'!$K$3</f>
        <v>2</v>
      </c>
      <c r="L40" s="9">
        <f>+'PMG(D) segun remuneracion'!$K$4</f>
        <v>1</v>
      </c>
      <c r="M40" s="9">
        <f t="shared" si="1"/>
        <v>1</v>
      </c>
      <c r="N40" s="9" t="str">
        <f>+Tabla3[[#This Row],[Barra Balance]]&amp;"_"&amp;Tabla3[[#This Row],[Tensión Balance]]</f>
        <v>HUALTE_13</v>
      </c>
      <c r="S40" t="s">
        <v>35</v>
      </c>
      <c r="T40" t="s">
        <v>181</v>
      </c>
    </row>
    <row r="41" spans="1:20">
      <c r="A41" s="9">
        <v>15</v>
      </c>
      <c r="B41" s="9" t="s">
        <v>151</v>
      </c>
      <c r="C41" s="9">
        <v>220</v>
      </c>
      <c r="D41" s="9">
        <f>+VLOOKUP(B41&amp;"_"&amp;C41,'DECRETOS PNCP'!A:F,5,0)</f>
        <v>48.853000000000002</v>
      </c>
      <c r="E41" s="9" t="s">
        <v>747</v>
      </c>
      <c r="F41" s="9">
        <v>13</v>
      </c>
      <c r="G41" s="9" t="str">
        <f>+'DECRETOS PNCP'!$B$2</f>
        <v>4T-2026</v>
      </c>
      <c r="H41" s="9">
        <v>0</v>
      </c>
      <c r="I41" s="14" t="str">
        <f>+'PMG(D) segun remuneracion'!$K$1</f>
        <v>01-09-2026</v>
      </c>
      <c r="J41" s="14" t="str">
        <f>+'PMG(D) segun remuneracion'!$K$2</f>
        <v>30-09-2026</v>
      </c>
      <c r="K41" s="9">
        <f>+'PMG(D) segun remuneracion'!$K$3</f>
        <v>2</v>
      </c>
      <c r="L41" s="9">
        <f>+'PMG(D) segun remuneracion'!$K$4</f>
        <v>1</v>
      </c>
      <c r="M41" s="9">
        <f t="shared" si="1"/>
        <v>1</v>
      </c>
      <c r="N41" s="9" t="str">
        <f>+Tabla3[[#This Row],[Barra Balance]]&amp;"_"&amp;Tabla3[[#This Row],[Tensión Balance]]</f>
        <v>LOS_DOMINICOS_13</v>
      </c>
      <c r="S41" t="s">
        <v>37</v>
      </c>
      <c r="T41" t="s">
        <v>181</v>
      </c>
    </row>
    <row r="42" spans="1:20">
      <c r="A42" s="9">
        <v>15</v>
      </c>
      <c r="B42" s="9" t="s">
        <v>1197</v>
      </c>
      <c r="C42" s="9">
        <v>220</v>
      </c>
      <c r="D42" s="9">
        <f>+VLOOKUP(B42&amp;"_"&amp;C42,'DECRETOS PNCP'!A:F,5,0)</f>
        <v>49.04</v>
      </c>
      <c r="E42" s="9" t="s">
        <v>644</v>
      </c>
      <c r="F42" s="9">
        <v>13</v>
      </c>
      <c r="G42" s="9" t="str">
        <f>+'DECRETOS PNCP'!$B$2</f>
        <v>4T-2026</v>
      </c>
      <c r="H42" s="9">
        <v>0</v>
      </c>
      <c r="I42" s="14" t="str">
        <f>+'PMG(D) segun remuneracion'!$K$1</f>
        <v>01-09-2026</v>
      </c>
      <c r="J42" s="14" t="str">
        <f>+'PMG(D) segun remuneracion'!$K$2</f>
        <v>30-09-2026</v>
      </c>
      <c r="K42" s="9">
        <f>+'PMG(D) segun remuneracion'!$K$3</f>
        <v>2</v>
      </c>
      <c r="L42" s="9">
        <f>+'PMG(D) segun remuneracion'!$K$4</f>
        <v>1</v>
      </c>
      <c r="M42" s="9">
        <f t="shared" si="1"/>
        <v>1</v>
      </c>
      <c r="N42" s="9" t="str">
        <f>+Tabla3[[#This Row],[Barra Balance]]&amp;"_"&amp;Tabla3[[#This Row],[Tensión Balance]]</f>
        <v>LAMANGA_13</v>
      </c>
      <c r="S42" t="s">
        <v>38</v>
      </c>
      <c r="T42" t="s">
        <v>1198</v>
      </c>
    </row>
    <row r="43" spans="1:20">
      <c r="A43" s="9">
        <v>15</v>
      </c>
      <c r="B43" s="9" t="s">
        <v>911</v>
      </c>
      <c r="C43" s="9">
        <v>220</v>
      </c>
      <c r="D43" s="9">
        <f>+VLOOKUP(B43&amp;"_"&amp;C43,'DECRETOS PNCP'!A:F,5,0)</f>
        <v>51.460999999999999</v>
      </c>
      <c r="E43" s="9" t="s">
        <v>1008</v>
      </c>
      <c r="F43" s="9">
        <v>13</v>
      </c>
      <c r="G43" s="9" t="str">
        <f>+'DECRETOS PNCP'!$B$2</f>
        <v>4T-2026</v>
      </c>
      <c r="H43" s="9">
        <v>0</v>
      </c>
      <c r="I43" s="14" t="str">
        <f>+'PMG(D) segun remuneracion'!$K$1</f>
        <v>01-09-2026</v>
      </c>
      <c r="J43" s="14" t="str">
        <f>+'PMG(D) segun remuneracion'!$K$2</f>
        <v>30-09-2026</v>
      </c>
      <c r="K43" s="9">
        <f>+'PMG(D) segun remuneracion'!$K$3</f>
        <v>2</v>
      </c>
      <c r="L43" s="9">
        <f>+'PMG(D) segun remuneracion'!$K$4</f>
        <v>1</v>
      </c>
      <c r="M43" s="9">
        <f t="shared" si="1"/>
        <v>1</v>
      </c>
      <c r="N43" s="9" t="str">
        <f>+Tabla3[[#This Row],[Barra Balance]]&amp;"_"&amp;Tabla3[[#This Row],[Tensión Balance]]</f>
        <v>PANQUEHUE_13</v>
      </c>
      <c r="S43" t="s">
        <v>40</v>
      </c>
      <c r="T43" t="s">
        <v>1198</v>
      </c>
    </row>
    <row r="44" spans="1:20">
      <c r="A44" s="9">
        <v>15</v>
      </c>
      <c r="B44" s="9" t="s">
        <v>635</v>
      </c>
      <c r="C44" s="9">
        <v>220</v>
      </c>
      <c r="D44" s="9">
        <f>+VLOOKUP(B44&amp;"_"&amp;C44,'DECRETOS PNCP'!A:F,5,0)</f>
        <v>47.165999999999997</v>
      </c>
      <c r="E44" s="9" t="s">
        <v>1038</v>
      </c>
      <c r="F44" s="9">
        <v>13</v>
      </c>
      <c r="G44" s="9" t="str">
        <f>+'DECRETOS PNCP'!$B$2</f>
        <v>4T-2026</v>
      </c>
      <c r="H44" s="9">
        <v>0</v>
      </c>
      <c r="I44" s="14" t="str">
        <f>+'PMG(D) segun remuneracion'!$K$1</f>
        <v>01-09-2026</v>
      </c>
      <c r="J44" s="14" t="str">
        <f>+'PMG(D) segun remuneracion'!$K$2</f>
        <v>30-09-2026</v>
      </c>
      <c r="K44" s="9">
        <f>+'PMG(D) segun remuneracion'!$K$3</f>
        <v>2</v>
      </c>
      <c r="L44" s="9">
        <f>+'PMG(D) segun remuneracion'!$K$4</f>
        <v>1</v>
      </c>
      <c r="M44" s="9">
        <f t="shared" si="1"/>
        <v>1</v>
      </c>
      <c r="N44" s="9" t="str">
        <f>+Tabla3[[#This Row],[Barra Balance]]&amp;"_"&amp;Tabla3[[#This Row],[Tensión Balance]]</f>
        <v>PENCO_13</v>
      </c>
      <c r="S44" t="s">
        <v>42</v>
      </c>
      <c r="T44" t="s">
        <v>12</v>
      </c>
    </row>
    <row r="45" spans="1:20">
      <c r="A45" s="9">
        <v>15</v>
      </c>
      <c r="B45" s="9" t="s">
        <v>248</v>
      </c>
      <c r="C45" s="9">
        <v>220</v>
      </c>
      <c r="D45" s="9">
        <f>+VLOOKUP(B45&amp;"_"&amp;C45,'DECRETOS PNCP'!A:F,5,0)</f>
        <v>45.99</v>
      </c>
      <c r="E45" s="9" t="s">
        <v>1056</v>
      </c>
      <c r="F45" s="9">
        <v>23</v>
      </c>
      <c r="G45" s="9" t="str">
        <f>+'DECRETOS PNCP'!$B$2</f>
        <v>4T-2026</v>
      </c>
      <c r="H45" s="9">
        <v>0</v>
      </c>
      <c r="I45" s="14" t="str">
        <f>+'PMG(D) segun remuneracion'!$K$1</f>
        <v>01-09-2026</v>
      </c>
      <c r="J45" s="14" t="str">
        <f>+'PMG(D) segun remuneracion'!$K$2</f>
        <v>30-09-2026</v>
      </c>
      <c r="K45" s="9">
        <f>+'PMG(D) segun remuneracion'!$K$3</f>
        <v>2</v>
      </c>
      <c r="L45" s="9">
        <f>+'PMG(D) segun remuneracion'!$K$4</f>
        <v>1</v>
      </c>
      <c r="M45" s="9">
        <f t="shared" si="1"/>
        <v>1</v>
      </c>
      <c r="N45" s="9" t="str">
        <f>+Tabla3[[#This Row],[Barra Balance]]&amp;"_"&amp;Tabla3[[#This Row],[Tensión Balance]]</f>
        <v>PICOLTUE_23</v>
      </c>
      <c r="S45" t="s">
        <v>43</v>
      </c>
      <c r="T45" t="s">
        <v>1152</v>
      </c>
    </row>
    <row r="46" spans="1:20">
      <c r="A46" s="9">
        <v>15</v>
      </c>
      <c r="B46" s="9" t="s">
        <v>795</v>
      </c>
      <c r="C46" s="9">
        <v>220</v>
      </c>
      <c r="D46" s="9">
        <f>+VLOOKUP(B46&amp;"_"&amp;C46,'DECRETOS PNCP'!A:F,5,0)</f>
        <v>50.423999999999999</v>
      </c>
      <c r="E46" s="9" t="s">
        <v>1423</v>
      </c>
      <c r="F46" s="9">
        <v>110</v>
      </c>
      <c r="G46" s="9" t="str">
        <f>+'DECRETOS PNCP'!$B$2</f>
        <v>4T-2026</v>
      </c>
      <c r="H46" s="9">
        <v>0</v>
      </c>
      <c r="I46" s="14" t="str">
        <f>+'PMG(D) segun remuneracion'!$K$1</f>
        <v>01-09-2026</v>
      </c>
      <c r="J46" s="14" t="str">
        <f>+'PMG(D) segun remuneracion'!$K$2</f>
        <v>30-09-2026</v>
      </c>
      <c r="K46" s="9">
        <f>+'PMG(D) segun remuneracion'!$K$3</f>
        <v>2</v>
      </c>
      <c r="L46" s="9">
        <f>+'PMG(D) segun remuneracion'!$K$4</f>
        <v>1</v>
      </c>
      <c r="M46" s="9">
        <f t="shared" si="1"/>
        <v>1</v>
      </c>
      <c r="N46" s="9" t="str">
        <f>+Tabla3[[#This Row],[Barra Balance]]&amp;"_"&amp;Tabla3[[#This Row],[Tensión Balance]]</f>
        <v>TAP_RIOHUASCO_110</v>
      </c>
      <c r="S46" t="s">
        <v>44</v>
      </c>
      <c r="T46" t="s">
        <v>1152</v>
      </c>
    </row>
    <row r="47" spans="1:20">
      <c r="A47" s="9">
        <v>15</v>
      </c>
      <c r="B47" s="9" t="s">
        <v>151</v>
      </c>
      <c r="C47" s="9">
        <v>220</v>
      </c>
      <c r="D47" s="9">
        <f>+VLOOKUP(B47&amp;"_"&amp;C47,'DECRETOS PNCP'!A:F,5,0)</f>
        <v>48.853000000000002</v>
      </c>
      <c r="E47" s="9" t="s">
        <v>1090</v>
      </c>
      <c r="F47" s="9">
        <v>23</v>
      </c>
      <c r="G47" s="9" t="str">
        <f>+'DECRETOS PNCP'!$B$2</f>
        <v>4T-2026</v>
      </c>
      <c r="H47" s="9">
        <v>0</v>
      </c>
      <c r="I47" s="14" t="str">
        <f>+'PMG(D) segun remuneracion'!$K$1</f>
        <v>01-09-2026</v>
      </c>
      <c r="J47" s="14" t="str">
        <f>+'PMG(D) segun remuneracion'!$K$2</f>
        <v>30-09-2026</v>
      </c>
      <c r="K47" s="9">
        <f>+'PMG(D) segun remuneracion'!$K$3</f>
        <v>2</v>
      </c>
      <c r="L47" s="9">
        <f>+'PMG(D) segun remuneracion'!$K$4</f>
        <v>1</v>
      </c>
      <c r="M47" s="9">
        <f t="shared" si="1"/>
        <v>1</v>
      </c>
      <c r="N47" s="9" t="str">
        <f>+Tabla3[[#This Row],[Barra Balance]]&amp;"_"&amp;Tabla3[[#This Row],[Tensión Balance]]</f>
        <v>POLPAICO_23</v>
      </c>
      <c r="S47" t="s">
        <v>46</v>
      </c>
      <c r="T47" t="s">
        <v>796</v>
      </c>
    </row>
    <row r="48" spans="1:20">
      <c r="A48" s="9">
        <v>15</v>
      </c>
      <c r="B48" s="9" t="s">
        <v>1197</v>
      </c>
      <c r="C48" s="9">
        <v>220</v>
      </c>
      <c r="D48" s="9">
        <f>+VLOOKUP(B48&amp;"_"&amp;C48,'DECRETOS PNCP'!A:F,5,0)</f>
        <v>49.04</v>
      </c>
      <c r="E48" s="9" t="s">
        <v>1094</v>
      </c>
      <c r="F48" s="9">
        <v>23</v>
      </c>
      <c r="G48" s="9" t="str">
        <f>+'DECRETOS PNCP'!$B$2</f>
        <v>4T-2026</v>
      </c>
      <c r="H48" s="9">
        <v>0</v>
      </c>
      <c r="I48" s="14" t="str">
        <f>+'PMG(D) segun remuneracion'!$K$1</f>
        <v>01-09-2026</v>
      </c>
      <c r="J48" s="14" t="str">
        <f>+'PMG(D) segun remuneracion'!$K$2</f>
        <v>30-09-2026</v>
      </c>
      <c r="K48" s="9">
        <f>+'PMG(D) segun remuneracion'!$K$3</f>
        <v>2</v>
      </c>
      <c r="L48" s="9">
        <f>+'PMG(D) segun remuneracion'!$K$4</f>
        <v>1</v>
      </c>
      <c r="M48" s="9">
        <f t="shared" si="1"/>
        <v>1</v>
      </c>
      <c r="N48" s="9" t="str">
        <f>+Tabla3[[#This Row],[Barra Balance]]&amp;"_"&amp;Tabla3[[#This Row],[Tensión Balance]]</f>
        <v>PORTEZUELO_23</v>
      </c>
      <c r="S48" t="s">
        <v>47</v>
      </c>
      <c r="T48" t="s">
        <v>1198</v>
      </c>
    </row>
    <row r="49" spans="1:20">
      <c r="A49" s="9">
        <v>15</v>
      </c>
      <c r="B49" s="9" t="s">
        <v>60</v>
      </c>
      <c r="C49" s="9">
        <v>220</v>
      </c>
      <c r="D49" s="9">
        <f>+VLOOKUP(B49&amp;"_"&amp;C49,'DECRETOS PNCP'!A:F,5,0)</f>
        <v>45.817</v>
      </c>
      <c r="E49" s="9" t="s">
        <v>1215</v>
      </c>
      <c r="F49" s="9">
        <v>13</v>
      </c>
      <c r="G49" s="9" t="str">
        <f>+'DECRETOS PNCP'!$B$2</f>
        <v>4T-2026</v>
      </c>
      <c r="H49" s="9">
        <v>0</v>
      </c>
      <c r="I49" s="14" t="str">
        <f>+'PMG(D) segun remuneracion'!$K$1</f>
        <v>01-09-2026</v>
      </c>
      <c r="J49" s="14" t="str">
        <f>+'PMG(D) segun remuneracion'!$K$2</f>
        <v>30-09-2026</v>
      </c>
      <c r="K49" s="9">
        <f>+'PMG(D) segun remuneracion'!$K$3</f>
        <v>2</v>
      </c>
      <c r="L49" s="9">
        <f>+'PMG(D) segun remuneracion'!$K$4</f>
        <v>1</v>
      </c>
      <c r="M49" s="9">
        <f t="shared" si="1"/>
        <v>1</v>
      </c>
      <c r="N49" s="9" t="str">
        <f>+Tabla3[[#This Row],[Barra Balance]]&amp;"_"&amp;Tabla3[[#This Row],[Tensión Balance]]</f>
        <v>RETIRO_13</v>
      </c>
      <c r="S49" t="s">
        <v>49</v>
      </c>
      <c r="T49" t="s">
        <v>1198</v>
      </c>
    </row>
    <row r="50" spans="1:20">
      <c r="A50" s="9">
        <v>15</v>
      </c>
      <c r="B50" s="9" t="s">
        <v>182</v>
      </c>
      <c r="C50" s="9">
        <v>220</v>
      </c>
      <c r="D50" s="9">
        <f>+VLOOKUP(B50&amp;"_"&amp;C50,'DECRETOS PNCP'!A:F,5,0)</f>
        <v>50.606000000000002</v>
      </c>
      <c r="E50" s="9" t="s">
        <v>1507</v>
      </c>
      <c r="F50" s="9">
        <v>15</v>
      </c>
      <c r="G50" s="9" t="str">
        <f>+'DECRETOS PNCP'!$B$2</f>
        <v>4T-2026</v>
      </c>
      <c r="H50" s="9">
        <v>0</v>
      </c>
      <c r="I50" s="14" t="str">
        <f>+'PMG(D) segun remuneracion'!$K$1</f>
        <v>01-09-2026</v>
      </c>
      <c r="J50" s="14" t="str">
        <f>+'PMG(D) segun remuneracion'!$K$2</f>
        <v>30-09-2026</v>
      </c>
      <c r="K50" s="9">
        <f>+'PMG(D) segun remuneracion'!$K$3</f>
        <v>2</v>
      </c>
      <c r="L50" s="9">
        <f>+'PMG(D) segun remuneracion'!$K$4</f>
        <v>1</v>
      </c>
      <c r="M50" s="9">
        <f t="shared" si="1"/>
        <v>1</v>
      </c>
      <c r="N50" s="9" t="str">
        <f>+Tabla3[[#This Row],[Barra Balance]]&amp;"_"&amp;Tabla3[[#This Row],[Tensión Balance]]</f>
        <v>TUNICHE_15</v>
      </c>
      <c r="S50" t="s">
        <v>50</v>
      </c>
      <c r="T50" t="s">
        <v>196</v>
      </c>
    </row>
    <row r="51" spans="1:20">
      <c r="A51" s="9">
        <v>15</v>
      </c>
      <c r="B51" s="9" t="s">
        <v>548</v>
      </c>
      <c r="C51" s="9">
        <v>220</v>
      </c>
      <c r="D51" s="9">
        <f>+VLOOKUP(B51&amp;"_"&amp;C51,'DECRETOS PNCP'!A:F,5,0)</f>
        <v>44.463999999999999</v>
      </c>
      <c r="E51" s="9" t="s">
        <v>739</v>
      </c>
      <c r="F51" s="9">
        <v>13</v>
      </c>
      <c r="G51" s="9" t="str">
        <f>+'DECRETOS PNCP'!$B$2</f>
        <v>4T-2026</v>
      </c>
      <c r="H51" s="9">
        <v>0</v>
      </c>
      <c r="I51" s="14" t="str">
        <f>+'PMG(D) segun remuneracion'!$K$1</f>
        <v>01-09-2026</v>
      </c>
      <c r="J51" s="14" t="str">
        <f>+'PMG(D) segun remuneracion'!$K$2</f>
        <v>30-09-2026</v>
      </c>
      <c r="K51" s="9">
        <f>+'PMG(D) segun remuneracion'!$K$3</f>
        <v>2</v>
      </c>
      <c r="L51" s="9">
        <f>+'PMG(D) segun remuneracion'!$K$4</f>
        <v>1</v>
      </c>
      <c r="M51" s="9">
        <f t="shared" si="1"/>
        <v>1</v>
      </c>
      <c r="N51" s="9" t="str">
        <f>+Tabla3[[#This Row],[Barra Balance]]&amp;"_"&amp;Tabla3[[#This Row],[Tensión Balance]]</f>
        <v>LONGAVI_13</v>
      </c>
      <c r="S51" t="s">
        <v>51</v>
      </c>
      <c r="T51" t="s">
        <v>152</v>
      </c>
    </row>
    <row r="52" spans="1:20">
      <c r="A52" s="9">
        <v>15</v>
      </c>
      <c r="B52" s="9" t="s">
        <v>548</v>
      </c>
      <c r="C52" s="9">
        <v>220</v>
      </c>
      <c r="D52" s="9">
        <f>+VLOOKUP(B52&amp;"_"&amp;C52,'DECRETOS PNCP'!A:F,5,0)</f>
        <v>44.463999999999999</v>
      </c>
      <c r="E52" s="9" t="s">
        <v>1023</v>
      </c>
      <c r="F52" s="9">
        <v>13</v>
      </c>
      <c r="G52" s="9" t="str">
        <f>+'DECRETOS PNCP'!$B$2</f>
        <v>4T-2026</v>
      </c>
      <c r="H52" s="9">
        <v>0</v>
      </c>
      <c r="I52" s="14" t="str">
        <f>+'PMG(D) segun remuneracion'!$K$1</f>
        <v>01-09-2026</v>
      </c>
      <c r="J52" s="14" t="str">
        <f>+'PMG(D) segun remuneracion'!$K$2</f>
        <v>30-09-2026</v>
      </c>
      <c r="K52" s="9">
        <f>+'PMG(D) segun remuneracion'!$K$3</f>
        <v>2</v>
      </c>
      <c r="L52" s="9">
        <f>+'PMG(D) segun remuneracion'!$K$4</f>
        <v>1</v>
      </c>
      <c r="M52" s="9">
        <f t="shared" si="1"/>
        <v>1</v>
      </c>
      <c r="N52" s="9" t="str">
        <f>+Tabla3[[#This Row],[Barra Balance]]&amp;"_"&amp;Tabla3[[#This Row],[Tensión Balance]]</f>
        <v>PARRONAL_13</v>
      </c>
      <c r="S52" t="s">
        <v>52</v>
      </c>
      <c r="T52" t="s">
        <v>152</v>
      </c>
    </row>
    <row r="53" spans="1:20">
      <c r="A53" s="9">
        <v>15</v>
      </c>
      <c r="B53" s="9" t="s">
        <v>218</v>
      </c>
      <c r="C53" s="9">
        <v>220</v>
      </c>
      <c r="D53" s="9">
        <f>+VLOOKUP(B53&amp;"_"&amp;C53,'DECRETOS PNCP'!A:F,5,0)</f>
        <v>42.478000000000002</v>
      </c>
      <c r="E53" s="9" t="s">
        <v>365</v>
      </c>
      <c r="F53" s="9">
        <v>23</v>
      </c>
      <c r="G53" s="9" t="str">
        <f>+'DECRETOS PNCP'!$B$2</f>
        <v>4T-2026</v>
      </c>
      <c r="H53" s="9">
        <v>0</v>
      </c>
      <c r="I53" s="14" t="str">
        <f>+'PMG(D) segun remuneracion'!$K$1</f>
        <v>01-09-2026</v>
      </c>
      <c r="J53" s="14" t="str">
        <f>+'PMG(D) segun remuneracion'!$K$2</f>
        <v>30-09-2026</v>
      </c>
      <c r="K53" s="9">
        <f>+'PMG(D) segun remuneracion'!$K$3</f>
        <v>2</v>
      </c>
      <c r="L53" s="9">
        <f>+'PMG(D) segun remuneracion'!$K$4</f>
        <v>1</v>
      </c>
      <c r="M53" s="9">
        <f t="shared" si="1"/>
        <v>1</v>
      </c>
      <c r="N53" s="9" t="str">
        <f>+Tabla3[[#This Row],[Barra Balance]]&amp;"_"&amp;Tabla3[[#This Row],[Tensión Balance]]</f>
        <v>CUNCO_23</v>
      </c>
      <c r="S53" t="s">
        <v>53</v>
      </c>
      <c r="T53" t="s">
        <v>850</v>
      </c>
    </row>
    <row r="54" spans="1:20">
      <c r="A54" s="9">
        <v>15</v>
      </c>
      <c r="B54" s="9" t="s">
        <v>1187</v>
      </c>
      <c r="C54" s="9">
        <v>220</v>
      </c>
      <c r="D54" s="9">
        <f>+VLOOKUP(B54&amp;"_"&amp;C54,'DECRETOS PNCP'!A:F,5,0)</f>
        <v>48.460999999999999</v>
      </c>
      <c r="E54" s="9" t="s">
        <v>31</v>
      </c>
      <c r="F54" s="9">
        <v>13</v>
      </c>
      <c r="G54" s="9" t="str">
        <f>+'DECRETOS PNCP'!$B$2</f>
        <v>4T-2026</v>
      </c>
      <c r="H54" s="9">
        <v>0</v>
      </c>
      <c r="I54" s="14" t="str">
        <f>+'PMG(D) segun remuneracion'!$K$1</f>
        <v>01-09-2026</v>
      </c>
      <c r="J54" s="14" t="str">
        <f>+'PMG(D) segun remuneracion'!$K$2</f>
        <v>30-09-2026</v>
      </c>
      <c r="K54" s="9">
        <f>+'PMG(D) segun remuneracion'!$K$3</f>
        <v>2</v>
      </c>
      <c r="L54" s="9">
        <f>+'PMG(D) segun remuneracion'!$K$4</f>
        <v>1</v>
      </c>
      <c r="M54" s="9">
        <f t="shared" si="1"/>
        <v>1</v>
      </c>
      <c r="N54" s="9" t="str">
        <f>+Tabla3[[#This Row],[Barra Balance]]&amp;"_"&amp;Tabla3[[#This Row],[Tensión Balance]]</f>
        <v>AIHUAPI_13</v>
      </c>
      <c r="S54" t="s">
        <v>54</v>
      </c>
      <c r="T54" t="s">
        <v>850</v>
      </c>
    </row>
    <row r="55" spans="1:20">
      <c r="A55" s="9">
        <v>15</v>
      </c>
      <c r="B55" s="9" t="s">
        <v>182</v>
      </c>
      <c r="C55" s="9">
        <v>220</v>
      </c>
      <c r="D55" s="9">
        <f>+VLOOKUP(B55&amp;"_"&amp;C55,'DECRETOS PNCP'!A:F,5,0)</f>
        <v>50.606000000000002</v>
      </c>
      <c r="E55" s="9" t="s">
        <v>1286</v>
      </c>
      <c r="F55" s="9">
        <v>13</v>
      </c>
      <c r="G55" s="9" t="str">
        <f>+'DECRETOS PNCP'!$B$2</f>
        <v>4T-2026</v>
      </c>
      <c r="H55" s="9">
        <v>0</v>
      </c>
      <c r="I55" s="14" t="str">
        <f>+'PMG(D) segun remuneracion'!$K$1</f>
        <v>01-09-2026</v>
      </c>
      <c r="J55" s="14" t="str">
        <f>+'PMG(D) segun remuneracion'!$K$2</f>
        <v>30-09-2026</v>
      </c>
      <c r="K55" s="9">
        <f>+'PMG(D) segun remuneracion'!$K$3</f>
        <v>2</v>
      </c>
      <c r="L55" s="9">
        <f>+'PMG(D) segun remuneracion'!$K$4</f>
        <v>1</v>
      </c>
      <c r="M55" s="9">
        <f t="shared" si="1"/>
        <v>1</v>
      </c>
      <c r="N55" s="9" t="str">
        <f>+Tabla3[[#This Row],[Barra Balance]]&amp;"_"&amp;Tabla3[[#This Row],[Tensión Balance]]</f>
        <v>S.VICENTETT_13</v>
      </c>
      <c r="S55" t="s">
        <v>55</v>
      </c>
      <c r="T55" t="s">
        <v>796</v>
      </c>
    </row>
    <row r="56" spans="1:20">
      <c r="A56" s="9">
        <v>15</v>
      </c>
      <c r="B56" s="9" t="s">
        <v>789</v>
      </c>
      <c r="C56" s="9">
        <v>220</v>
      </c>
      <c r="D56" s="9">
        <f>+VLOOKUP(B56&amp;"_"&amp;C56,'DECRETOS PNCP'!A:F,5,0)</f>
        <v>51.095999999999997</v>
      </c>
      <c r="E56" s="9" t="s">
        <v>1071</v>
      </c>
      <c r="F56" s="9">
        <v>13</v>
      </c>
      <c r="G56" s="9" t="str">
        <f>+'DECRETOS PNCP'!$B$2</f>
        <v>4T-2026</v>
      </c>
      <c r="H56" s="9">
        <v>0</v>
      </c>
      <c r="I56" s="14" t="str">
        <f>+'PMG(D) segun remuneracion'!$K$1</f>
        <v>01-09-2026</v>
      </c>
      <c r="J56" s="14" t="str">
        <f>+'PMG(D) segun remuneracion'!$K$2</f>
        <v>30-09-2026</v>
      </c>
      <c r="K56" s="9">
        <f>+'PMG(D) segun remuneracion'!$K$3</f>
        <v>2</v>
      </c>
      <c r="L56" s="9">
        <f>+'PMG(D) segun remuneracion'!$K$4</f>
        <v>1</v>
      </c>
      <c r="M56" s="9">
        <f t="shared" si="1"/>
        <v>1</v>
      </c>
      <c r="N56" s="9" t="str">
        <f>+Tabla3[[#This Row],[Barra Balance]]&amp;"_"&amp;Tabla3[[#This Row],[Tensión Balance]]</f>
        <v>PIRQUE_13</v>
      </c>
      <c r="S56" t="s">
        <v>56</v>
      </c>
      <c r="T56" t="s">
        <v>796</v>
      </c>
    </row>
    <row r="57" spans="1:20">
      <c r="A57" s="9">
        <v>15</v>
      </c>
      <c r="B57" s="9" t="s">
        <v>548</v>
      </c>
      <c r="C57" s="9">
        <v>220</v>
      </c>
      <c r="D57" s="9">
        <f>+VLOOKUP(B57&amp;"_"&amp;C57,'DECRETOS PNCP'!A:F,5,0)</f>
        <v>44.463999999999999</v>
      </c>
      <c r="E57" s="9" t="s">
        <v>1523</v>
      </c>
      <c r="F57" s="9">
        <v>13</v>
      </c>
      <c r="G57" s="9" t="str">
        <f>+'DECRETOS PNCP'!$B$2</f>
        <v>4T-2026</v>
      </c>
      <c r="H57" s="9">
        <v>0</v>
      </c>
      <c r="I57" s="14" t="str">
        <f>+'PMG(D) segun remuneracion'!$K$1</f>
        <v>01-09-2026</v>
      </c>
      <c r="J57" s="14" t="str">
        <f>+'PMG(D) segun remuneracion'!$K$2</f>
        <v>30-09-2026</v>
      </c>
      <c r="K57" s="9">
        <f>+'PMG(D) segun remuneracion'!$K$3</f>
        <v>2</v>
      </c>
      <c r="L57" s="9">
        <f>+'PMG(D) segun remuneracion'!$K$4</f>
        <v>1</v>
      </c>
      <c r="M57" s="9">
        <f t="shared" si="1"/>
        <v>1</v>
      </c>
      <c r="N57" s="9" t="str">
        <f>+Tabla3[[#This Row],[Barra Balance]]&amp;"_"&amp;Tabla3[[#This Row],[Tensión Balance]]</f>
        <v>V.PRAT_13</v>
      </c>
      <c r="S57" t="s">
        <v>57</v>
      </c>
      <c r="T57" t="s">
        <v>101</v>
      </c>
    </row>
    <row r="58" spans="1:20">
      <c r="A58" s="9">
        <v>15</v>
      </c>
      <c r="B58" s="9" t="s">
        <v>948</v>
      </c>
      <c r="C58" s="9">
        <v>220</v>
      </c>
      <c r="D58" s="9">
        <f>+VLOOKUP(B58&amp;"_"&amp;C58,'DECRETOS PNCP'!A:F,5,0)</f>
        <v>51.737000000000002</v>
      </c>
      <c r="E58" s="9" t="s">
        <v>825</v>
      </c>
      <c r="F58" s="9">
        <v>23</v>
      </c>
      <c r="G58" s="9" t="str">
        <f>+'DECRETOS PNCP'!$B$2</f>
        <v>4T-2026</v>
      </c>
      <c r="H58" s="9">
        <v>0</v>
      </c>
      <c r="I58" s="14" t="str">
        <f>+'PMG(D) segun remuneracion'!$K$1</f>
        <v>01-09-2026</v>
      </c>
      <c r="J58" s="14" t="str">
        <f>+'PMG(D) segun remuneracion'!$K$2</f>
        <v>30-09-2026</v>
      </c>
      <c r="K58" s="9">
        <f>+'PMG(D) segun remuneracion'!$K$3</f>
        <v>2</v>
      </c>
      <c r="L58" s="9">
        <f>+'PMG(D) segun remuneracion'!$K$4</f>
        <v>1</v>
      </c>
      <c r="M58" s="9">
        <f t="shared" si="1"/>
        <v>1</v>
      </c>
      <c r="N58" s="9" t="str">
        <f>+Tabla3[[#This Row],[Barra Balance]]&amp;"_"&amp;Tabla3[[#This Row],[Tensión Balance]]</f>
        <v>MARQUESA_23</v>
      </c>
      <c r="S58" t="s">
        <v>59</v>
      </c>
      <c r="T58" t="s">
        <v>61</v>
      </c>
    </row>
    <row r="59" spans="1:20">
      <c r="A59" s="9">
        <v>15</v>
      </c>
      <c r="B59" s="9" t="s">
        <v>168</v>
      </c>
      <c r="C59" s="9">
        <v>220</v>
      </c>
      <c r="D59" s="9">
        <f>+VLOOKUP(B59&amp;"_"&amp;C59,'DECRETOS PNCP'!A:F,5,0)</f>
        <v>52.978999999999999</v>
      </c>
      <c r="E59" s="9" t="s">
        <v>168</v>
      </c>
      <c r="F59" s="9">
        <v>23</v>
      </c>
      <c r="G59" s="9" t="str">
        <f>+'DECRETOS PNCP'!$B$2</f>
        <v>4T-2026</v>
      </c>
      <c r="H59" s="9">
        <v>0</v>
      </c>
      <c r="I59" s="14" t="str">
        <f>+'PMG(D) segun remuneracion'!$K$1</f>
        <v>01-09-2026</v>
      </c>
      <c r="J59" s="14" t="str">
        <f>+'PMG(D) segun remuneracion'!$K$2</f>
        <v>30-09-2026</v>
      </c>
      <c r="K59" s="9">
        <f>+'PMG(D) segun remuneracion'!$K$3</f>
        <v>2</v>
      </c>
      <c r="L59" s="9">
        <f>+'PMG(D) segun remuneracion'!$K$4</f>
        <v>1</v>
      </c>
      <c r="M59" s="9">
        <f t="shared" si="1"/>
        <v>1</v>
      </c>
      <c r="N59" s="9" t="str">
        <f>+Tabla3[[#This Row],[Barra Balance]]&amp;"_"&amp;Tabla3[[#This Row],[Tensión Balance]]</f>
        <v>CALAMA_23</v>
      </c>
      <c r="S59" t="s">
        <v>1594</v>
      </c>
      <c r="T59" t="s">
        <v>551</v>
      </c>
    </row>
    <row r="60" spans="1:20">
      <c r="A60" s="9">
        <v>15</v>
      </c>
      <c r="B60" s="9" t="s">
        <v>195</v>
      </c>
      <c r="C60" s="9">
        <v>220</v>
      </c>
      <c r="D60" s="9">
        <f>+VLOOKUP(B60&amp;"_"&amp;C60,'DECRETOS PNCP'!A:F,5,0)</f>
        <v>51.563000000000002</v>
      </c>
      <c r="E60" s="9" t="s">
        <v>228</v>
      </c>
      <c r="F60" s="9">
        <v>13</v>
      </c>
      <c r="G60" s="9" t="str">
        <f>+'DECRETOS PNCP'!$B$2</f>
        <v>4T-2026</v>
      </c>
      <c r="H60" s="9">
        <v>0</v>
      </c>
      <c r="I60" s="14" t="str">
        <f>+'PMG(D) segun remuneracion'!$K$1</f>
        <v>01-09-2026</v>
      </c>
      <c r="J60" s="14" t="str">
        <f>+'PMG(D) segun remuneracion'!$K$2</f>
        <v>30-09-2026</v>
      </c>
      <c r="K60" s="9">
        <f>+'PMG(D) segun remuneracion'!$K$3</f>
        <v>2</v>
      </c>
      <c r="L60" s="9">
        <f>+'PMG(D) segun remuneracion'!$K$4</f>
        <v>1</v>
      </c>
      <c r="M60" s="9">
        <f t="shared" si="1"/>
        <v>1</v>
      </c>
      <c r="N60" s="9" t="str">
        <f>+Tabla3[[#This Row],[Barra Balance]]&amp;"_"&amp;Tabla3[[#This Row],[Tensión Balance]]</f>
        <v>CERRILLOS_13</v>
      </c>
      <c r="S60" t="s">
        <v>61</v>
      </c>
      <c r="T60" t="s">
        <v>61</v>
      </c>
    </row>
    <row r="61" spans="1:20">
      <c r="A61" s="9">
        <v>15</v>
      </c>
      <c r="B61" s="9" t="s">
        <v>60</v>
      </c>
      <c r="C61" s="9">
        <v>220</v>
      </c>
      <c r="D61" s="9">
        <f>+VLOOKUP(B61&amp;"_"&amp;C61,'DECRETOS PNCP'!A:F,5,0)</f>
        <v>45.817</v>
      </c>
      <c r="E61" s="9" t="s">
        <v>1253</v>
      </c>
      <c r="F61" s="9">
        <v>13</v>
      </c>
      <c r="G61" s="9" t="str">
        <f>+'DECRETOS PNCP'!$B$2</f>
        <v>4T-2026</v>
      </c>
      <c r="H61" s="9">
        <v>0</v>
      </c>
      <c r="I61" s="14" t="str">
        <f>+'PMG(D) segun remuneracion'!$K$1</f>
        <v>01-09-2026</v>
      </c>
      <c r="J61" s="14" t="str">
        <f>+'PMG(D) segun remuneracion'!$K$2</f>
        <v>30-09-2026</v>
      </c>
      <c r="K61" s="9">
        <f>+'PMG(D) segun remuneracion'!$K$3</f>
        <v>2</v>
      </c>
      <c r="L61" s="9">
        <f>+'PMG(D) segun remuneracion'!$K$4</f>
        <v>1</v>
      </c>
      <c r="M61" s="9">
        <f t="shared" si="1"/>
        <v>1</v>
      </c>
      <c r="N61" s="9" t="str">
        <f>+Tabla3[[#This Row],[Barra Balance]]&amp;"_"&amp;Tabla3[[#This Row],[Tensión Balance]]</f>
        <v>S.GREGORIO_13</v>
      </c>
      <c r="S61" t="s">
        <v>62</v>
      </c>
      <c r="T61" t="s">
        <v>61</v>
      </c>
    </row>
    <row r="62" spans="1:20">
      <c r="A62" s="9">
        <v>15</v>
      </c>
      <c r="B62" s="9" t="s">
        <v>248</v>
      </c>
      <c r="C62" s="9">
        <v>220</v>
      </c>
      <c r="D62" s="9">
        <f>+VLOOKUP(B62&amp;"_"&amp;C62,'DECRETOS PNCP'!A:F,5,0)</f>
        <v>45.99</v>
      </c>
      <c r="E62" s="9" t="s">
        <v>1501</v>
      </c>
      <c r="F62" s="9">
        <v>13</v>
      </c>
      <c r="G62" s="9" t="str">
        <f>+'DECRETOS PNCP'!$B$2</f>
        <v>4T-2026</v>
      </c>
      <c r="H62" s="9">
        <v>0</v>
      </c>
      <c r="I62" s="14" t="str">
        <f>+'PMG(D) segun remuneracion'!$K$1</f>
        <v>01-09-2026</v>
      </c>
      <c r="J62" s="14" t="str">
        <f>+'PMG(D) segun remuneracion'!$K$2</f>
        <v>30-09-2026</v>
      </c>
      <c r="K62" s="9">
        <f>+'PMG(D) segun remuneracion'!$K$3</f>
        <v>2</v>
      </c>
      <c r="L62" s="9">
        <f>+'PMG(D) segun remuneracion'!$K$4</f>
        <v>1</v>
      </c>
      <c r="M62" s="9">
        <f t="shared" si="1"/>
        <v>1</v>
      </c>
      <c r="N62" s="9" t="str">
        <f>+Tabla3[[#This Row],[Barra Balance]]&amp;"_"&amp;Tabla3[[#This Row],[Tensión Balance]]</f>
        <v>TRESESQUINAS_13</v>
      </c>
      <c r="S62" t="s">
        <v>63</v>
      </c>
      <c r="T62" t="s">
        <v>263</v>
      </c>
    </row>
    <row r="63" spans="1:20">
      <c r="A63" s="9">
        <v>15</v>
      </c>
      <c r="B63" s="9" t="s">
        <v>548</v>
      </c>
      <c r="C63" s="9">
        <v>220</v>
      </c>
      <c r="D63" s="9">
        <f>+VLOOKUP(B63&amp;"_"&amp;C63,'DECRETOS PNCP'!A:F,5,0)</f>
        <v>44.463999999999999</v>
      </c>
      <c r="E63" s="9" t="s">
        <v>1278</v>
      </c>
      <c r="F63" s="9">
        <v>13</v>
      </c>
      <c r="G63" s="9" t="str">
        <f>+'DECRETOS PNCP'!$B$2</f>
        <v>4T-2026</v>
      </c>
      <c r="H63" s="9">
        <v>0</v>
      </c>
      <c r="I63" s="14" t="str">
        <f>+'PMG(D) segun remuneracion'!$K$1</f>
        <v>01-09-2026</v>
      </c>
      <c r="J63" s="14" t="str">
        <f>+'PMG(D) segun remuneracion'!$K$2</f>
        <v>30-09-2026</v>
      </c>
      <c r="K63" s="9">
        <f>+'PMG(D) segun remuneracion'!$K$3</f>
        <v>2</v>
      </c>
      <c r="L63" s="9">
        <f>+'PMG(D) segun remuneracion'!$K$4</f>
        <v>1</v>
      </c>
      <c r="M63" s="9">
        <f t="shared" si="1"/>
        <v>1</v>
      </c>
      <c r="N63" s="9" t="str">
        <f>+Tabla3[[#This Row],[Barra Balance]]&amp;"_"&amp;Tabla3[[#This Row],[Tensión Balance]]</f>
        <v>S.RAFAEL_S_13</v>
      </c>
      <c r="S63" t="s">
        <v>64</v>
      </c>
      <c r="T63" t="s">
        <v>263</v>
      </c>
    </row>
    <row r="64" spans="1:20">
      <c r="A64" s="9">
        <v>15</v>
      </c>
      <c r="B64" s="9" t="s">
        <v>1197</v>
      </c>
      <c r="C64" s="9">
        <v>220</v>
      </c>
      <c r="D64" s="9">
        <f>+VLOOKUP(B64&amp;"_"&amp;C64,'DECRETOS PNCP'!A:F,5,0)</f>
        <v>49.04</v>
      </c>
      <c r="E64" s="9" t="s">
        <v>1131</v>
      </c>
      <c r="F64" s="9">
        <v>13</v>
      </c>
      <c r="G64" s="9" t="str">
        <f>+'DECRETOS PNCP'!$B$2</f>
        <v>4T-2026</v>
      </c>
      <c r="H64" s="9">
        <v>0</v>
      </c>
      <c r="I64" s="14" t="str">
        <f>+'PMG(D) segun remuneracion'!$K$1</f>
        <v>01-09-2026</v>
      </c>
      <c r="J64" s="14" t="str">
        <f>+'PMG(D) segun remuneracion'!$K$2</f>
        <v>30-09-2026</v>
      </c>
      <c r="K64" s="9">
        <f>+'PMG(D) segun remuneracion'!$K$3</f>
        <v>2</v>
      </c>
      <c r="L64" s="9">
        <f>+'PMG(D) segun remuneracion'!$K$4</f>
        <v>1</v>
      </c>
      <c r="M64" s="9">
        <f t="shared" si="1"/>
        <v>1</v>
      </c>
      <c r="N64" s="9" t="str">
        <f>+Tabla3[[#This Row],[Barra Balance]]&amp;"_"&amp;Tabla3[[#This Row],[Tensión Balance]]</f>
        <v>QUELENTARO_13</v>
      </c>
      <c r="S64" t="s">
        <v>65</v>
      </c>
      <c r="T64" t="s">
        <v>951</v>
      </c>
    </row>
    <row r="65" spans="1:20">
      <c r="A65" s="9">
        <v>15</v>
      </c>
      <c r="B65" s="9" t="s">
        <v>548</v>
      </c>
      <c r="C65" s="9">
        <v>220</v>
      </c>
      <c r="D65" s="9">
        <f>+VLOOKUP(B65&amp;"_"&amp;C65,'DECRETOS PNCP'!A:F,5,0)</f>
        <v>44.463999999999999</v>
      </c>
      <c r="E65" s="9" t="s">
        <v>1166</v>
      </c>
      <c r="F65" s="9">
        <v>13</v>
      </c>
      <c r="G65" s="9" t="str">
        <f>+'DECRETOS PNCP'!$B$2</f>
        <v>4T-2026</v>
      </c>
      <c r="H65" s="9">
        <v>0</v>
      </c>
      <c r="I65" s="14" t="str">
        <f>+'PMG(D) segun remuneracion'!$K$1</f>
        <v>01-09-2026</v>
      </c>
      <c r="J65" s="14" t="str">
        <f>+'PMG(D) segun remuneracion'!$K$2</f>
        <v>30-09-2026</v>
      </c>
      <c r="K65" s="9">
        <f>+'PMG(D) segun remuneracion'!$K$3</f>
        <v>2</v>
      </c>
      <c r="L65" s="9">
        <f>+'PMG(D) segun remuneracion'!$K$4</f>
        <v>1</v>
      </c>
      <c r="M65" s="9">
        <f t="shared" si="1"/>
        <v>1</v>
      </c>
      <c r="N65" s="9" t="str">
        <f>+Tabla3[[#This Row],[Barra Balance]]&amp;"_"&amp;Tabla3[[#This Row],[Tensión Balance]]</f>
        <v>QUINTA_13</v>
      </c>
      <c r="S65" t="s">
        <v>67</v>
      </c>
      <c r="T65" t="s">
        <v>951</v>
      </c>
    </row>
    <row r="66" spans="1:20">
      <c r="A66" s="9">
        <v>15</v>
      </c>
      <c r="B66" s="9" t="s">
        <v>948</v>
      </c>
      <c r="C66" s="9">
        <v>220</v>
      </c>
      <c r="D66" s="9">
        <f>+VLOOKUP(B66&amp;"_"&amp;C66,'DECRETOS PNCP'!A:F,5,0)</f>
        <v>51.737000000000002</v>
      </c>
      <c r="E66" s="9" t="s">
        <v>325</v>
      </c>
      <c r="F66" s="9">
        <v>13</v>
      </c>
      <c r="G66" s="9" t="str">
        <f>+'DECRETOS PNCP'!$B$2</f>
        <v>4T-2026</v>
      </c>
      <c r="H66" s="9">
        <v>0</v>
      </c>
      <c r="I66" s="14" t="str">
        <f>+'PMG(D) segun remuneracion'!$K$1</f>
        <v>01-09-2026</v>
      </c>
      <c r="J66" s="14" t="str">
        <f>+'PMG(D) segun remuneracion'!$K$2</f>
        <v>30-09-2026</v>
      </c>
      <c r="K66" s="9">
        <f>+'PMG(D) segun remuneracion'!$K$3</f>
        <v>2</v>
      </c>
      <c r="L66" s="9">
        <f>+'PMG(D) segun remuneracion'!$K$4</f>
        <v>1</v>
      </c>
      <c r="M66" s="9">
        <f t="shared" ref="M66:M129" si="2">+COUNTIFS(E:E,E66,F:F,F66)</f>
        <v>1</v>
      </c>
      <c r="N66" s="9" t="str">
        <f>+Tabla3[[#This Row],[Barra Balance]]&amp;"_"&amp;Tabla3[[#This Row],[Tensión Balance]]</f>
        <v>COMBARBALA_13</v>
      </c>
      <c r="S66" t="s">
        <v>68</v>
      </c>
      <c r="T66" t="s">
        <v>636</v>
      </c>
    </row>
    <row r="67" spans="1:20">
      <c r="A67" s="9">
        <v>15</v>
      </c>
      <c r="B67" s="9" t="s">
        <v>1016</v>
      </c>
      <c r="C67" s="9">
        <v>220</v>
      </c>
      <c r="D67" s="9">
        <f>+VLOOKUP(B67&amp;"_"&amp;C67,'DECRETOS PNCP'!A:F,5,0)</f>
        <v>50.25</v>
      </c>
      <c r="E67" s="9" t="s">
        <v>29</v>
      </c>
      <c r="F67" s="9">
        <v>66</v>
      </c>
      <c r="G67" s="9" t="str">
        <f>+'DECRETOS PNCP'!$B$2</f>
        <v>4T-2026</v>
      </c>
      <c r="H67" s="9">
        <v>0</v>
      </c>
      <c r="I67" s="14" t="str">
        <f>+'PMG(D) segun remuneracion'!$K$1</f>
        <v>01-09-2026</v>
      </c>
      <c r="J67" s="14" t="str">
        <f>+'PMG(D) segun remuneracion'!$K$2</f>
        <v>30-09-2026</v>
      </c>
      <c r="K67" s="9">
        <f>+'PMG(D) segun remuneracion'!$K$3</f>
        <v>2</v>
      </c>
      <c r="L67" s="9">
        <f>+'PMG(D) segun remuneracion'!$K$4</f>
        <v>1</v>
      </c>
      <c r="M67" s="9">
        <f t="shared" si="2"/>
        <v>1</v>
      </c>
      <c r="N67" s="9" t="str">
        <f>+Tabla3[[#This Row],[Barra Balance]]&amp;"_"&amp;Tabla3[[#This Row],[Tensión Balance]]</f>
        <v>AGUILA_66</v>
      </c>
      <c r="S67" t="s">
        <v>70</v>
      </c>
      <c r="T67" t="s">
        <v>636</v>
      </c>
    </row>
    <row r="68" spans="1:20">
      <c r="A68" s="9">
        <v>15</v>
      </c>
      <c r="B68" s="9" t="s">
        <v>1197</v>
      </c>
      <c r="C68" s="9">
        <v>220</v>
      </c>
      <c r="D68" s="9">
        <f>+VLOOKUP(B68&amp;"_"&amp;C68,'DECRETOS PNCP'!A:F,5,0)</f>
        <v>49.04</v>
      </c>
      <c r="E68" s="9" t="s">
        <v>696</v>
      </c>
      <c r="F68" s="9">
        <v>13</v>
      </c>
      <c r="G68" s="9" t="str">
        <f>+'DECRETOS PNCP'!$B$2</f>
        <v>4T-2026</v>
      </c>
      <c r="H68" s="9">
        <v>0</v>
      </c>
      <c r="I68" s="14" t="str">
        <f>+'PMG(D) segun remuneracion'!$K$1</f>
        <v>01-09-2026</v>
      </c>
      <c r="J68" s="14" t="str">
        <f>+'PMG(D) segun remuneracion'!$K$2</f>
        <v>30-09-2026</v>
      </c>
      <c r="K68" s="9">
        <f>+'PMG(D) segun remuneracion'!$K$3</f>
        <v>2</v>
      </c>
      <c r="L68" s="9">
        <f>+'PMG(D) segun remuneracion'!$K$4</f>
        <v>1</v>
      </c>
      <c r="M68" s="9">
        <f t="shared" si="2"/>
        <v>1</v>
      </c>
      <c r="N68" s="9" t="str">
        <f>+Tabla3[[#This Row],[Barra Balance]]&amp;"_"&amp;Tabla3[[#This Row],[Tensión Balance]]</f>
        <v>LIHUEIMO_13</v>
      </c>
      <c r="S68" t="s">
        <v>71</v>
      </c>
      <c r="T68" t="s">
        <v>152</v>
      </c>
    </row>
    <row r="69" spans="1:20">
      <c r="A69" s="9">
        <v>15</v>
      </c>
      <c r="B69" s="9" t="s">
        <v>182</v>
      </c>
      <c r="C69" s="9">
        <v>220</v>
      </c>
      <c r="D69" s="9">
        <f>+VLOOKUP(B69&amp;"_"&amp;C69,'DECRETOS PNCP'!A:F,5,0)</f>
        <v>50.606000000000002</v>
      </c>
      <c r="E69" s="9" t="s">
        <v>567</v>
      </c>
      <c r="F69" s="9">
        <v>13</v>
      </c>
      <c r="G69" s="9" t="str">
        <f>+'DECRETOS PNCP'!$B$2</f>
        <v>4T-2026</v>
      </c>
      <c r="H69" s="9">
        <v>0</v>
      </c>
      <c r="I69" s="14" t="str">
        <f>+'PMG(D) segun remuneracion'!$K$1</f>
        <v>01-09-2026</v>
      </c>
      <c r="J69" s="14" t="str">
        <f>+'PMG(D) segun remuneracion'!$K$2</f>
        <v>30-09-2026</v>
      </c>
      <c r="K69" s="9">
        <f>+'PMG(D) segun remuneracion'!$K$3</f>
        <v>2</v>
      </c>
      <c r="L69" s="9">
        <f>+'PMG(D) segun remuneracion'!$K$4</f>
        <v>1</v>
      </c>
      <c r="M69" s="9">
        <f t="shared" si="2"/>
        <v>1</v>
      </c>
      <c r="N69" s="9" t="str">
        <f>+Tabla3[[#This Row],[Barra Balance]]&amp;"_"&amp;Tabla3[[#This Row],[Tensión Balance]]</f>
        <v>L.CABRAS_13</v>
      </c>
      <c r="S69" t="s">
        <v>72</v>
      </c>
      <c r="T69" t="s">
        <v>152</v>
      </c>
    </row>
    <row r="70" spans="1:20">
      <c r="A70" s="9">
        <v>15</v>
      </c>
      <c r="B70" s="9" t="s">
        <v>262</v>
      </c>
      <c r="C70" s="9">
        <v>220</v>
      </c>
      <c r="D70" s="9">
        <f>+VLOOKUP(B70&amp;"_"&amp;C70,'DECRETOS PNCP'!A:F,5,0)</f>
        <v>48.652000000000001</v>
      </c>
      <c r="E70" s="9" t="s">
        <v>285</v>
      </c>
      <c r="F70" s="9">
        <v>13</v>
      </c>
      <c r="G70" s="9" t="str">
        <f>+'DECRETOS PNCP'!$B$2</f>
        <v>4T-2026</v>
      </c>
      <c r="H70" s="9">
        <v>0</v>
      </c>
      <c r="I70" s="14" t="str">
        <f>+'PMG(D) segun remuneracion'!$K$1</f>
        <v>01-09-2026</v>
      </c>
      <c r="J70" s="14" t="str">
        <f>+'PMG(D) segun remuneracion'!$K$2</f>
        <v>30-09-2026</v>
      </c>
      <c r="K70" s="9">
        <f>+'PMG(D) segun remuneracion'!$K$3</f>
        <v>2</v>
      </c>
      <c r="L70" s="9">
        <f>+'PMG(D) segun remuneracion'!$K$4</f>
        <v>1</v>
      </c>
      <c r="M70" s="9">
        <f t="shared" si="2"/>
        <v>1</v>
      </c>
      <c r="N70" s="9" t="str">
        <f>+Tabla3[[#This Row],[Barra Balance]]&amp;"_"&amp;Tabla3[[#This Row],[Tensión Balance]]</f>
        <v>CHONCHI_13</v>
      </c>
      <c r="S70" t="s">
        <v>1595</v>
      </c>
      <c r="T70" t="s">
        <v>924</v>
      </c>
    </row>
    <row r="71" spans="1:20">
      <c r="A71" s="9">
        <v>15</v>
      </c>
      <c r="B71" s="9" t="s">
        <v>383</v>
      </c>
      <c r="C71" s="9">
        <v>220</v>
      </c>
      <c r="D71" s="9">
        <f>+VLOOKUP(B71&amp;"_"&amp;C71,'DECRETOS PNCP'!A:F,5,0)</f>
        <v>51.473999999999997</v>
      </c>
      <c r="E71" s="9" t="s">
        <v>456</v>
      </c>
      <c r="F71" s="9">
        <v>110</v>
      </c>
      <c r="G71" s="9" t="str">
        <f>+'DECRETOS PNCP'!$B$2</f>
        <v>4T-2026</v>
      </c>
      <c r="H71" s="9">
        <v>0</v>
      </c>
      <c r="I71" s="14" t="str">
        <f>+'PMG(D) segun remuneracion'!$K$1</f>
        <v>01-09-2026</v>
      </c>
      <c r="J71" s="14" t="str">
        <f>+'PMG(D) segun remuneracion'!$K$2</f>
        <v>30-09-2026</v>
      </c>
      <c r="K71" s="9">
        <f>+'PMG(D) segun remuneracion'!$K$3</f>
        <v>2</v>
      </c>
      <c r="L71" s="9">
        <f>+'PMG(D) segun remuneracion'!$K$4</f>
        <v>1</v>
      </c>
      <c r="M71" s="9">
        <f t="shared" si="2"/>
        <v>1</v>
      </c>
      <c r="N71" s="9" t="str">
        <f>+Tabla3[[#This Row],[Barra Balance]]&amp;"_"&amp;Tabla3[[#This Row],[Tensión Balance]]</f>
        <v>ELSALVADOR_110</v>
      </c>
      <c r="S71" t="s">
        <v>73</v>
      </c>
      <c r="T71" t="s">
        <v>924</v>
      </c>
    </row>
    <row r="72" spans="1:20">
      <c r="A72" s="9">
        <v>15</v>
      </c>
      <c r="B72" s="9" t="s">
        <v>1151</v>
      </c>
      <c r="C72" s="9">
        <v>220</v>
      </c>
      <c r="D72" s="9">
        <f>+VLOOKUP(B72&amp;"_"&amp;C72,'DECRETOS PNCP'!A:F,5,0)</f>
        <v>52.235999999999997</v>
      </c>
      <c r="E72" s="9" t="s">
        <v>201</v>
      </c>
      <c r="F72" s="9">
        <v>13</v>
      </c>
      <c r="G72" s="9" t="str">
        <f>+'DECRETOS PNCP'!$B$2</f>
        <v>4T-2026</v>
      </c>
      <c r="H72" s="9">
        <v>0</v>
      </c>
      <c r="I72" s="14" t="str">
        <f>+'PMG(D) segun remuneracion'!$K$1</f>
        <v>01-09-2026</v>
      </c>
      <c r="J72" s="14" t="str">
        <f>+'PMG(D) segun remuneracion'!$K$2</f>
        <v>30-09-2026</v>
      </c>
      <c r="K72" s="9">
        <f>+'PMG(D) segun remuneracion'!$K$3</f>
        <v>2</v>
      </c>
      <c r="L72" s="9">
        <f>+'PMG(D) segun remuneracion'!$K$4</f>
        <v>1</v>
      </c>
      <c r="M72" s="9">
        <f t="shared" si="2"/>
        <v>1</v>
      </c>
      <c r="N72" s="9" t="str">
        <f>+Tabla3[[#This Row],[Barra Balance]]&amp;"_"&amp;Tabla3[[#This Row],[Tensión Balance]]</f>
        <v>CASABLANCA_13</v>
      </c>
      <c r="S72" t="s">
        <v>75</v>
      </c>
      <c r="T72" t="s">
        <v>924</v>
      </c>
    </row>
    <row r="73" spans="1:20">
      <c r="A73" s="9">
        <v>15</v>
      </c>
      <c r="B73" s="9" t="s">
        <v>383</v>
      </c>
      <c r="C73" s="9">
        <v>220</v>
      </c>
      <c r="D73" s="9">
        <f>+VLOOKUP(B73&amp;"_"&amp;C73,'DECRETOS PNCP'!A:F,5,0)</f>
        <v>51.473999999999997</v>
      </c>
      <c r="E73" s="9" t="s">
        <v>383</v>
      </c>
      <c r="F73" s="9">
        <v>23</v>
      </c>
      <c r="G73" s="9" t="str">
        <f>+'DECRETOS PNCP'!$B$2</f>
        <v>4T-2026</v>
      </c>
      <c r="H73" s="9">
        <v>0</v>
      </c>
      <c r="I73" s="14" t="str">
        <f>+'PMG(D) segun remuneracion'!$K$1</f>
        <v>01-09-2026</v>
      </c>
      <c r="J73" s="14" t="str">
        <f>+'PMG(D) segun remuneracion'!$K$2</f>
        <v>30-09-2026</v>
      </c>
      <c r="K73" s="9">
        <f>+'PMG(D) segun remuneracion'!$K$3</f>
        <v>2</v>
      </c>
      <c r="L73" s="9">
        <f>+'PMG(D) segun remuneracion'!$K$4</f>
        <v>1</v>
      </c>
      <c r="M73" s="9">
        <f t="shared" si="2"/>
        <v>1</v>
      </c>
      <c r="N73" s="9" t="str">
        <f>+Tabla3[[#This Row],[Barra Balance]]&amp;"_"&amp;Tabla3[[#This Row],[Tensión Balance]]</f>
        <v>D.ALMAGRO_23</v>
      </c>
      <c r="S73" t="s">
        <v>1596</v>
      </c>
      <c r="T73" t="s">
        <v>385</v>
      </c>
    </row>
    <row r="74" spans="1:20">
      <c r="A74" s="9">
        <v>15</v>
      </c>
      <c r="B74" s="9" t="s">
        <v>195</v>
      </c>
      <c r="C74" s="9">
        <v>220</v>
      </c>
      <c r="D74" s="9">
        <f>+VLOOKUP(B74&amp;"_"&amp;C74,'DECRETOS PNCP'!A:F,5,0)</f>
        <v>51.563000000000002</v>
      </c>
      <c r="E74" s="9" t="s">
        <v>511</v>
      </c>
      <c r="F74" s="9">
        <v>13</v>
      </c>
      <c r="G74" s="9" t="str">
        <f>+'DECRETOS PNCP'!$B$2</f>
        <v>4T-2026</v>
      </c>
      <c r="H74" s="9">
        <v>0</v>
      </c>
      <c r="I74" s="14" t="str">
        <f>+'PMG(D) segun remuneracion'!$K$1</f>
        <v>01-09-2026</v>
      </c>
      <c r="J74" s="14" t="str">
        <f>+'PMG(D) segun remuneracion'!$K$2</f>
        <v>30-09-2026</v>
      </c>
      <c r="K74" s="9">
        <f>+'PMG(D) segun remuneracion'!$K$3</f>
        <v>2</v>
      </c>
      <c r="L74" s="9">
        <f>+'PMG(D) segun remuneracion'!$K$4</f>
        <v>1</v>
      </c>
      <c r="M74" s="9">
        <f t="shared" si="2"/>
        <v>1</v>
      </c>
      <c r="N74" s="9" t="str">
        <f>+Tabla3[[#This Row],[Barra Balance]]&amp;"_"&amp;Tabla3[[#This Row],[Tensión Balance]]</f>
        <v>H.FUENTES_13</v>
      </c>
      <c r="S74" t="s">
        <v>1597</v>
      </c>
      <c r="T74" t="s">
        <v>385</v>
      </c>
    </row>
    <row r="75" spans="1:20">
      <c r="A75" s="9">
        <v>15</v>
      </c>
      <c r="B75" s="9" t="s">
        <v>168</v>
      </c>
      <c r="C75" s="9">
        <v>220</v>
      </c>
      <c r="D75" s="9">
        <f>+VLOOKUP(B75&amp;"_"&amp;C75,'DECRETOS PNCP'!A:F,5,0)</f>
        <v>52.978999999999999</v>
      </c>
      <c r="E75" s="9" t="s">
        <v>1099</v>
      </c>
      <c r="F75" s="9">
        <v>23</v>
      </c>
      <c r="G75" s="9" t="str">
        <f>+'DECRETOS PNCP'!$B$2</f>
        <v>4T-2026</v>
      </c>
      <c r="H75" s="9">
        <v>0</v>
      </c>
      <c r="I75" s="14" t="str">
        <f>+'PMG(D) segun remuneracion'!$K$1</f>
        <v>01-09-2026</v>
      </c>
      <c r="J75" s="14" t="str">
        <f>+'PMG(D) segun remuneracion'!$K$2</f>
        <v>30-09-2026</v>
      </c>
      <c r="K75" s="9">
        <f>+'PMG(D) segun remuneracion'!$K$3</f>
        <v>2</v>
      </c>
      <c r="L75" s="9">
        <f>+'PMG(D) segun remuneracion'!$K$4</f>
        <v>1</v>
      </c>
      <c r="M75" s="9">
        <f t="shared" si="2"/>
        <v>1</v>
      </c>
      <c r="N75" s="9" t="str">
        <f>+Tabla3[[#This Row],[Barra Balance]]&amp;"_"&amp;Tabla3[[#This Row],[Tensión Balance]]</f>
        <v>PSECO_23</v>
      </c>
      <c r="S75" t="s">
        <v>76</v>
      </c>
      <c r="T75" t="s">
        <v>924</v>
      </c>
    </row>
    <row r="76" spans="1:20">
      <c r="A76" s="9">
        <v>15</v>
      </c>
      <c r="B76" s="9" t="s">
        <v>195</v>
      </c>
      <c r="C76" s="9">
        <v>220</v>
      </c>
      <c r="D76" s="9">
        <f>+VLOOKUP(B76&amp;"_"&amp;C76,'DECRETOS PNCP'!A:F,5,0)</f>
        <v>51.563000000000002</v>
      </c>
      <c r="E76" s="9" t="s">
        <v>1356</v>
      </c>
      <c r="F76" s="9">
        <v>23</v>
      </c>
      <c r="G76" s="9" t="str">
        <f>+'DECRETOS PNCP'!$B$2</f>
        <v>4T-2026</v>
      </c>
      <c r="H76" s="9">
        <v>0</v>
      </c>
      <c r="I76" s="14" t="str">
        <f>+'PMG(D) segun remuneracion'!$K$1</f>
        <v>01-09-2026</v>
      </c>
      <c r="J76" s="14" t="str">
        <f>+'PMG(D) segun remuneracion'!$K$2</f>
        <v>30-09-2026</v>
      </c>
      <c r="K76" s="9">
        <f>+'PMG(D) segun remuneracion'!$K$3</f>
        <v>2</v>
      </c>
      <c r="L76" s="9">
        <f>+'PMG(D) segun remuneracion'!$K$4</f>
        <v>1</v>
      </c>
      <c r="M76" s="9">
        <f t="shared" si="2"/>
        <v>1</v>
      </c>
      <c r="N76" s="9" t="str">
        <f>+Tabla3[[#This Row],[Barra Balance]]&amp;"_"&amp;Tabla3[[#This Row],[Tensión Balance]]</f>
        <v>T.AMARILLA_23</v>
      </c>
      <c r="S76" t="s">
        <v>77</v>
      </c>
      <c r="T76" t="s">
        <v>251</v>
      </c>
    </row>
    <row r="77" spans="1:20">
      <c r="A77" s="9">
        <v>15</v>
      </c>
      <c r="B77" s="9" t="s">
        <v>248</v>
      </c>
      <c r="C77" s="9">
        <v>220</v>
      </c>
      <c r="D77" s="9">
        <f>+VLOOKUP(B77&amp;"_"&amp;C77,'DECRETOS PNCP'!A:F,5,0)</f>
        <v>45.99</v>
      </c>
      <c r="E77" s="9" t="s">
        <v>156</v>
      </c>
      <c r="F77" s="9">
        <v>23</v>
      </c>
      <c r="G77" s="9" t="str">
        <f>+'DECRETOS PNCP'!$B$2</f>
        <v>4T-2026</v>
      </c>
      <c r="H77" s="9">
        <v>0</v>
      </c>
      <c r="I77" s="14" t="str">
        <f>+'PMG(D) segun remuneracion'!$K$1</f>
        <v>01-09-2026</v>
      </c>
      <c r="J77" s="14" t="str">
        <f>+'PMG(D) segun remuneracion'!$K$2</f>
        <v>30-09-2026</v>
      </c>
      <c r="K77" s="9">
        <f>+'PMG(D) segun remuneracion'!$K$3</f>
        <v>2</v>
      </c>
      <c r="L77" s="9">
        <f>+'PMG(D) segun remuneracion'!$K$4</f>
        <v>1</v>
      </c>
      <c r="M77" s="9">
        <f t="shared" si="2"/>
        <v>1</v>
      </c>
      <c r="N77" s="9" t="str">
        <f>+Tabla3[[#This Row],[Barra Balance]]&amp;"_"&amp;Tabla3[[#This Row],[Tensión Balance]]</f>
        <v>C.RENAICO_23</v>
      </c>
      <c r="S77" t="s">
        <v>78</v>
      </c>
      <c r="T77" t="s">
        <v>251</v>
      </c>
    </row>
    <row r="78" spans="1:20">
      <c r="A78" s="9">
        <v>15</v>
      </c>
      <c r="B78" s="9" t="s">
        <v>248</v>
      </c>
      <c r="C78" s="9">
        <v>220</v>
      </c>
      <c r="D78" s="9">
        <f>+VLOOKUP(B78&amp;"_"&amp;C78,'DECRETOS PNCP'!A:F,5,0)</f>
        <v>45.99</v>
      </c>
      <c r="E78" s="9" t="s">
        <v>137</v>
      </c>
      <c r="F78" s="9">
        <v>23</v>
      </c>
      <c r="G78" s="9" t="str">
        <f>+'DECRETOS PNCP'!$B$2</f>
        <v>4T-2026</v>
      </c>
      <c r="H78" s="9">
        <v>0</v>
      </c>
      <c r="I78" s="14" t="str">
        <f>+'PMG(D) segun remuneracion'!$K$1</f>
        <v>01-09-2026</v>
      </c>
      <c r="J78" s="14" t="str">
        <f>+'PMG(D) segun remuneracion'!$K$2</f>
        <v>30-09-2026</v>
      </c>
      <c r="K78" s="9">
        <f>+'PMG(D) segun remuneracion'!$K$3</f>
        <v>2</v>
      </c>
      <c r="L78" s="9">
        <f>+'PMG(D) segun remuneracion'!$K$4</f>
        <v>1</v>
      </c>
      <c r="M78" s="9">
        <f t="shared" si="2"/>
        <v>1</v>
      </c>
      <c r="N78" s="9" t="str">
        <f>+Tabla3[[#This Row],[Barra Balance]]&amp;"_"&amp;Tabla3[[#This Row],[Tensión Balance]]</f>
        <v>C.A_RENAICO_23</v>
      </c>
      <c r="S78" t="s">
        <v>79</v>
      </c>
      <c r="T78" t="s">
        <v>251</v>
      </c>
    </row>
    <row r="79" spans="1:20">
      <c r="A79" s="9">
        <v>15</v>
      </c>
      <c r="B79" s="9" t="s">
        <v>195</v>
      </c>
      <c r="C79" s="9">
        <v>220</v>
      </c>
      <c r="D79" s="9">
        <f>+VLOOKUP(B79&amp;"_"&amp;C79,'DECRETOS PNCP'!A:F,5,0)</f>
        <v>51.563000000000002</v>
      </c>
      <c r="E79" s="9" t="s">
        <v>585</v>
      </c>
      <c r="F79" s="9">
        <v>13</v>
      </c>
      <c r="G79" s="9" t="str">
        <f>+'DECRETOS PNCP'!$B$2</f>
        <v>4T-2026</v>
      </c>
      <c r="H79" s="9">
        <v>0</v>
      </c>
      <c r="I79" s="14" t="str">
        <f>+'PMG(D) segun remuneracion'!$K$1</f>
        <v>01-09-2026</v>
      </c>
      <c r="J79" s="14" t="str">
        <f>+'PMG(D) segun remuneracion'!$K$2</f>
        <v>30-09-2026</v>
      </c>
      <c r="K79" s="9">
        <f>+'PMG(D) segun remuneracion'!$K$3</f>
        <v>2</v>
      </c>
      <c r="L79" s="9">
        <f>+'PMG(D) segun remuneracion'!$K$4</f>
        <v>1</v>
      </c>
      <c r="M79" s="9">
        <f t="shared" si="2"/>
        <v>1</v>
      </c>
      <c r="N79" s="9" t="str">
        <f>+Tabla3[[#This Row],[Barra Balance]]&amp;"_"&amp;Tabla3[[#This Row],[Tensión Balance]]</f>
        <v>L.LOROS_13</v>
      </c>
      <c r="S79" t="s">
        <v>80</v>
      </c>
      <c r="T79" t="s">
        <v>251</v>
      </c>
    </row>
    <row r="80" spans="1:20">
      <c r="A80" s="9">
        <v>15</v>
      </c>
      <c r="B80" s="9" t="s">
        <v>14</v>
      </c>
      <c r="C80" s="9">
        <v>220</v>
      </c>
      <c r="D80" s="9">
        <f>+VLOOKUP(B80&amp;"_"&amp;C80,'DECRETOS PNCP'!A:F,5,0)</f>
        <v>49.323999999999998</v>
      </c>
      <c r="E80" s="9" t="s">
        <v>447</v>
      </c>
      <c r="F80" s="9">
        <v>13</v>
      </c>
      <c r="G80" s="9" t="str">
        <f>+'DECRETOS PNCP'!$B$2</f>
        <v>4T-2026</v>
      </c>
      <c r="H80" s="9">
        <v>0</v>
      </c>
      <c r="I80" s="14" t="str">
        <f>+'PMG(D) segun remuneracion'!$K$1</f>
        <v>01-09-2026</v>
      </c>
      <c r="J80" s="14" t="str">
        <f>+'PMG(D) segun remuneracion'!$K$2</f>
        <v>30-09-2026</v>
      </c>
      <c r="K80" s="9">
        <f>+'PMG(D) segun remuneracion'!$K$3</f>
        <v>2</v>
      </c>
      <c r="L80" s="9">
        <f>+'PMG(D) segun remuneracion'!$K$4</f>
        <v>1</v>
      </c>
      <c r="M80" s="9">
        <f t="shared" si="2"/>
        <v>1</v>
      </c>
      <c r="N80" s="9" t="str">
        <f>+Tabla3[[#This Row],[Barra Balance]]&amp;"_"&amp;Tabla3[[#This Row],[Tensión Balance]]</f>
        <v>ELPAICO_13</v>
      </c>
      <c r="S80" t="s">
        <v>81</v>
      </c>
      <c r="T80" t="s">
        <v>1186</v>
      </c>
    </row>
    <row r="81" spans="1:20">
      <c r="A81" s="9">
        <v>15</v>
      </c>
      <c r="B81" s="9" t="s">
        <v>9</v>
      </c>
      <c r="C81" s="9">
        <v>220</v>
      </c>
      <c r="D81" s="9">
        <f>+VLOOKUP(B81&amp;"_"&amp;C81,'DECRETOS PNCP'!A:F,5,0)</f>
        <v>52.97</v>
      </c>
      <c r="E81" s="9" t="s">
        <v>485</v>
      </c>
      <c r="F81" s="9">
        <v>15</v>
      </c>
      <c r="G81" s="9" t="str">
        <f>+'DECRETOS PNCP'!$B$2</f>
        <v>4T-2026</v>
      </c>
      <c r="H81" s="9">
        <v>0</v>
      </c>
      <c r="I81" s="14" t="str">
        <f>+'PMG(D) segun remuneracion'!$K$1</f>
        <v>01-09-2026</v>
      </c>
      <c r="J81" s="14" t="str">
        <f>+'PMG(D) segun remuneracion'!$K$2</f>
        <v>30-09-2026</v>
      </c>
      <c r="K81" s="9">
        <f>+'PMG(D) segun remuneracion'!$K$3</f>
        <v>2</v>
      </c>
      <c r="L81" s="9">
        <f>+'PMG(D) segun remuneracion'!$K$4</f>
        <v>1</v>
      </c>
      <c r="M81" s="9">
        <f t="shared" si="2"/>
        <v>1</v>
      </c>
      <c r="N81" s="9" t="str">
        <f>+Tabla3[[#This Row],[Barra Balance]]&amp;"_"&amp;Tabla3[[#This Row],[Tensión Balance]]</f>
        <v>FATIMA_15</v>
      </c>
      <c r="S81" t="s">
        <v>82</v>
      </c>
      <c r="T81" t="s">
        <v>1186</v>
      </c>
    </row>
    <row r="82" spans="1:20">
      <c r="A82" s="9">
        <v>15</v>
      </c>
      <c r="B82" s="9" t="s">
        <v>1197</v>
      </c>
      <c r="C82" s="9">
        <v>220</v>
      </c>
      <c r="D82" s="9">
        <f>+VLOOKUP(B82&amp;"_"&amp;C82,'DECRETOS PNCP'!A:F,5,0)</f>
        <v>49.04</v>
      </c>
      <c r="E82" s="9" t="s">
        <v>1347</v>
      </c>
      <c r="F82" s="9">
        <v>23</v>
      </c>
      <c r="G82" s="9" t="str">
        <f>+'DECRETOS PNCP'!$B$2</f>
        <v>4T-2026</v>
      </c>
      <c r="H82" s="9">
        <v>0</v>
      </c>
      <c r="I82" s="14" t="str">
        <f>+'PMG(D) segun remuneracion'!$K$1</f>
        <v>01-09-2026</v>
      </c>
      <c r="J82" s="14" t="str">
        <f>+'PMG(D) segun remuneracion'!$K$2</f>
        <v>30-09-2026</v>
      </c>
      <c r="K82" s="9">
        <f>+'PMG(D) segun remuneracion'!$K$3</f>
        <v>2</v>
      </c>
      <c r="L82" s="9">
        <f>+'PMG(D) segun remuneracion'!$K$4</f>
        <v>1</v>
      </c>
      <c r="M82" s="9">
        <f t="shared" si="2"/>
        <v>1</v>
      </c>
      <c r="N82" s="9" t="str">
        <f>+Tabla3[[#This Row],[Barra Balance]]&amp;"_"&amp;Tabla3[[#This Row],[Tensión Balance]]</f>
        <v>STA.ROSA_23</v>
      </c>
      <c r="S82" t="s">
        <v>83</v>
      </c>
      <c r="T82" t="s">
        <v>101</v>
      </c>
    </row>
    <row r="83" spans="1:20">
      <c r="A83" s="9">
        <v>15</v>
      </c>
      <c r="B83" s="9" t="s">
        <v>182</v>
      </c>
      <c r="C83" s="9">
        <v>220</v>
      </c>
      <c r="D83" s="9">
        <f>+VLOOKUP(B83&amp;"_"&amp;C83,'DECRETOS PNCP'!A:F,5,0)</f>
        <v>50.606000000000002</v>
      </c>
      <c r="E83" s="9" t="s">
        <v>896</v>
      </c>
      <c r="F83" s="9">
        <v>13</v>
      </c>
      <c r="G83" s="9" t="str">
        <f>+'DECRETOS PNCP'!$B$2</f>
        <v>4T-2026</v>
      </c>
      <c r="H83" s="9">
        <v>0</v>
      </c>
      <c r="I83" s="14" t="str">
        <f>+'PMG(D) segun remuneracion'!$K$1</f>
        <v>01-09-2026</v>
      </c>
      <c r="J83" s="14" t="str">
        <f>+'PMG(D) segun remuneracion'!$K$2</f>
        <v>30-09-2026</v>
      </c>
      <c r="K83" s="9">
        <f>+'PMG(D) segun remuneracion'!$K$3</f>
        <v>2</v>
      </c>
      <c r="L83" s="9">
        <f>+'PMG(D) segun remuneracion'!$K$4</f>
        <v>1</v>
      </c>
      <c r="M83" s="9">
        <f t="shared" si="2"/>
        <v>1</v>
      </c>
      <c r="N83" s="9" t="str">
        <f>+Tabla3[[#This Row],[Barra Balance]]&amp;"_"&amp;Tabla3[[#This Row],[Tensión Balance]]</f>
        <v>NANCAGUA_13</v>
      </c>
      <c r="S83" t="s">
        <v>84</v>
      </c>
      <c r="T83" t="s">
        <v>101</v>
      </c>
    </row>
    <row r="84" spans="1:20">
      <c r="A84" s="9">
        <v>15</v>
      </c>
      <c r="B84" s="9" t="s">
        <v>1197</v>
      </c>
      <c r="C84" s="9">
        <v>220</v>
      </c>
      <c r="D84" s="9">
        <f>+VLOOKUP(B84&amp;"_"&amp;C84,'DECRETOS PNCP'!A:F,5,0)</f>
        <v>49.04</v>
      </c>
      <c r="E84" s="9" t="s">
        <v>1002</v>
      </c>
      <c r="F84" s="9">
        <v>13</v>
      </c>
      <c r="G84" s="9" t="str">
        <f>+'DECRETOS PNCP'!$B$2</f>
        <v>4T-2026</v>
      </c>
      <c r="H84" s="9">
        <v>0</v>
      </c>
      <c r="I84" s="14" t="str">
        <f>+'PMG(D) segun remuneracion'!$K$1</f>
        <v>01-09-2026</v>
      </c>
      <c r="J84" s="14" t="str">
        <f>+'PMG(D) segun remuneracion'!$K$2</f>
        <v>30-09-2026</v>
      </c>
      <c r="K84" s="9">
        <f>+'PMG(D) segun remuneracion'!$K$3</f>
        <v>2</v>
      </c>
      <c r="L84" s="9">
        <f>+'PMG(D) segun remuneracion'!$K$4</f>
        <v>1</v>
      </c>
      <c r="M84" s="9">
        <f t="shared" si="2"/>
        <v>1</v>
      </c>
      <c r="N84" s="9" t="str">
        <f>+Tabla3[[#This Row],[Barra Balance]]&amp;"_"&amp;Tabla3[[#This Row],[Tensión Balance]]</f>
        <v>PANIAHUE_13</v>
      </c>
      <c r="S84" t="s">
        <v>1598</v>
      </c>
      <c r="T84" t="s">
        <v>251</v>
      </c>
    </row>
    <row r="85" spans="1:20">
      <c r="A85" s="9">
        <v>15</v>
      </c>
      <c r="B85" s="9" t="s">
        <v>151</v>
      </c>
      <c r="C85" s="9">
        <v>220</v>
      </c>
      <c r="D85" s="9">
        <f>+VLOOKUP(B85&amp;"_"&amp;C85,'DECRETOS PNCP'!A:F,5,0)</f>
        <v>48.853000000000002</v>
      </c>
      <c r="E85" s="9" t="s">
        <v>719</v>
      </c>
      <c r="F85" s="9">
        <v>13</v>
      </c>
      <c r="G85" s="9" t="str">
        <f>+'DECRETOS PNCP'!$B$2</f>
        <v>4T-2026</v>
      </c>
      <c r="H85" s="9">
        <v>0</v>
      </c>
      <c r="I85" s="14" t="str">
        <f>+'PMG(D) segun remuneracion'!$K$1</f>
        <v>01-09-2026</v>
      </c>
      <c r="J85" s="14" t="str">
        <f>+'PMG(D) segun remuneracion'!$K$2</f>
        <v>30-09-2026</v>
      </c>
      <c r="K85" s="9">
        <f>+'PMG(D) segun remuneracion'!$K$3</f>
        <v>2</v>
      </c>
      <c r="L85" s="9">
        <f>+'PMG(D) segun remuneracion'!$K$4</f>
        <v>1</v>
      </c>
      <c r="M85" s="9">
        <f t="shared" si="2"/>
        <v>1</v>
      </c>
      <c r="N85" s="9" t="str">
        <f>+Tabla3[[#This Row],[Barra Balance]]&amp;"_"&amp;Tabla3[[#This Row],[Tensión Balance]]</f>
        <v>LO_BOZA_13</v>
      </c>
      <c r="S85" t="s">
        <v>85</v>
      </c>
      <c r="T85" t="s">
        <v>251</v>
      </c>
    </row>
    <row r="86" spans="1:20">
      <c r="A86" s="9">
        <v>15</v>
      </c>
      <c r="B86" s="9" t="s">
        <v>948</v>
      </c>
      <c r="C86" s="9">
        <v>220</v>
      </c>
      <c r="D86" s="9">
        <f>+VLOOKUP(B86&amp;"_"&amp;C86,'DECRETOS PNCP'!A:F,5,0)</f>
        <v>51.737000000000002</v>
      </c>
      <c r="E86" s="9" t="s">
        <v>66</v>
      </c>
      <c r="F86" s="9">
        <v>13</v>
      </c>
      <c r="G86" s="9" t="str">
        <f>+'DECRETOS PNCP'!$B$2</f>
        <v>4T-2026</v>
      </c>
      <c r="H86" s="9">
        <v>0</v>
      </c>
      <c r="I86" s="14" t="str">
        <f>+'PMG(D) segun remuneracion'!$K$1</f>
        <v>01-09-2026</v>
      </c>
      <c r="J86" s="14" t="str">
        <f>+'PMG(D) segun remuneracion'!$K$2</f>
        <v>30-09-2026</v>
      </c>
      <c r="K86" s="9">
        <f>+'PMG(D) segun remuneracion'!$K$3</f>
        <v>2</v>
      </c>
      <c r="L86" s="9">
        <f>+'PMG(D) segun remuneracion'!$K$4</f>
        <v>1</v>
      </c>
      <c r="M86" s="9">
        <f t="shared" si="2"/>
        <v>1</v>
      </c>
      <c r="N86" s="9" t="str">
        <f>+Tabla3[[#This Row],[Barra Balance]]&amp;"_"&amp;Tabla3[[#This Row],[Tensión Balance]]</f>
        <v>ANDACOLLO_13</v>
      </c>
      <c r="S86" t="s">
        <v>1599</v>
      </c>
      <c r="T86" t="s">
        <v>461</v>
      </c>
    </row>
    <row r="87" spans="1:20">
      <c r="A87" s="9">
        <v>15</v>
      </c>
      <c r="B87" s="9" t="s">
        <v>606</v>
      </c>
      <c r="C87" s="9">
        <v>220</v>
      </c>
      <c r="D87" s="9">
        <f>+VLOOKUP(B87&amp;"_"&amp;C87,'DECRETOS PNCP'!A:F,5,0)</f>
        <v>52.988</v>
      </c>
      <c r="E87" s="9" t="s">
        <v>1290</v>
      </c>
      <c r="F87" s="9">
        <v>23</v>
      </c>
      <c r="G87" s="9" t="str">
        <f>+'DECRETOS PNCP'!$B$2</f>
        <v>4T-2026</v>
      </c>
      <c r="H87" s="9">
        <v>0</v>
      </c>
      <c r="I87" s="14" t="str">
        <f>+'PMG(D) segun remuneracion'!$K$1</f>
        <v>01-09-2026</v>
      </c>
      <c r="J87" s="14" t="str">
        <f>+'PMG(D) segun remuneracion'!$K$2</f>
        <v>30-09-2026</v>
      </c>
      <c r="K87" s="9">
        <f>+'PMG(D) segun remuneracion'!$K$3</f>
        <v>2</v>
      </c>
      <c r="L87" s="9">
        <f>+'PMG(D) segun remuneracion'!$K$4</f>
        <v>1</v>
      </c>
      <c r="M87" s="9">
        <f t="shared" si="2"/>
        <v>1</v>
      </c>
      <c r="N87" s="9" t="str">
        <f>+Tabla3[[#This Row],[Barra Balance]]&amp;"_"&amp;Tabla3[[#This Row],[Tensión Balance]]</f>
        <v>SALAMANCA_23</v>
      </c>
      <c r="S87" t="s">
        <v>86</v>
      </c>
      <c r="T87" t="s">
        <v>461</v>
      </c>
    </row>
    <row r="88" spans="1:20">
      <c r="A88" s="9">
        <v>15</v>
      </c>
      <c r="B88" s="9" t="s">
        <v>1526</v>
      </c>
      <c r="C88" s="9">
        <v>220</v>
      </c>
      <c r="D88" s="9">
        <f>+VLOOKUP(B88&amp;"_"&amp;C88,'DECRETOS PNCP'!A:F,5,0)</f>
        <v>50.09</v>
      </c>
      <c r="E88" s="9" t="s">
        <v>1053</v>
      </c>
      <c r="F88" s="9">
        <v>13</v>
      </c>
      <c r="G88" s="9" t="str">
        <f>+'DECRETOS PNCP'!$B$2</f>
        <v>4T-2026</v>
      </c>
      <c r="H88" s="9">
        <v>0</v>
      </c>
      <c r="I88" s="14" t="str">
        <f>+'PMG(D) segun remuneracion'!$K$1</f>
        <v>01-09-2026</v>
      </c>
      <c r="J88" s="14" t="str">
        <f>+'PMG(D) segun remuneracion'!$K$2</f>
        <v>30-09-2026</v>
      </c>
      <c r="K88" s="9">
        <f>+'PMG(D) segun remuneracion'!$K$3</f>
        <v>2</v>
      </c>
      <c r="L88" s="9">
        <f>+'PMG(D) segun remuneracion'!$K$4</f>
        <v>1</v>
      </c>
      <c r="M88" s="9">
        <f t="shared" si="2"/>
        <v>1</v>
      </c>
      <c r="N88" s="9" t="str">
        <f>+Tabla3[[#This Row],[Barra Balance]]&amp;"_"&amp;Tabla3[[#This Row],[Tensión Balance]]</f>
        <v>PICHIRROPULLI_13</v>
      </c>
      <c r="S88" t="s">
        <v>87</v>
      </c>
      <c r="T88" t="s">
        <v>152</v>
      </c>
    </row>
    <row r="89" spans="1:20">
      <c r="A89" s="9">
        <v>15</v>
      </c>
      <c r="B89" s="9" t="s">
        <v>248</v>
      </c>
      <c r="C89" s="9">
        <v>220</v>
      </c>
      <c r="D89" s="9">
        <f>+VLOOKUP(B89&amp;"_"&amp;C89,'DECRETOS PNCP'!A:F,5,0)</f>
        <v>45.99</v>
      </c>
      <c r="E89" s="9" t="s">
        <v>1239</v>
      </c>
      <c r="F89" s="9">
        <v>13</v>
      </c>
      <c r="G89" s="9" t="str">
        <f>+'DECRETOS PNCP'!$B$2</f>
        <v>4T-2026</v>
      </c>
      <c r="H89" s="9">
        <v>0</v>
      </c>
      <c r="I89" s="14" t="str">
        <f>+'PMG(D) segun remuneracion'!$K$1</f>
        <v>01-09-2026</v>
      </c>
      <c r="J89" s="14" t="str">
        <f>+'PMG(D) segun remuneracion'!$K$2</f>
        <v>30-09-2026</v>
      </c>
      <c r="K89" s="9">
        <f>+'PMG(D) segun remuneracion'!$K$3</f>
        <v>2</v>
      </c>
      <c r="L89" s="9">
        <f>+'PMG(D) segun remuneracion'!$K$4</f>
        <v>1</v>
      </c>
      <c r="M89" s="9">
        <f t="shared" si="2"/>
        <v>1</v>
      </c>
      <c r="N89" s="9" t="str">
        <f>+Tabla3[[#This Row],[Barra Balance]]&amp;"_"&amp;Tabla3[[#This Row],[Tensión Balance]]</f>
        <v>S.CARLOS_13</v>
      </c>
      <c r="S89" t="s">
        <v>88</v>
      </c>
      <c r="T89" t="s">
        <v>152</v>
      </c>
    </row>
    <row r="90" spans="1:20">
      <c r="A90" s="9">
        <v>15</v>
      </c>
      <c r="B90" s="9" t="s">
        <v>248</v>
      </c>
      <c r="C90" s="9">
        <v>220</v>
      </c>
      <c r="D90" s="9">
        <f>+VLOOKUP(B90&amp;"_"&amp;C90,'DECRETOS PNCP'!A:F,5,0)</f>
        <v>45.99</v>
      </c>
      <c r="E90" s="9" t="s">
        <v>903</v>
      </c>
      <c r="F90" s="9">
        <v>23</v>
      </c>
      <c r="G90" s="9" t="str">
        <f>+'DECRETOS PNCP'!$B$2</f>
        <v>4T-2026</v>
      </c>
      <c r="H90" s="9">
        <v>0</v>
      </c>
      <c r="I90" s="14" t="str">
        <f>+'PMG(D) segun remuneracion'!$K$1</f>
        <v>01-09-2026</v>
      </c>
      <c r="J90" s="14" t="str">
        <f>+'PMG(D) segun remuneracion'!$K$2</f>
        <v>30-09-2026</v>
      </c>
      <c r="K90" s="9">
        <f>+'PMG(D) segun remuneracion'!$K$3</f>
        <v>2</v>
      </c>
      <c r="L90" s="9">
        <f>+'PMG(D) segun remuneracion'!$K$4</f>
        <v>1</v>
      </c>
      <c r="M90" s="9">
        <f t="shared" si="2"/>
        <v>1</v>
      </c>
      <c r="N90" s="9" t="str">
        <f>+Tabla3[[#This Row],[Barra Balance]]&amp;"_"&amp;Tabla3[[#This Row],[Tensión Balance]]</f>
        <v>NEGRETE_23</v>
      </c>
      <c r="S90" t="s">
        <v>89</v>
      </c>
      <c r="T90" t="s">
        <v>1017</v>
      </c>
    </row>
    <row r="91" spans="1:20">
      <c r="A91" s="9">
        <v>15</v>
      </c>
      <c r="B91" s="9" t="s">
        <v>911</v>
      </c>
      <c r="C91" s="9">
        <v>220</v>
      </c>
      <c r="D91" s="9">
        <f>+VLOOKUP(B91&amp;"_"&amp;C91,'DECRETOS PNCP'!A:F,5,0)</f>
        <v>51.460999999999999</v>
      </c>
      <c r="E91" s="9" t="s">
        <v>1162</v>
      </c>
      <c r="F91" s="9">
        <v>23</v>
      </c>
      <c r="G91" s="9" t="str">
        <f>+'DECRETOS PNCP'!$B$2</f>
        <v>4T-2026</v>
      </c>
      <c r="H91" s="9">
        <v>0</v>
      </c>
      <c r="I91" s="14" t="str">
        <f>+'PMG(D) segun remuneracion'!$K$1</f>
        <v>01-09-2026</v>
      </c>
      <c r="J91" s="14" t="str">
        <f>+'PMG(D) segun remuneracion'!$K$2</f>
        <v>30-09-2026</v>
      </c>
      <c r="K91" s="9">
        <f>+'PMG(D) segun remuneracion'!$K$3</f>
        <v>2</v>
      </c>
      <c r="L91" s="9">
        <f>+'PMG(D) segun remuneracion'!$K$4</f>
        <v>1</v>
      </c>
      <c r="M91" s="9">
        <f t="shared" si="2"/>
        <v>1</v>
      </c>
      <c r="N91" s="9" t="str">
        <f>+Tabla3[[#This Row],[Barra Balance]]&amp;"_"&amp;Tabla3[[#This Row],[Tensión Balance]]</f>
        <v>QUINQUIMO_23</v>
      </c>
      <c r="S91" t="s">
        <v>90</v>
      </c>
      <c r="T91" t="s">
        <v>1017</v>
      </c>
    </row>
    <row r="92" spans="1:20">
      <c r="A92" s="9">
        <v>15</v>
      </c>
      <c r="B92" s="9" t="s">
        <v>1187</v>
      </c>
      <c r="C92" s="9">
        <v>220</v>
      </c>
      <c r="D92" s="9">
        <f>+VLOOKUP(B92&amp;"_"&amp;C92,'DECRETOS PNCP'!A:F,5,0)</f>
        <v>48.460999999999999</v>
      </c>
      <c r="E92" s="9" t="s">
        <v>271</v>
      </c>
      <c r="F92" s="9">
        <v>23</v>
      </c>
      <c r="G92" s="9" t="str">
        <f>+'DECRETOS PNCP'!$B$2</f>
        <v>4T-2026</v>
      </c>
      <c r="H92" s="9">
        <v>0</v>
      </c>
      <c r="I92" s="14" t="str">
        <f>+'PMG(D) segun remuneracion'!$K$1</f>
        <v>01-09-2026</v>
      </c>
      <c r="J92" s="14" t="str">
        <f>+'PMG(D) segun remuneracion'!$K$2</f>
        <v>30-09-2026</v>
      </c>
      <c r="K92" s="9">
        <f>+'PMG(D) segun remuneracion'!$K$3</f>
        <v>2</v>
      </c>
      <c r="L92" s="9">
        <f>+'PMG(D) segun remuneracion'!$K$4</f>
        <v>1</v>
      </c>
      <c r="M92" s="9">
        <f t="shared" si="2"/>
        <v>1</v>
      </c>
      <c r="N92" s="9" t="str">
        <f>+Tabla3[[#This Row],[Barra Balance]]&amp;"_"&amp;Tabla3[[#This Row],[Tensión Balance]]</f>
        <v>CHIRRE_23</v>
      </c>
      <c r="S92" t="s">
        <v>91</v>
      </c>
      <c r="T92" t="s">
        <v>1017</v>
      </c>
    </row>
    <row r="93" spans="1:20">
      <c r="A93" s="9">
        <v>15</v>
      </c>
      <c r="B93" s="9" t="s">
        <v>548</v>
      </c>
      <c r="C93" s="9">
        <v>220</v>
      </c>
      <c r="D93" s="9">
        <f>+VLOOKUP(B93&amp;"_"&amp;C93,'DECRETOS PNCP'!A:F,5,0)</f>
        <v>44.463999999999999</v>
      </c>
      <c r="E93" s="9" t="s">
        <v>1005</v>
      </c>
      <c r="F93" s="9">
        <v>13</v>
      </c>
      <c r="G93" s="9" t="str">
        <f>+'DECRETOS PNCP'!$B$2</f>
        <v>4T-2026</v>
      </c>
      <c r="H93" s="9">
        <v>0</v>
      </c>
      <c r="I93" s="14" t="str">
        <f>+'PMG(D) segun remuneracion'!$K$1</f>
        <v>01-09-2026</v>
      </c>
      <c r="J93" s="14" t="str">
        <f>+'PMG(D) segun remuneracion'!$K$2</f>
        <v>30-09-2026</v>
      </c>
      <c r="K93" s="9">
        <f>+'PMG(D) segun remuneracion'!$K$3</f>
        <v>2</v>
      </c>
      <c r="L93" s="9">
        <f>+'PMG(D) segun remuneracion'!$K$4</f>
        <v>1</v>
      </c>
      <c r="M93" s="9">
        <f t="shared" si="2"/>
        <v>1</v>
      </c>
      <c r="N93" s="9" t="str">
        <f>+Tabla3[[#This Row],[Barra Balance]]&amp;"_"&amp;Tabla3[[#This Row],[Tensión Balance]]</f>
        <v>PANIMAVIDA_13</v>
      </c>
      <c r="S93" t="s">
        <v>92</v>
      </c>
      <c r="T93" t="s">
        <v>385</v>
      </c>
    </row>
    <row r="94" spans="1:20">
      <c r="A94" s="9">
        <v>15</v>
      </c>
      <c r="B94" s="9" t="s">
        <v>182</v>
      </c>
      <c r="C94" s="9">
        <v>220</v>
      </c>
      <c r="D94" s="9">
        <f>+VLOOKUP(B94&amp;"_"&amp;C94,'DECRETOS PNCP'!A:F,5,0)</f>
        <v>50.606000000000002</v>
      </c>
      <c r="E94" s="9" t="s">
        <v>1083</v>
      </c>
      <c r="F94" s="9">
        <v>13</v>
      </c>
      <c r="G94" s="9" t="str">
        <f>+'DECRETOS PNCP'!$B$2</f>
        <v>4T-2026</v>
      </c>
      <c r="H94" s="9">
        <v>0</v>
      </c>
      <c r="I94" s="14" t="str">
        <f>+'PMG(D) segun remuneracion'!$K$1</f>
        <v>01-09-2026</v>
      </c>
      <c r="J94" s="14" t="str">
        <f>+'PMG(D) segun remuneracion'!$K$2</f>
        <v>30-09-2026</v>
      </c>
      <c r="K94" s="9">
        <f>+'PMG(D) segun remuneracion'!$K$3</f>
        <v>2</v>
      </c>
      <c r="L94" s="9">
        <f>+'PMG(D) segun remuneracion'!$K$4</f>
        <v>1</v>
      </c>
      <c r="M94" s="9">
        <f t="shared" si="2"/>
        <v>1</v>
      </c>
      <c r="N94" s="9" t="str">
        <f>+Tabla3[[#This Row],[Barra Balance]]&amp;"_"&amp;Tabla3[[#This Row],[Tensión Balance]]</f>
        <v>PLACILLA_S_13</v>
      </c>
      <c r="S94" t="s">
        <v>94</v>
      </c>
      <c r="T94" t="s">
        <v>385</v>
      </c>
    </row>
    <row r="95" spans="1:20">
      <c r="A95" s="9">
        <v>15</v>
      </c>
      <c r="B95" s="9" t="s">
        <v>248</v>
      </c>
      <c r="C95" s="9">
        <v>220</v>
      </c>
      <c r="D95" s="9">
        <f>+VLOOKUP(B95&amp;"_"&amp;C95,'DECRETOS PNCP'!A:F,5,0)</f>
        <v>45.99</v>
      </c>
      <c r="E95" s="9" t="s">
        <v>304</v>
      </c>
      <c r="F95" s="9">
        <v>13</v>
      </c>
      <c r="G95" s="9" t="str">
        <f>+'DECRETOS PNCP'!$B$2</f>
        <v>4T-2026</v>
      </c>
      <c r="H95" s="9">
        <v>0</v>
      </c>
      <c r="I95" s="14" t="str">
        <f>+'PMG(D) segun remuneracion'!$K$1</f>
        <v>01-09-2026</v>
      </c>
      <c r="J95" s="14" t="str">
        <f>+'PMG(D) segun remuneracion'!$K$2</f>
        <v>30-09-2026</v>
      </c>
      <c r="K95" s="9">
        <f>+'PMG(D) segun remuneracion'!$K$3</f>
        <v>2</v>
      </c>
      <c r="L95" s="9">
        <f>+'PMG(D) segun remuneracion'!$K$4</f>
        <v>1</v>
      </c>
      <c r="M95" s="9">
        <f t="shared" si="2"/>
        <v>1</v>
      </c>
      <c r="N95" s="9" t="str">
        <f>+Tabla3[[#This Row],[Barra Balance]]&amp;"_"&amp;Tabla3[[#This Row],[Tensión Balance]]</f>
        <v>COCHARCAS_13</v>
      </c>
      <c r="S95" t="s">
        <v>95</v>
      </c>
      <c r="T95" t="s">
        <v>61</v>
      </c>
    </row>
    <row r="96" spans="1:20">
      <c r="A96" s="9">
        <v>15</v>
      </c>
      <c r="B96" s="9" t="s">
        <v>14</v>
      </c>
      <c r="C96" s="9">
        <v>220</v>
      </c>
      <c r="D96" s="9">
        <f>+VLOOKUP(B96&amp;"_"&amp;C96,'DECRETOS PNCP'!A:F,5,0)</f>
        <v>49.323999999999998</v>
      </c>
      <c r="E96" s="9" t="s">
        <v>444</v>
      </c>
      <c r="F96" s="9">
        <v>13</v>
      </c>
      <c r="G96" s="9" t="str">
        <f>+'DECRETOS PNCP'!$B$2</f>
        <v>4T-2026</v>
      </c>
      <c r="H96" s="9">
        <v>0</v>
      </c>
      <c r="I96" s="14" t="str">
        <f>+'PMG(D) segun remuneracion'!$K$1</f>
        <v>01-09-2026</v>
      </c>
      <c r="J96" s="14" t="str">
        <f>+'PMG(D) segun remuneracion'!$K$2</f>
        <v>30-09-2026</v>
      </c>
      <c r="K96" s="9">
        <f>+'PMG(D) segun remuneracion'!$K$3</f>
        <v>2</v>
      </c>
      <c r="L96" s="9">
        <f>+'PMG(D) segun remuneracion'!$K$4</f>
        <v>1</v>
      </c>
      <c r="M96" s="9">
        <f t="shared" si="2"/>
        <v>1</v>
      </c>
      <c r="N96" s="9" t="str">
        <f>+Tabla3[[#This Row],[Barra Balance]]&amp;"_"&amp;Tabla3[[#This Row],[Tensión Balance]]</f>
        <v>ELMONTE_13</v>
      </c>
      <c r="S96" t="s">
        <v>96</v>
      </c>
      <c r="T96" t="s">
        <v>61</v>
      </c>
    </row>
    <row r="97" spans="1:20">
      <c r="A97" s="9">
        <v>15</v>
      </c>
      <c r="B97" s="9" t="s">
        <v>548</v>
      </c>
      <c r="C97" s="9">
        <v>220</v>
      </c>
      <c r="D97" s="9">
        <f>+VLOOKUP(B97&amp;"_"&amp;C97,'DECRETOS PNCP'!A:F,5,0)</f>
        <v>44.463999999999999</v>
      </c>
      <c r="E97" s="9" t="s">
        <v>996</v>
      </c>
      <c r="F97" s="9">
        <v>13</v>
      </c>
      <c r="G97" s="9" t="str">
        <f>+'DECRETOS PNCP'!$B$2</f>
        <v>4T-2026</v>
      </c>
      <c r="H97" s="9">
        <v>0</v>
      </c>
      <c r="I97" s="14" t="str">
        <f>+'PMG(D) segun remuneracion'!$K$1</f>
        <v>01-09-2026</v>
      </c>
      <c r="J97" s="14" t="str">
        <f>+'PMG(D) segun remuneracion'!$K$2</f>
        <v>30-09-2026</v>
      </c>
      <c r="K97" s="9">
        <f>+'PMG(D) segun remuneracion'!$K$3</f>
        <v>2</v>
      </c>
      <c r="L97" s="9">
        <f>+'PMG(D) segun remuneracion'!$K$4</f>
        <v>1</v>
      </c>
      <c r="M97" s="9">
        <f t="shared" si="2"/>
        <v>1</v>
      </c>
      <c r="N97" s="9" t="str">
        <f>+Tabla3[[#This Row],[Barra Balance]]&amp;"_"&amp;Tabla3[[#This Row],[Tensión Balance]]</f>
        <v>PANGUILEMO_13</v>
      </c>
      <c r="S97" t="s">
        <v>97</v>
      </c>
      <c r="T97" t="s">
        <v>522</v>
      </c>
    </row>
    <row r="98" spans="1:20">
      <c r="A98" s="9">
        <v>15</v>
      </c>
      <c r="B98" s="9" t="s">
        <v>182</v>
      </c>
      <c r="C98" s="9">
        <v>220</v>
      </c>
      <c r="D98" s="9">
        <f>+VLOOKUP(B98&amp;"_"&amp;C98,'DECRETOS PNCP'!A:F,5,0)</f>
        <v>50.606000000000002</v>
      </c>
      <c r="E98" s="9" t="s">
        <v>732</v>
      </c>
      <c r="F98" s="9">
        <v>13</v>
      </c>
      <c r="G98" s="9" t="str">
        <f>+'DECRETOS PNCP'!$B$2</f>
        <v>4T-2026</v>
      </c>
      <c r="H98" s="9">
        <v>0</v>
      </c>
      <c r="I98" s="14" t="str">
        <f>+'PMG(D) segun remuneracion'!$K$1</f>
        <v>01-09-2026</v>
      </c>
      <c r="J98" s="14" t="str">
        <f>+'PMG(D) segun remuneracion'!$K$2</f>
        <v>30-09-2026</v>
      </c>
      <c r="K98" s="9">
        <f>+'PMG(D) segun remuneracion'!$K$3</f>
        <v>2</v>
      </c>
      <c r="L98" s="9">
        <f>+'PMG(D) segun remuneracion'!$K$4</f>
        <v>1</v>
      </c>
      <c r="M98" s="9">
        <f t="shared" si="2"/>
        <v>1</v>
      </c>
      <c r="N98" s="9" t="str">
        <f>+Tabla3[[#This Row],[Barra Balance]]&amp;"_"&amp;Tabla3[[#This Row],[Tensión Balance]]</f>
        <v>LOMIRANDA_13</v>
      </c>
      <c r="S98" t="s">
        <v>1600</v>
      </c>
      <c r="T98" t="s">
        <v>461</v>
      </c>
    </row>
    <row r="99" spans="1:20">
      <c r="A99" s="9">
        <v>15</v>
      </c>
      <c r="B99" s="9" t="s">
        <v>548</v>
      </c>
      <c r="C99" s="9">
        <v>220</v>
      </c>
      <c r="D99" s="9">
        <f>+VLOOKUP(B99&amp;"_"&amp;C99,'DECRETOS PNCP'!A:F,5,0)</f>
        <v>44.463999999999999</v>
      </c>
      <c r="E99" s="9" t="s">
        <v>1266</v>
      </c>
      <c r="F99" s="9">
        <v>13</v>
      </c>
      <c r="G99" s="9" t="str">
        <f>+'DECRETOS PNCP'!$B$2</f>
        <v>4T-2026</v>
      </c>
      <c r="H99" s="9">
        <v>0</v>
      </c>
      <c r="I99" s="14" t="str">
        <f>+'PMG(D) segun remuneracion'!$K$1</f>
        <v>01-09-2026</v>
      </c>
      <c r="J99" s="14" t="str">
        <f>+'PMG(D) segun remuneracion'!$K$2</f>
        <v>30-09-2026</v>
      </c>
      <c r="K99" s="9">
        <f>+'PMG(D) segun remuneracion'!$K$3</f>
        <v>2</v>
      </c>
      <c r="L99" s="9">
        <f>+'PMG(D) segun remuneracion'!$K$4</f>
        <v>1</v>
      </c>
      <c r="M99" s="9">
        <f t="shared" si="2"/>
        <v>1</v>
      </c>
      <c r="N99" s="9" t="str">
        <f>+Tabla3[[#This Row],[Barra Balance]]&amp;"_"&amp;Tabla3[[#This Row],[Tensión Balance]]</f>
        <v>S.MIGUEL_13</v>
      </c>
      <c r="S99" t="s">
        <v>98</v>
      </c>
      <c r="T99" t="s">
        <v>461</v>
      </c>
    </row>
    <row r="100" spans="1:20">
      <c r="A100" s="9">
        <v>15</v>
      </c>
      <c r="B100" s="9" t="s">
        <v>248</v>
      </c>
      <c r="C100" s="9">
        <v>220</v>
      </c>
      <c r="D100" s="9">
        <f>+VLOOKUP(B100&amp;"_"&amp;C100,'DECRETOS PNCP'!A:F,5,0)</f>
        <v>45.99</v>
      </c>
      <c r="E100" s="9" t="s">
        <v>807</v>
      </c>
      <c r="F100" s="9">
        <v>220</v>
      </c>
      <c r="G100" s="9" t="str">
        <f>+'DECRETOS PNCP'!$B$2</f>
        <v>4T-2026</v>
      </c>
      <c r="H100" s="9">
        <v>0</v>
      </c>
      <c r="I100" s="14" t="str">
        <f>+'PMG(D) segun remuneracion'!$K$1</f>
        <v>01-09-2026</v>
      </c>
      <c r="J100" s="14" t="str">
        <f>+'PMG(D) segun remuneracion'!$K$2</f>
        <v>30-09-2026</v>
      </c>
      <c r="K100" s="9">
        <f>+'PMG(D) segun remuneracion'!$K$3</f>
        <v>2</v>
      </c>
      <c r="L100" s="9">
        <f>+'PMG(D) segun remuneracion'!$K$4</f>
        <v>1</v>
      </c>
      <c r="M100" s="9">
        <f t="shared" si="2"/>
        <v>1</v>
      </c>
      <c r="N100" s="9" t="str">
        <f>+Tabla3[[#This Row],[Barra Balance]]&amp;"_"&amp;Tabla3[[#This Row],[Tensión Balance]]</f>
        <v>MAMPIL_220</v>
      </c>
      <c r="S100" t="s">
        <v>99</v>
      </c>
      <c r="T100" t="s">
        <v>101</v>
      </c>
    </row>
    <row r="101" spans="1:20">
      <c r="A101" s="9">
        <v>15</v>
      </c>
      <c r="B101" s="9" t="s">
        <v>248</v>
      </c>
      <c r="C101" s="9">
        <v>220</v>
      </c>
      <c r="D101" s="9">
        <f>+VLOOKUP(B101&amp;"_"&amp;C101,'DECRETOS PNCP'!A:F,5,0)</f>
        <v>45.99</v>
      </c>
      <c r="E101" s="9" t="s">
        <v>1318</v>
      </c>
      <c r="F101" s="9">
        <v>13</v>
      </c>
      <c r="G101" s="9" t="str">
        <f>+'DECRETOS PNCP'!$B$2</f>
        <v>4T-2026</v>
      </c>
      <c r="H101" s="9">
        <v>0</v>
      </c>
      <c r="I101" s="14" t="str">
        <f>+'PMG(D) segun remuneracion'!$K$1</f>
        <v>01-09-2026</v>
      </c>
      <c r="J101" s="14" t="str">
        <f>+'PMG(D) segun remuneracion'!$K$2</f>
        <v>30-09-2026</v>
      </c>
      <c r="K101" s="9">
        <f>+'PMG(D) segun remuneracion'!$K$3</f>
        <v>2</v>
      </c>
      <c r="L101" s="9">
        <f>+'PMG(D) segun remuneracion'!$K$4</f>
        <v>1</v>
      </c>
      <c r="M101" s="9">
        <f t="shared" si="2"/>
        <v>1</v>
      </c>
      <c r="N101" s="9" t="str">
        <f>+Tabla3[[#This Row],[Barra Balance]]&amp;"_"&amp;Tabla3[[#This Row],[Tensión Balance]]</f>
        <v>SANTA_BARBARA_13</v>
      </c>
      <c r="S101" t="s">
        <v>101</v>
      </c>
      <c r="T101" t="s">
        <v>101</v>
      </c>
    </row>
    <row r="102" spans="1:20">
      <c r="A102" s="9">
        <v>15</v>
      </c>
      <c r="B102" s="9" t="s">
        <v>635</v>
      </c>
      <c r="C102" s="9">
        <v>220</v>
      </c>
      <c r="D102" s="9">
        <f>+VLOOKUP(B102&amp;"_"&amp;C102,'DECRETOS PNCP'!A:F,5,0)</f>
        <v>47.165999999999997</v>
      </c>
      <c r="E102" s="9" t="s">
        <v>69</v>
      </c>
      <c r="F102" s="9">
        <v>13</v>
      </c>
      <c r="G102" s="9" t="str">
        <f>+'DECRETOS PNCP'!$B$2</f>
        <v>4T-2026</v>
      </c>
      <c r="H102" s="9">
        <v>0</v>
      </c>
      <c r="I102" s="14" t="str">
        <f>+'PMG(D) segun remuneracion'!$K$1</f>
        <v>01-09-2026</v>
      </c>
      <c r="J102" s="14" t="str">
        <f>+'PMG(D) segun remuneracion'!$K$2</f>
        <v>30-09-2026</v>
      </c>
      <c r="K102" s="9">
        <f>+'PMG(D) segun remuneracion'!$K$3</f>
        <v>2</v>
      </c>
      <c r="L102" s="9">
        <f>+'PMG(D) segun remuneracion'!$K$4</f>
        <v>1</v>
      </c>
      <c r="M102" s="9">
        <f t="shared" si="2"/>
        <v>1</v>
      </c>
      <c r="N102" s="9" t="str">
        <f>+Tabla3[[#This Row],[Barra Balance]]&amp;"_"&amp;Tabla3[[#This Row],[Tensión Balance]]</f>
        <v>ANDALIEN_13</v>
      </c>
      <c r="S102" t="s">
        <v>102</v>
      </c>
      <c r="T102" t="s">
        <v>963</v>
      </c>
    </row>
    <row r="103" spans="1:20">
      <c r="A103" s="9">
        <v>15</v>
      </c>
      <c r="B103" s="9" t="s">
        <v>182</v>
      </c>
      <c r="C103" s="9">
        <v>220</v>
      </c>
      <c r="D103" s="9">
        <f>+VLOOKUP(B103&amp;"_"&amp;C103,'DECRETOS PNCP'!A:F,5,0)</f>
        <v>50.606000000000002</v>
      </c>
      <c r="E103" s="9" t="s">
        <v>1415</v>
      </c>
      <c r="F103" s="9">
        <v>23</v>
      </c>
      <c r="G103" s="9" t="str">
        <f>+'DECRETOS PNCP'!$B$2</f>
        <v>4T-2026</v>
      </c>
      <c r="H103" s="9">
        <v>0</v>
      </c>
      <c r="I103" s="14" t="str">
        <f>+'PMG(D) segun remuneracion'!$K$1</f>
        <v>01-09-2026</v>
      </c>
      <c r="J103" s="14" t="str">
        <f>+'PMG(D) segun remuneracion'!$K$2</f>
        <v>30-09-2026</v>
      </c>
      <c r="K103" s="9">
        <f>+'PMG(D) segun remuneracion'!$K$3</f>
        <v>2</v>
      </c>
      <c r="L103" s="9">
        <f>+'PMG(D) segun remuneracion'!$K$4</f>
        <v>1</v>
      </c>
      <c r="M103" s="9">
        <f t="shared" si="2"/>
        <v>1</v>
      </c>
      <c r="N103" s="9" t="str">
        <f>+Tabla3[[#This Row],[Barra Balance]]&amp;"_"&amp;Tabla3[[#This Row],[Tensión Balance]]</f>
        <v>TAP_PALACIOS_23</v>
      </c>
      <c r="S103" t="s">
        <v>103</v>
      </c>
      <c r="T103" t="s">
        <v>1186</v>
      </c>
    </row>
    <row r="104" spans="1:20">
      <c r="A104" s="9">
        <v>15</v>
      </c>
      <c r="B104" s="9" t="s">
        <v>182</v>
      </c>
      <c r="C104" s="9">
        <v>220</v>
      </c>
      <c r="D104" s="9">
        <f>+VLOOKUP(B104&amp;"_"&amp;C104,'DECRETOS PNCP'!A:F,5,0)</f>
        <v>50.606000000000002</v>
      </c>
      <c r="E104" s="9" t="s">
        <v>1224</v>
      </c>
      <c r="F104" s="9">
        <v>13</v>
      </c>
      <c r="G104" s="9" t="str">
        <f>+'DECRETOS PNCP'!$B$2</f>
        <v>4T-2026</v>
      </c>
      <c r="H104" s="9">
        <v>0</v>
      </c>
      <c r="I104" s="14" t="str">
        <f>+'PMG(D) segun remuneracion'!$K$1</f>
        <v>01-09-2026</v>
      </c>
      <c r="J104" s="14" t="str">
        <f>+'PMG(D) segun remuneracion'!$K$2</f>
        <v>30-09-2026</v>
      </c>
      <c r="K104" s="9">
        <f>+'PMG(D) segun remuneracion'!$K$3</f>
        <v>2</v>
      </c>
      <c r="L104" s="9">
        <f>+'PMG(D) segun remuneracion'!$K$4</f>
        <v>1</v>
      </c>
      <c r="M104" s="9">
        <f t="shared" si="2"/>
        <v>1</v>
      </c>
      <c r="N104" s="9" t="str">
        <f>+Tabla3[[#This Row],[Barra Balance]]&amp;"_"&amp;Tabla3[[#This Row],[Tensión Balance]]</f>
        <v>ROSARIO_13</v>
      </c>
      <c r="S104" t="s">
        <v>104</v>
      </c>
      <c r="T104" t="s">
        <v>1186</v>
      </c>
    </row>
    <row r="105" spans="1:20">
      <c r="A105" s="9">
        <v>15</v>
      </c>
      <c r="B105" s="9" t="s">
        <v>182</v>
      </c>
      <c r="C105" s="9">
        <v>220</v>
      </c>
      <c r="D105" s="9">
        <f>+VLOOKUP(B105&amp;"_"&amp;C105,'DECRETOS PNCP'!A:F,5,0)</f>
        <v>50.606000000000002</v>
      </c>
      <c r="E105" s="9" t="s">
        <v>288</v>
      </c>
      <c r="F105" s="9">
        <v>13</v>
      </c>
      <c r="G105" s="9" t="str">
        <f>+'DECRETOS PNCP'!$B$2</f>
        <v>4T-2026</v>
      </c>
      <c r="H105" s="9">
        <v>0</v>
      </c>
      <c r="I105" s="14" t="str">
        <f>+'PMG(D) segun remuneracion'!$K$1</f>
        <v>01-09-2026</v>
      </c>
      <c r="J105" s="14" t="str">
        <f>+'PMG(D) segun remuneracion'!$K$2</f>
        <v>30-09-2026</v>
      </c>
      <c r="K105" s="9">
        <f>+'PMG(D) segun remuneracion'!$K$3</f>
        <v>2</v>
      </c>
      <c r="L105" s="9">
        <f>+'PMG(D) segun remuneracion'!$K$4</f>
        <v>1</v>
      </c>
      <c r="M105" s="9">
        <f t="shared" si="2"/>
        <v>1</v>
      </c>
      <c r="N105" s="9" t="str">
        <f>+Tabla3[[#This Row],[Barra Balance]]&amp;"_"&amp;Tabla3[[#This Row],[Tensión Balance]]</f>
        <v>CHUMAQUITO_13</v>
      </c>
      <c r="S105" t="s">
        <v>1601</v>
      </c>
      <c r="T105" t="s">
        <v>1186</v>
      </c>
    </row>
    <row r="106" spans="1:20">
      <c r="A106" s="9">
        <v>15</v>
      </c>
      <c r="B106" s="9" t="s">
        <v>948</v>
      </c>
      <c r="C106" s="9">
        <v>220</v>
      </c>
      <c r="D106" s="9">
        <f>+VLOOKUP(B106&amp;"_"&amp;C106,'DECRETOS PNCP'!A:F,5,0)</f>
        <v>51.737000000000002</v>
      </c>
      <c r="E106" s="9" t="s">
        <v>1540</v>
      </c>
      <c r="F106" s="9">
        <v>23</v>
      </c>
      <c r="G106" s="9" t="str">
        <f>+'DECRETOS PNCP'!$B$2</f>
        <v>4T-2026</v>
      </c>
      <c r="H106" s="9">
        <v>0</v>
      </c>
      <c r="I106" s="14" t="str">
        <f>+'PMG(D) segun remuneracion'!$K$1</f>
        <v>01-09-2026</v>
      </c>
      <c r="J106" s="14" t="str">
        <f>+'PMG(D) segun remuneracion'!$K$2</f>
        <v>30-09-2026</v>
      </c>
      <c r="K106" s="9">
        <f>+'PMG(D) segun remuneracion'!$K$3</f>
        <v>2</v>
      </c>
      <c r="L106" s="9">
        <f>+'PMG(D) segun remuneracion'!$K$4</f>
        <v>1</v>
      </c>
      <c r="M106" s="9">
        <f t="shared" si="2"/>
        <v>1</v>
      </c>
      <c r="N106" s="9" t="str">
        <f>+Tabla3[[#This Row],[Barra Balance]]&amp;"_"&amp;Tabla3[[#This Row],[Tensión Balance]]</f>
        <v>VICUNA_23</v>
      </c>
      <c r="S106" t="s">
        <v>105</v>
      </c>
      <c r="T106" t="s">
        <v>1152</v>
      </c>
    </row>
    <row r="107" spans="1:20">
      <c r="A107" s="9">
        <v>15</v>
      </c>
      <c r="B107" s="9" t="s">
        <v>182</v>
      </c>
      <c r="C107" s="9">
        <v>220</v>
      </c>
      <c r="D107" s="9">
        <f>+VLOOKUP(B107&amp;"_"&amp;C107,'DECRETOS PNCP'!A:F,5,0)</f>
        <v>50.606000000000002</v>
      </c>
      <c r="E107" s="9" t="s">
        <v>743</v>
      </c>
      <c r="F107" s="9">
        <v>15</v>
      </c>
      <c r="G107" s="9" t="str">
        <f>+'DECRETOS PNCP'!$B$2</f>
        <v>4T-2026</v>
      </c>
      <c r="H107" s="9">
        <v>0</v>
      </c>
      <c r="I107" s="14" t="str">
        <f>+'PMG(D) segun remuneracion'!$K$1</f>
        <v>01-09-2026</v>
      </c>
      <c r="J107" s="14" t="str">
        <f>+'PMG(D) segun remuneracion'!$K$2</f>
        <v>30-09-2026</v>
      </c>
      <c r="K107" s="9">
        <f>+'PMG(D) segun remuneracion'!$K$3</f>
        <v>2</v>
      </c>
      <c r="L107" s="9">
        <f>+'PMG(D) segun remuneracion'!$K$4</f>
        <v>1</v>
      </c>
      <c r="M107" s="9">
        <f t="shared" si="2"/>
        <v>1</v>
      </c>
      <c r="N107" s="9" t="str">
        <f>+Tabla3[[#This Row],[Barra Balance]]&amp;"_"&amp;Tabla3[[#This Row],[Tensión Balance]]</f>
        <v>LORETO_15</v>
      </c>
      <c r="S107" t="s">
        <v>106</v>
      </c>
      <c r="T107" t="s">
        <v>1152</v>
      </c>
    </row>
    <row r="108" spans="1:20">
      <c r="A108" s="9">
        <v>15</v>
      </c>
      <c r="B108" s="9" t="s">
        <v>142</v>
      </c>
      <c r="C108" s="9">
        <v>220</v>
      </c>
      <c r="D108" s="9">
        <f>+VLOOKUP(B108&amp;"_"&amp;C108,'DECRETOS PNCP'!A:F,5,0)</f>
        <v>48.79</v>
      </c>
      <c r="E108" s="9" t="s">
        <v>959</v>
      </c>
      <c r="F108" s="9">
        <v>23</v>
      </c>
      <c r="G108" s="9" t="str">
        <f>+'DECRETOS PNCP'!$B$2</f>
        <v>4T-2026</v>
      </c>
      <c r="H108" s="9">
        <v>0</v>
      </c>
      <c r="I108" s="14" t="str">
        <f>+'PMG(D) segun remuneracion'!$K$1</f>
        <v>01-09-2026</v>
      </c>
      <c r="J108" s="14" t="str">
        <f>+'PMG(D) segun remuneracion'!$K$2</f>
        <v>30-09-2026</v>
      </c>
      <c r="K108" s="9">
        <f>+'PMG(D) segun remuneracion'!$K$3</f>
        <v>2</v>
      </c>
      <c r="L108" s="9">
        <f>+'PMG(D) segun remuneracion'!$K$4</f>
        <v>1</v>
      </c>
      <c r="M108" s="9">
        <f t="shared" si="2"/>
        <v>1</v>
      </c>
      <c r="N108" s="9" t="str">
        <f>+Tabla3[[#This Row],[Barra Balance]]&amp;"_"&amp;Tabla3[[#This Row],[Tensión Balance]]</f>
        <v>P.HURTADO_23</v>
      </c>
      <c r="S108" t="s">
        <v>1602</v>
      </c>
      <c r="T108" t="s">
        <v>358</v>
      </c>
    </row>
    <row r="109" spans="1:20">
      <c r="A109" s="9">
        <v>15</v>
      </c>
      <c r="B109" s="9" t="s">
        <v>248</v>
      </c>
      <c r="C109" s="9">
        <v>220</v>
      </c>
      <c r="D109" s="9">
        <f>+VLOOKUP(B109&amp;"_"&amp;C109,'DECRETOS PNCP'!A:F,5,0)</f>
        <v>45.99</v>
      </c>
      <c r="E109" s="9" t="s">
        <v>1045</v>
      </c>
      <c r="F109" s="9">
        <v>13</v>
      </c>
      <c r="G109" s="9" t="str">
        <f>+'DECRETOS PNCP'!$B$2</f>
        <v>4T-2026</v>
      </c>
      <c r="H109" s="9">
        <v>0</v>
      </c>
      <c r="I109" s="14" t="str">
        <f>+'PMG(D) segun remuneracion'!$K$1</f>
        <v>01-09-2026</v>
      </c>
      <c r="J109" s="14" t="str">
        <f>+'PMG(D) segun remuneracion'!$K$2</f>
        <v>30-09-2026</v>
      </c>
      <c r="K109" s="9">
        <f>+'PMG(D) segun remuneracion'!$K$3</f>
        <v>2</v>
      </c>
      <c r="L109" s="9">
        <f>+'PMG(D) segun remuneracion'!$K$4</f>
        <v>1</v>
      </c>
      <c r="M109" s="9">
        <f t="shared" si="2"/>
        <v>1</v>
      </c>
      <c r="N109" s="9" t="str">
        <f>+Tabla3[[#This Row],[Barra Balance]]&amp;"_"&amp;Tabla3[[#This Row],[Tensión Balance]]</f>
        <v>PEUCHEN_13</v>
      </c>
      <c r="S109" t="s">
        <v>107</v>
      </c>
      <c r="T109" t="s">
        <v>152</v>
      </c>
    </row>
    <row r="110" spans="1:20">
      <c r="A110" s="9">
        <v>15</v>
      </c>
      <c r="B110" s="9" t="s">
        <v>632</v>
      </c>
      <c r="C110" s="9">
        <v>220</v>
      </c>
      <c r="D110" s="9">
        <f>+VLOOKUP(B110&amp;"_"&amp;C110,'DECRETOS PNCP'!A:F,5,0)</f>
        <v>50.503999999999998</v>
      </c>
      <c r="E110" s="9" t="s">
        <v>632</v>
      </c>
      <c r="F110" s="9">
        <v>23</v>
      </c>
      <c r="G110" s="9" t="str">
        <f>+'DECRETOS PNCP'!$B$2</f>
        <v>4T-2026</v>
      </c>
      <c r="H110" s="9">
        <v>0</v>
      </c>
      <c r="I110" s="14" t="str">
        <f>+'PMG(D) segun remuneracion'!$K$1</f>
        <v>01-09-2026</v>
      </c>
      <c r="J110" s="14" t="str">
        <f>+'PMG(D) segun remuneracion'!$K$2</f>
        <v>30-09-2026</v>
      </c>
      <c r="K110" s="9">
        <f>+'PMG(D) segun remuneracion'!$K$3</f>
        <v>2</v>
      </c>
      <c r="L110" s="9">
        <f>+'PMG(D) segun remuneracion'!$K$4</f>
        <v>1</v>
      </c>
      <c r="M110" s="9">
        <f t="shared" si="2"/>
        <v>1</v>
      </c>
      <c r="N110" s="9" t="str">
        <f>+Tabla3[[#This Row],[Barra Balance]]&amp;"_"&amp;Tabla3[[#This Row],[Tensión Balance]]</f>
        <v>LAGUNAS_23</v>
      </c>
      <c r="S110" t="s">
        <v>109</v>
      </c>
      <c r="T110" t="s">
        <v>152</v>
      </c>
    </row>
    <row r="111" spans="1:20">
      <c r="A111" s="9">
        <v>15</v>
      </c>
      <c r="B111" s="9" t="s">
        <v>1197</v>
      </c>
      <c r="C111" s="9">
        <v>220</v>
      </c>
      <c r="D111" s="9">
        <f>+VLOOKUP(B111&amp;"_"&amp;C111,'DECRETOS PNCP'!A:F,5,0)</f>
        <v>49.04</v>
      </c>
      <c r="E111" s="9" t="s">
        <v>474</v>
      </c>
      <c r="F111" s="9">
        <v>13</v>
      </c>
      <c r="G111" s="9" t="str">
        <f>+'DECRETOS PNCP'!$B$2</f>
        <v>4T-2026</v>
      </c>
      <c r="H111" s="9">
        <v>0</v>
      </c>
      <c r="I111" s="14" t="str">
        <f>+'PMG(D) segun remuneracion'!$K$1</f>
        <v>01-09-2026</v>
      </c>
      <c r="J111" s="14" t="str">
        <f>+'PMG(D) segun remuneracion'!$K$2</f>
        <v>30-09-2026</v>
      </c>
      <c r="K111" s="9">
        <f>+'PMG(D) segun remuneracion'!$K$3</f>
        <v>2</v>
      </c>
      <c r="L111" s="9">
        <f>+'PMG(D) segun remuneracion'!$K$4</f>
        <v>1</v>
      </c>
      <c r="M111" s="9">
        <f t="shared" si="2"/>
        <v>1</v>
      </c>
      <c r="N111" s="9" t="str">
        <f>+Tabla3[[#This Row],[Barra Balance]]&amp;"_"&amp;Tabla3[[#This Row],[Tensión Balance]]</f>
        <v>ESPERANZA_13</v>
      </c>
      <c r="S111" t="s">
        <v>110</v>
      </c>
      <c r="T111" t="s">
        <v>636</v>
      </c>
    </row>
    <row r="112" spans="1:20">
      <c r="A112" s="9">
        <v>15</v>
      </c>
      <c r="B112" s="9" t="s">
        <v>182</v>
      </c>
      <c r="C112" s="9">
        <v>220</v>
      </c>
      <c r="D112" s="9">
        <f>+VLOOKUP(B112&amp;"_"&amp;C112,'DECRETOS PNCP'!A:F,5,0)</f>
        <v>50.606000000000002</v>
      </c>
      <c r="E112" s="9" t="s">
        <v>1212</v>
      </c>
      <c r="F112" s="9">
        <v>13</v>
      </c>
      <c r="G112" s="9" t="str">
        <f>+'DECRETOS PNCP'!$B$2</f>
        <v>4T-2026</v>
      </c>
      <c r="H112" s="9">
        <v>0</v>
      </c>
      <c r="I112" s="14" t="str">
        <f>+'PMG(D) segun remuneracion'!$K$1</f>
        <v>01-09-2026</v>
      </c>
      <c r="J112" s="14" t="str">
        <f>+'PMG(D) segun remuneracion'!$K$2</f>
        <v>30-09-2026</v>
      </c>
      <c r="K112" s="9">
        <f>+'PMG(D) segun remuneracion'!$K$3</f>
        <v>2</v>
      </c>
      <c r="L112" s="9">
        <f>+'PMG(D) segun remuneracion'!$K$4</f>
        <v>1</v>
      </c>
      <c r="M112" s="9">
        <f t="shared" si="2"/>
        <v>1</v>
      </c>
      <c r="N112" s="9" t="str">
        <f>+Tabla3[[#This Row],[Barra Balance]]&amp;"_"&amp;Tabla3[[#This Row],[Tensión Balance]]</f>
        <v>RENGO_13</v>
      </c>
      <c r="S112" t="s">
        <v>111</v>
      </c>
      <c r="T112" t="s">
        <v>143</v>
      </c>
    </row>
    <row r="113" spans="1:20">
      <c r="A113" s="9">
        <v>15</v>
      </c>
      <c r="B113" s="9" t="s">
        <v>1197</v>
      </c>
      <c r="C113" s="9">
        <v>220</v>
      </c>
      <c r="D113" s="9">
        <f>+VLOOKUP(B113&amp;"_"&amp;C113,'DECRETOS PNCP'!A:F,5,0)</f>
        <v>49.04</v>
      </c>
      <c r="E113" s="9" t="s">
        <v>48</v>
      </c>
      <c r="F113" s="9">
        <v>23</v>
      </c>
      <c r="G113" s="9" t="str">
        <f>+'DECRETOS PNCP'!$B$2</f>
        <v>4T-2026</v>
      </c>
      <c r="H113" s="9">
        <v>0</v>
      </c>
      <c r="I113" s="14" t="str">
        <f>+'PMG(D) segun remuneracion'!$K$1</f>
        <v>01-09-2026</v>
      </c>
      <c r="J113" s="14" t="str">
        <f>+'PMG(D) segun remuneracion'!$K$2</f>
        <v>30-09-2026</v>
      </c>
      <c r="K113" s="9">
        <f>+'PMG(D) segun remuneracion'!$K$3</f>
        <v>2</v>
      </c>
      <c r="L113" s="9">
        <f>+'PMG(D) segun remuneracion'!$K$4</f>
        <v>1</v>
      </c>
      <c r="M113" s="9">
        <f t="shared" si="2"/>
        <v>1</v>
      </c>
      <c r="N113" s="9" t="str">
        <f>+Tabla3[[#This Row],[Barra Balance]]&amp;"_"&amp;Tabla3[[#This Row],[Tensión Balance]]</f>
        <v>ALHUE_23</v>
      </c>
      <c r="S113" t="s">
        <v>112</v>
      </c>
      <c r="T113" t="s">
        <v>143</v>
      </c>
    </row>
    <row r="114" spans="1:20">
      <c r="A114" s="9">
        <v>15</v>
      </c>
      <c r="B114" s="9" t="s">
        <v>548</v>
      </c>
      <c r="C114" s="9">
        <v>220</v>
      </c>
      <c r="D114" s="9">
        <f>+VLOOKUP(B114&amp;"_"&amp;C114,'DECRETOS PNCP'!A:F,5,0)</f>
        <v>44.463999999999999</v>
      </c>
      <c r="E114" s="9" t="s">
        <v>1200</v>
      </c>
      <c r="F114" s="9">
        <v>13</v>
      </c>
      <c r="G114" s="9" t="str">
        <f>+'DECRETOS PNCP'!$B$2</f>
        <v>4T-2026</v>
      </c>
      <c r="H114" s="9">
        <v>0</v>
      </c>
      <c r="I114" s="14" t="str">
        <f>+'PMG(D) segun remuneracion'!$K$1</f>
        <v>01-09-2026</v>
      </c>
      <c r="J114" s="14" t="str">
        <f>+'PMG(D) segun remuneracion'!$K$2</f>
        <v>30-09-2026</v>
      </c>
      <c r="K114" s="9">
        <f>+'PMG(D) segun remuneracion'!$K$3</f>
        <v>2</v>
      </c>
      <c r="L114" s="9">
        <f>+'PMG(D) segun remuneracion'!$K$4</f>
        <v>1</v>
      </c>
      <c r="M114" s="9">
        <f t="shared" si="2"/>
        <v>1</v>
      </c>
      <c r="N114" s="9" t="str">
        <f>+Tabla3[[#This Row],[Barra Balance]]&amp;"_"&amp;Tabla3[[#This Row],[Tensión Balance]]</f>
        <v>RAUQUEN_13</v>
      </c>
      <c r="S114" t="s">
        <v>113</v>
      </c>
      <c r="T114" t="s">
        <v>636</v>
      </c>
    </row>
    <row r="115" spans="1:20">
      <c r="A115" s="9">
        <v>15</v>
      </c>
      <c r="B115" s="9" t="s">
        <v>548</v>
      </c>
      <c r="C115" s="9">
        <v>220</v>
      </c>
      <c r="D115" s="9">
        <f>+VLOOKUP(B115&amp;"_"&amp;C115,'DECRETOS PNCP'!A:F,5,0)</f>
        <v>44.463999999999999</v>
      </c>
      <c r="E115" s="9" t="s">
        <v>651</v>
      </c>
      <c r="F115" s="9">
        <v>13</v>
      </c>
      <c r="G115" s="9" t="str">
        <f>+'DECRETOS PNCP'!$B$2</f>
        <v>4T-2026</v>
      </c>
      <c r="H115" s="9">
        <v>0</v>
      </c>
      <c r="I115" s="14" t="str">
        <f>+'PMG(D) segun remuneracion'!$K$1</f>
        <v>01-09-2026</v>
      </c>
      <c r="J115" s="14" t="str">
        <f>+'PMG(D) segun remuneracion'!$K$2</f>
        <v>30-09-2026</v>
      </c>
      <c r="K115" s="9">
        <f>+'PMG(D) segun remuneracion'!$K$3</f>
        <v>2</v>
      </c>
      <c r="L115" s="9">
        <f>+'PMG(D) segun remuneracion'!$K$4</f>
        <v>1</v>
      </c>
      <c r="M115" s="9">
        <f t="shared" si="2"/>
        <v>1</v>
      </c>
      <c r="N115" s="9" t="str">
        <f>+Tabla3[[#This Row],[Barra Balance]]&amp;"_"&amp;Tabla3[[#This Row],[Tensión Balance]]</f>
        <v>LAPALMA_13</v>
      </c>
      <c r="S115" t="s">
        <v>114</v>
      </c>
      <c r="T115" t="s">
        <v>636</v>
      </c>
    </row>
    <row r="116" spans="1:20">
      <c r="A116" s="9">
        <v>15</v>
      </c>
      <c r="B116" s="9" t="s">
        <v>548</v>
      </c>
      <c r="C116" s="9">
        <v>220</v>
      </c>
      <c r="D116" s="9">
        <f>+VLOOKUP(B116&amp;"_"&amp;C116,'DECRETOS PNCP'!A:F,5,0)</f>
        <v>44.463999999999999</v>
      </c>
      <c r="E116" s="9" t="s">
        <v>908</v>
      </c>
      <c r="F116" s="9">
        <v>23</v>
      </c>
      <c r="G116" s="9" t="str">
        <f>+'DECRETOS PNCP'!$B$2</f>
        <v>4T-2026</v>
      </c>
      <c r="H116" s="9">
        <v>0</v>
      </c>
      <c r="I116" s="14" t="str">
        <f>+'PMG(D) segun remuneracion'!$K$1</f>
        <v>01-09-2026</v>
      </c>
      <c r="J116" s="14" t="str">
        <f>+'PMG(D) segun remuneracion'!$K$2</f>
        <v>30-09-2026</v>
      </c>
      <c r="K116" s="9">
        <f>+'PMG(D) segun remuneracion'!$K$3</f>
        <v>2</v>
      </c>
      <c r="L116" s="9">
        <f>+'PMG(D) segun remuneracion'!$K$4</f>
        <v>1</v>
      </c>
      <c r="M116" s="9">
        <f t="shared" si="2"/>
        <v>1</v>
      </c>
      <c r="N116" s="9" t="str">
        <f>+Tabla3[[#This Row],[Barra Balance]]&amp;"_"&amp;Tabla3[[#This Row],[Tensión Balance]]</f>
        <v>NIRIVILO_23</v>
      </c>
      <c r="S116" t="s">
        <v>115</v>
      </c>
      <c r="T116" t="s">
        <v>636</v>
      </c>
    </row>
    <row r="117" spans="1:20">
      <c r="A117" s="9">
        <v>15</v>
      </c>
      <c r="B117" s="9" t="s">
        <v>9</v>
      </c>
      <c r="C117" s="9">
        <v>220</v>
      </c>
      <c r="D117" s="9">
        <f>+VLOOKUP(B117&amp;"_"&amp;C117,'DECRETOS PNCP'!A:F,5,0)</f>
        <v>52.97</v>
      </c>
      <c r="E117" s="9" t="s">
        <v>545</v>
      </c>
      <c r="F117" s="9">
        <v>13</v>
      </c>
      <c r="G117" s="9" t="str">
        <f>+'DECRETOS PNCP'!$B$2</f>
        <v>4T-2026</v>
      </c>
      <c r="H117" s="9">
        <v>0</v>
      </c>
      <c r="I117" s="14" t="str">
        <f>+'PMG(D) segun remuneracion'!$K$1</f>
        <v>01-09-2026</v>
      </c>
      <c r="J117" s="14" t="str">
        <f>+'PMG(D) segun remuneracion'!$K$2</f>
        <v>30-09-2026</v>
      </c>
      <c r="K117" s="9">
        <f>+'PMG(D) segun remuneracion'!$K$3</f>
        <v>2</v>
      </c>
      <c r="L117" s="9">
        <f>+'PMG(D) segun remuneracion'!$K$4</f>
        <v>1</v>
      </c>
      <c r="M117" s="9">
        <f t="shared" si="2"/>
        <v>1</v>
      </c>
      <c r="N117" s="9" t="str">
        <f>+Tabla3[[#This Row],[Barra Balance]]&amp;"_"&amp;Tabla3[[#This Row],[Tensión Balance]]</f>
        <v>ISLADMAIPO_13</v>
      </c>
      <c r="S117" t="s">
        <v>116</v>
      </c>
      <c r="T117" t="s">
        <v>636</v>
      </c>
    </row>
    <row r="118" spans="1:20">
      <c r="A118" s="9">
        <v>15</v>
      </c>
      <c r="B118" s="9" t="s">
        <v>1151</v>
      </c>
      <c r="C118" s="9">
        <v>220</v>
      </c>
      <c r="D118" s="9">
        <f>+VLOOKUP(B118&amp;"_"&amp;C118,'DECRETOS PNCP'!A:F,5,0)</f>
        <v>52.235999999999997</v>
      </c>
      <c r="E118" s="9" t="s">
        <v>834</v>
      </c>
      <c r="F118" s="9">
        <v>13</v>
      </c>
      <c r="G118" s="9" t="str">
        <f>+'DECRETOS PNCP'!$B$2</f>
        <v>4T-2026</v>
      </c>
      <c r="H118" s="9">
        <v>0</v>
      </c>
      <c r="I118" s="14" t="str">
        <f>+'PMG(D) segun remuneracion'!$K$1</f>
        <v>01-09-2026</v>
      </c>
      <c r="J118" s="14" t="str">
        <f>+'PMG(D) segun remuneracion'!$K$2</f>
        <v>30-09-2026</v>
      </c>
      <c r="K118" s="9">
        <f>+'PMG(D) segun remuneracion'!$K$3</f>
        <v>2</v>
      </c>
      <c r="L118" s="9">
        <f>+'PMG(D) segun remuneracion'!$K$4</f>
        <v>1</v>
      </c>
      <c r="M118" s="9">
        <f t="shared" si="2"/>
        <v>1</v>
      </c>
      <c r="N118" s="9" t="str">
        <f>+Tabla3[[#This Row],[Barra Balance]]&amp;"_"&amp;Tabla3[[#This Row],[Tensión Balance]]</f>
        <v>MAYACA_13</v>
      </c>
      <c r="S118" t="s">
        <v>1603</v>
      </c>
      <c r="T118" t="s">
        <v>628</v>
      </c>
    </row>
    <row r="119" spans="1:20">
      <c r="A119" s="9">
        <v>15</v>
      </c>
      <c r="B119" s="9" t="s">
        <v>1151</v>
      </c>
      <c r="C119" s="9">
        <v>220</v>
      </c>
      <c r="D119" s="9">
        <f>+VLOOKUP(B119&amp;"_"&amp;C119,'DECRETOS PNCP'!A:F,5,0)</f>
        <v>52.235999999999997</v>
      </c>
      <c r="E119" s="9" t="s">
        <v>858</v>
      </c>
      <c r="F119" s="9">
        <v>13</v>
      </c>
      <c r="G119" s="9" t="str">
        <f>+'DECRETOS PNCP'!$B$2</f>
        <v>4T-2026</v>
      </c>
      <c r="H119" s="9">
        <v>0</v>
      </c>
      <c r="I119" s="14" t="str">
        <f>+'PMG(D) segun remuneracion'!$K$1</f>
        <v>01-09-2026</v>
      </c>
      <c r="J119" s="14" t="str">
        <f>+'PMG(D) segun remuneracion'!$K$2</f>
        <v>30-09-2026</v>
      </c>
      <c r="K119" s="9">
        <f>+'PMG(D) segun remuneracion'!$K$3</f>
        <v>2</v>
      </c>
      <c r="L119" s="9">
        <f>+'PMG(D) segun remuneracion'!$K$4</f>
        <v>1</v>
      </c>
      <c r="M119" s="9">
        <f t="shared" si="2"/>
        <v>1</v>
      </c>
      <c r="N119" s="9" t="str">
        <f>+Tabla3[[#This Row],[Barra Balance]]&amp;"_"&amp;Tabla3[[#This Row],[Tensión Balance]]</f>
        <v>MIRAFLORES_13</v>
      </c>
      <c r="S119" t="s">
        <v>117</v>
      </c>
      <c r="T119" t="s">
        <v>15</v>
      </c>
    </row>
    <row r="120" spans="1:20">
      <c r="A120" s="9">
        <v>15</v>
      </c>
      <c r="B120" s="9" t="s">
        <v>1151</v>
      </c>
      <c r="C120" s="9">
        <v>220</v>
      </c>
      <c r="D120" s="9">
        <f>+VLOOKUP(B120&amp;"_"&amp;C120,'DECRETOS PNCP'!A:F,5,0)</f>
        <v>52.235999999999997</v>
      </c>
      <c r="E120" s="9" t="s">
        <v>1077</v>
      </c>
      <c r="F120" s="9">
        <v>13</v>
      </c>
      <c r="G120" s="9" t="str">
        <f>+'DECRETOS PNCP'!$B$2</f>
        <v>4T-2026</v>
      </c>
      <c r="H120" s="9">
        <v>0</v>
      </c>
      <c r="I120" s="14" t="str">
        <f>+'PMG(D) segun remuneracion'!$K$1</f>
        <v>01-09-2026</v>
      </c>
      <c r="J120" s="14" t="str">
        <f>+'PMG(D) segun remuneracion'!$K$2</f>
        <v>30-09-2026</v>
      </c>
      <c r="K120" s="9">
        <f>+'PMG(D) segun remuneracion'!$K$3</f>
        <v>2</v>
      </c>
      <c r="L120" s="9">
        <f>+'PMG(D) segun remuneracion'!$K$4</f>
        <v>1</v>
      </c>
      <c r="M120" s="9">
        <f t="shared" si="2"/>
        <v>1</v>
      </c>
      <c r="N120" s="9" t="str">
        <f>+Tabla3[[#This Row],[Barra Balance]]&amp;"_"&amp;Tabla3[[#This Row],[Tensión Balance]]</f>
        <v>PLACERES_13</v>
      </c>
      <c r="S120" t="s">
        <v>119</v>
      </c>
      <c r="T120" t="s">
        <v>15</v>
      </c>
    </row>
    <row r="121" spans="1:20">
      <c r="A121" s="9">
        <v>15</v>
      </c>
      <c r="B121" s="9" t="s">
        <v>151</v>
      </c>
      <c r="C121" s="9">
        <v>220</v>
      </c>
      <c r="D121" s="9">
        <f>+VLOOKUP(B121&amp;"_"&amp;C121,'DECRETOS PNCP'!A:F,5,0)</f>
        <v>48.853000000000002</v>
      </c>
      <c r="E121" s="9" t="s">
        <v>371</v>
      </c>
      <c r="F121" s="9">
        <v>12</v>
      </c>
      <c r="G121" s="9" t="str">
        <f>+'DECRETOS PNCP'!$B$2</f>
        <v>4T-2026</v>
      </c>
      <c r="H121" s="9">
        <v>0</v>
      </c>
      <c r="I121" s="14" t="str">
        <f>+'PMG(D) segun remuneracion'!$K$1</f>
        <v>01-09-2026</v>
      </c>
      <c r="J121" s="14" t="str">
        <f>+'PMG(D) segun remuneracion'!$K$2</f>
        <v>30-09-2026</v>
      </c>
      <c r="K121" s="9">
        <f>+'PMG(D) segun remuneracion'!$K$3</f>
        <v>2</v>
      </c>
      <c r="L121" s="9">
        <f>+'PMG(D) segun remuneracion'!$K$4</f>
        <v>1</v>
      </c>
      <c r="M121" s="9">
        <f t="shared" si="2"/>
        <v>1</v>
      </c>
      <c r="N121" s="9" t="str">
        <f>+Tabla3[[#This Row],[Barra Balance]]&amp;"_"&amp;Tabla3[[#This Row],[Tensión Balance]]</f>
        <v>CURACAVI_12</v>
      </c>
      <c r="S121" t="s">
        <v>126</v>
      </c>
      <c r="T121" t="s">
        <v>1152</v>
      </c>
    </row>
    <row r="122" spans="1:20">
      <c r="A122" s="9">
        <v>15</v>
      </c>
      <c r="B122" s="9" t="s">
        <v>182</v>
      </c>
      <c r="C122" s="9">
        <v>220</v>
      </c>
      <c r="D122" s="9">
        <f>+VLOOKUP(B122&amp;"_"&amp;C122,'DECRETOS PNCP'!A:F,5,0)</f>
        <v>50.606000000000002</v>
      </c>
      <c r="E122" s="9" t="s">
        <v>800</v>
      </c>
      <c r="F122" s="9">
        <v>13</v>
      </c>
      <c r="G122" s="9" t="str">
        <f>+'DECRETOS PNCP'!$B$2</f>
        <v>4T-2026</v>
      </c>
      <c r="H122" s="9">
        <v>0</v>
      </c>
      <c r="I122" s="14" t="str">
        <f>+'PMG(D) segun remuneracion'!$K$1</f>
        <v>01-09-2026</v>
      </c>
      <c r="J122" s="14" t="str">
        <f>+'PMG(D) segun remuneracion'!$K$2</f>
        <v>30-09-2026</v>
      </c>
      <c r="K122" s="9">
        <f>+'PMG(D) segun remuneracion'!$K$3</f>
        <v>2</v>
      </c>
      <c r="L122" s="9">
        <f>+'PMG(D) segun remuneracion'!$K$4</f>
        <v>1</v>
      </c>
      <c r="M122" s="9">
        <f t="shared" si="2"/>
        <v>1</v>
      </c>
      <c r="N122" s="9" t="str">
        <f>+Tabla3[[#This Row],[Barra Balance]]&amp;"_"&amp;Tabla3[[#This Row],[Tensión Balance]]</f>
        <v>MALLOA_13</v>
      </c>
      <c r="S122" t="s">
        <v>127</v>
      </c>
      <c r="T122" t="s">
        <v>1152</v>
      </c>
    </row>
    <row r="123" spans="1:20">
      <c r="A123" s="9">
        <v>15</v>
      </c>
      <c r="B123" s="9" t="s">
        <v>182</v>
      </c>
      <c r="C123" s="9">
        <v>220</v>
      </c>
      <c r="D123" s="9">
        <f>+VLOOKUP(B123&amp;"_"&amp;C123,'DECRETOS PNCP'!A:F,5,0)</f>
        <v>50.606000000000002</v>
      </c>
      <c r="E123" s="9" t="s">
        <v>1032</v>
      </c>
      <c r="F123" s="9">
        <v>13</v>
      </c>
      <c r="G123" s="9" t="str">
        <f>+'DECRETOS PNCP'!$B$2</f>
        <v>4T-2026</v>
      </c>
      <c r="H123" s="9">
        <v>0</v>
      </c>
      <c r="I123" s="14" t="str">
        <f>+'PMG(D) segun remuneracion'!$K$1</f>
        <v>01-09-2026</v>
      </c>
      <c r="J123" s="14" t="str">
        <f>+'PMG(D) segun remuneracion'!$K$2</f>
        <v>30-09-2026</v>
      </c>
      <c r="K123" s="9">
        <f>+'PMG(D) segun remuneracion'!$K$3</f>
        <v>2</v>
      </c>
      <c r="L123" s="9">
        <f>+'PMG(D) segun remuneracion'!$K$4</f>
        <v>1</v>
      </c>
      <c r="M123" s="9">
        <f t="shared" si="2"/>
        <v>1</v>
      </c>
      <c r="N123" s="9" t="str">
        <f>+Tabla3[[#This Row],[Barra Balance]]&amp;"_"&amp;Tabla3[[#This Row],[Tensión Balance]]</f>
        <v>PELEQUEN_13</v>
      </c>
      <c r="S123" t="s">
        <v>128</v>
      </c>
      <c r="T123" t="s">
        <v>152</v>
      </c>
    </row>
    <row r="124" spans="1:20">
      <c r="A124" s="9">
        <v>15</v>
      </c>
      <c r="B124" s="9" t="s">
        <v>548</v>
      </c>
      <c r="C124" s="9">
        <v>220</v>
      </c>
      <c r="D124" s="9">
        <f>+VLOOKUP(B124&amp;"_"&amp;C124,'DECRETOS PNCP'!A:F,5,0)</f>
        <v>44.463999999999999</v>
      </c>
      <c r="E124" s="9" t="s">
        <v>1256</v>
      </c>
      <c r="F124" s="9">
        <v>23</v>
      </c>
      <c r="G124" s="9" t="str">
        <f>+'DECRETOS PNCP'!$B$2</f>
        <v>4T-2026</v>
      </c>
      <c r="H124" s="9">
        <v>0</v>
      </c>
      <c r="I124" s="14" t="str">
        <f>+'PMG(D) segun remuneracion'!$K$1</f>
        <v>01-09-2026</v>
      </c>
      <c r="J124" s="14" t="str">
        <f>+'PMG(D) segun remuneracion'!$K$2</f>
        <v>30-09-2026</v>
      </c>
      <c r="K124" s="9">
        <f>+'PMG(D) segun remuneracion'!$K$3</f>
        <v>2</v>
      </c>
      <c r="L124" s="9">
        <f>+'PMG(D) segun remuneracion'!$K$4</f>
        <v>1</v>
      </c>
      <c r="M124" s="9">
        <f t="shared" si="2"/>
        <v>1</v>
      </c>
      <c r="N124" s="9" t="str">
        <f>+Tabla3[[#This Row],[Barra Balance]]&amp;"_"&amp;Tabla3[[#This Row],[Tensión Balance]]</f>
        <v>S.JAVIER_23</v>
      </c>
      <c r="S124" t="s">
        <v>129</v>
      </c>
      <c r="T124" t="s">
        <v>152</v>
      </c>
    </row>
    <row r="125" spans="1:20">
      <c r="A125" s="9">
        <v>15</v>
      </c>
      <c r="B125" s="9" t="s">
        <v>248</v>
      </c>
      <c r="C125" s="9">
        <v>220</v>
      </c>
      <c r="D125" s="9">
        <f>+VLOOKUP(B125&amp;"_"&amp;C125,'DECRETOS PNCP'!A:F,5,0)</f>
        <v>45.99</v>
      </c>
      <c r="E125" s="9" t="s">
        <v>161</v>
      </c>
      <c r="F125" s="9">
        <v>13</v>
      </c>
      <c r="G125" s="9" t="str">
        <f>+'DECRETOS PNCP'!$B$2</f>
        <v>4T-2026</v>
      </c>
      <c r="H125" s="9">
        <v>0</v>
      </c>
      <c r="I125" s="14" t="str">
        <f>+'PMG(D) segun remuneracion'!$K$1</f>
        <v>01-09-2026</v>
      </c>
      <c r="J125" s="14" t="str">
        <f>+'PMG(D) segun remuneracion'!$K$2</f>
        <v>30-09-2026</v>
      </c>
      <c r="K125" s="9">
        <f>+'PMG(D) segun remuneracion'!$K$3</f>
        <v>2</v>
      </c>
      <c r="L125" s="9">
        <f>+'PMG(D) segun remuneracion'!$K$4</f>
        <v>1</v>
      </c>
      <c r="M125" s="9">
        <f t="shared" si="2"/>
        <v>1</v>
      </c>
      <c r="N125" s="9" t="str">
        <f>+Tabla3[[#This Row],[Barra Balance]]&amp;"_"&amp;Tabla3[[#This Row],[Tensión Balance]]</f>
        <v>CABRERO_13</v>
      </c>
      <c r="S125" t="s">
        <v>130</v>
      </c>
      <c r="T125" t="s">
        <v>251</v>
      </c>
    </row>
    <row r="126" spans="1:20">
      <c r="A126" s="9">
        <v>15</v>
      </c>
      <c r="B126" s="9" t="s">
        <v>635</v>
      </c>
      <c r="C126" s="9">
        <v>220</v>
      </c>
      <c r="D126" s="9">
        <f>+VLOOKUP(B126&amp;"_"&amp;C126,'DECRETOS PNCP'!A:F,5,0)</f>
        <v>47.165999999999997</v>
      </c>
      <c r="E126" s="9" t="s">
        <v>683</v>
      </c>
      <c r="F126" s="9">
        <v>13</v>
      </c>
      <c r="G126" s="9" t="str">
        <f>+'DECRETOS PNCP'!$B$2</f>
        <v>4T-2026</v>
      </c>
      <c r="H126" s="9">
        <v>0</v>
      </c>
      <c r="I126" s="14" t="str">
        <f>+'PMG(D) segun remuneracion'!$K$1</f>
        <v>01-09-2026</v>
      </c>
      <c r="J126" s="14" t="str">
        <f>+'PMG(D) segun remuneracion'!$K$2</f>
        <v>30-09-2026</v>
      </c>
      <c r="K126" s="9">
        <f>+'PMG(D) segun remuneracion'!$K$3</f>
        <v>2</v>
      </c>
      <c r="L126" s="9">
        <f>+'PMG(D) segun remuneracion'!$K$4</f>
        <v>1</v>
      </c>
      <c r="M126" s="9">
        <f t="shared" si="2"/>
        <v>1</v>
      </c>
      <c r="N126" s="9" t="str">
        <f>+Tabla3[[#This Row],[Barra Balance]]&amp;"_"&amp;Tabla3[[#This Row],[Tensión Balance]]</f>
        <v>LEBU_13</v>
      </c>
      <c r="S126" t="s">
        <v>131</v>
      </c>
      <c r="T126" t="s">
        <v>12</v>
      </c>
    </row>
    <row r="127" spans="1:20">
      <c r="A127" s="9">
        <v>15</v>
      </c>
      <c r="B127" s="9" t="s">
        <v>182</v>
      </c>
      <c r="C127" s="9">
        <v>220</v>
      </c>
      <c r="D127" s="9">
        <f>+VLOOKUP(B127&amp;"_"&amp;C127,'DECRETOS PNCP'!A:F,5,0)</f>
        <v>50.606000000000002</v>
      </c>
      <c r="E127" s="9" t="s">
        <v>779</v>
      </c>
      <c r="F127" s="9">
        <v>13</v>
      </c>
      <c r="G127" s="9" t="str">
        <f>+'DECRETOS PNCP'!$B$2</f>
        <v>4T-2026</v>
      </c>
      <c r="H127" s="9">
        <v>0</v>
      </c>
      <c r="I127" s="14" t="str">
        <f>+'PMG(D) segun remuneracion'!$K$1</f>
        <v>01-09-2026</v>
      </c>
      <c r="J127" s="14" t="str">
        <f>+'PMG(D) segun remuneracion'!$K$2</f>
        <v>30-09-2026</v>
      </c>
      <c r="K127" s="9">
        <f>+'PMG(D) segun remuneracion'!$K$3</f>
        <v>2</v>
      </c>
      <c r="L127" s="9">
        <f>+'PMG(D) segun remuneracion'!$K$4</f>
        <v>1</v>
      </c>
      <c r="M127" s="9">
        <f t="shared" si="2"/>
        <v>1</v>
      </c>
      <c r="N127" s="9" t="str">
        <f>+Tabla3[[#This Row],[Barra Balance]]&amp;"_"&amp;Tabla3[[#This Row],[Tensión Balance]]</f>
        <v>MACHALI_13</v>
      </c>
      <c r="S127" t="s">
        <v>133</v>
      </c>
      <c r="T127" t="s">
        <v>12</v>
      </c>
    </row>
    <row r="128" spans="1:20">
      <c r="A128" s="9">
        <v>15</v>
      </c>
      <c r="B128" s="9" t="s">
        <v>383</v>
      </c>
      <c r="C128" s="9">
        <v>220</v>
      </c>
      <c r="D128" s="9">
        <f>+VLOOKUP(B128&amp;"_"&amp;C128,'DECRETOS PNCP'!A:F,5,0)</f>
        <v>51.473999999999997</v>
      </c>
      <c r="E128" s="9" t="s">
        <v>453</v>
      </c>
      <c r="F128" s="9">
        <v>23</v>
      </c>
      <c r="G128" s="9" t="str">
        <f>+'DECRETOS PNCP'!$B$2</f>
        <v>4T-2026</v>
      </c>
      <c r="H128" s="9">
        <v>0</v>
      </c>
      <c r="I128" s="14" t="str">
        <f>+'PMG(D) segun remuneracion'!$K$1</f>
        <v>01-09-2026</v>
      </c>
      <c r="J128" s="14" t="str">
        <f>+'PMG(D) segun remuneracion'!$K$2</f>
        <v>30-09-2026</v>
      </c>
      <c r="K128" s="9">
        <f>+'PMG(D) segun remuneracion'!$K$3</f>
        <v>2</v>
      </c>
      <c r="L128" s="9">
        <f>+'PMG(D) segun remuneracion'!$K$4</f>
        <v>1</v>
      </c>
      <c r="M128" s="9">
        <f t="shared" si="2"/>
        <v>1</v>
      </c>
      <c r="N128" s="9" t="str">
        <f>+Tabla3[[#This Row],[Barra Balance]]&amp;"_"&amp;Tabla3[[#This Row],[Tensión Balance]]</f>
        <v>ELSALADO_23</v>
      </c>
      <c r="S128" t="s">
        <v>134</v>
      </c>
      <c r="T128" t="s">
        <v>12</v>
      </c>
    </row>
    <row r="129" spans="1:20">
      <c r="A129" s="9">
        <v>15</v>
      </c>
      <c r="B129" s="9" t="s">
        <v>248</v>
      </c>
      <c r="C129" s="9">
        <v>220</v>
      </c>
      <c r="D129" s="9">
        <f>+VLOOKUP(B129&amp;"_"&amp;C129,'DECRETOS PNCP'!A:F,5,0)</f>
        <v>45.99</v>
      </c>
      <c r="E129" s="9" t="s">
        <v>1401</v>
      </c>
      <c r="F129" s="9">
        <v>66</v>
      </c>
      <c r="G129" s="9" t="str">
        <f>+'DECRETOS PNCP'!$B$2</f>
        <v>4T-2026</v>
      </c>
      <c r="H129" s="9">
        <v>0</v>
      </c>
      <c r="I129" s="14" t="str">
        <f>+'PMG(D) segun remuneracion'!$K$1</f>
        <v>01-09-2026</v>
      </c>
      <c r="J129" s="14" t="str">
        <f>+'PMG(D) segun remuneracion'!$K$2</f>
        <v>30-09-2026</v>
      </c>
      <c r="K129" s="9">
        <f>+'PMG(D) segun remuneracion'!$K$3</f>
        <v>2</v>
      </c>
      <c r="L129" s="9">
        <f>+'PMG(D) segun remuneracion'!$K$4</f>
        <v>1</v>
      </c>
      <c r="M129" s="9">
        <f t="shared" si="2"/>
        <v>1</v>
      </c>
      <c r="N129" s="9" t="str">
        <f>+Tabla3[[#This Row],[Barra Balance]]&amp;"_"&amp;Tabla3[[#This Row],[Tensión Balance]]</f>
        <v>TAP_EL_MAITEN_66</v>
      </c>
      <c r="S129" t="s">
        <v>135</v>
      </c>
      <c r="T129" t="s">
        <v>12</v>
      </c>
    </row>
    <row r="130" spans="1:20">
      <c r="A130" s="9">
        <v>15</v>
      </c>
      <c r="B130" s="9" t="s">
        <v>548</v>
      </c>
      <c r="C130" s="9">
        <v>220</v>
      </c>
      <c r="D130" s="9">
        <f>+VLOOKUP(B130&amp;"_"&amp;C130,'DECRETOS PNCP'!A:F,5,0)</f>
        <v>44.463999999999999</v>
      </c>
      <c r="E130" s="9" t="s">
        <v>699</v>
      </c>
      <c r="F130" s="9">
        <v>13</v>
      </c>
      <c r="G130" s="9" t="str">
        <f>+'DECRETOS PNCP'!$B$2</f>
        <v>4T-2026</v>
      </c>
      <c r="H130" s="9">
        <v>0</v>
      </c>
      <c r="I130" s="14" t="str">
        <f>+'PMG(D) segun remuneracion'!$K$1</f>
        <v>01-09-2026</v>
      </c>
      <c r="J130" s="14" t="str">
        <f>+'PMG(D) segun remuneracion'!$K$2</f>
        <v>30-09-2026</v>
      </c>
      <c r="K130" s="9">
        <f>+'PMG(D) segun remuneracion'!$K$3</f>
        <v>2</v>
      </c>
      <c r="L130" s="9">
        <f>+'PMG(D) segun remuneracion'!$K$4</f>
        <v>1</v>
      </c>
      <c r="M130" s="9">
        <f t="shared" ref="M130:M193" si="3">+COUNTIFS(E:E,E130,F:F,F130)</f>
        <v>1</v>
      </c>
      <c r="N130" s="9" t="str">
        <f>+Tabla3[[#This Row],[Barra Balance]]&amp;"_"&amp;Tabla3[[#This Row],[Tensión Balance]]</f>
        <v>LIN.NORTE_13</v>
      </c>
      <c r="S130" t="s">
        <v>136</v>
      </c>
      <c r="T130" t="s">
        <v>251</v>
      </c>
    </row>
    <row r="131" spans="1:20">
      <c r="A131" s="9">
        <v>15</v>
      </c>
      <c r="B131" s="9" t="s">
        <v>911</v>
      </c>
      <c r="C131" s="9">
        <v>220</v>
      </c>
      <c r="D131" s="9">
        <f>+VLOOKUP(B131&amp;"_"&amp;C131,'DECRETOS PNCP'!A:F,5,0)</f>
        <v>51.460999999999999</v>
      </c>
      <c r="E131" s="9" t="s">
        <v>1231</v>
      </c>
      <c r="F131" s="9">
        <v>23</v>
      </c>
      <c r="G131" s="9" t="str">
        <f>+'DECRETOS PNCP'!$B$2</f>
        <v>4T-2026</v>
      </c>
      <c r="H131" s="9">
        <v>0</v>
      </c>
      <c r="I131" s="14" t="str">
        <f>+'PMG(D) segun remuneracion'!$K$1</f>
        <v>01-09-2026</v>
      </c>
      <c r="J131" s="14" t="str">
        <f>+'PMG(D) segun remuneracion'!$K$2</f>
        <v>30-09-2026</v>
      </c>
      <c r="K131" s="9">
        <f>+'PMG(D) segun remuneracion'!$K$3</f>
        <v>2</v>
      </c>
      <c r="L131" s="9">
        <f>+'PMG(D) segun remuneracion'!$K$4</f>
        <v>1</v>
      </c>
      <c r="M131" s="9">
        <f t="shared" si="3"/>
        <v>1</v>
      </c>
      <c r="N131" s="9" t="str">
        <f>+Tabla3[[#This Row],[Barra Balance]]&amp;"_"&amp;Tabla3[[#This Row],[Tensión Balance]]</f>
        <v>RUNGUE_23</v>
      </c>
      <c r="S131" t="s">
        <v>1604</v>
      </c>
      <c r="T131" t="s">
        <v>636</v>
      </c>
    </row>
    <row r="132" spans="1:20">
      <c r="A132" s="9">
        <v>15</v>
      </c>
      <c r="B132" s="9" t="s">
        <v>548</v>
      </c>
      <c r="C132" s="9">
        <v>220</v>
      </c>
      <c r="D132" s="9">
        <f>+VLOOKUP(B132&amp;"_"&amp;C132,'DECRETOS PNCP'!A:F,5,0)</f>
        <v>44.463999999999999</v>
      </c>
      <c r="E132" s="9" t="s">
        <v>829</v>
      </c>
      <c r="F132" s="9">
        <v>66</v>
      </c>
      <c r="G132" s="9" t="str">
        <f>+'DECRETOS PNCP'!$B$2</f>
        <v>4T-2026</v>
      </c>
      <c r="H132" s="9">
        <v>0</v>
      </c>
      <c r="I132" s="14" t="str">
        <f>+'PMG(D) segun remuneracion'!$K$1</f>
        <v>01-09-2026</v>
      </c>
      <c r="J132" s="14" t="str">
        <f>+'PMG(D) segun remuneracion'!$K$2</f>
        <v>30-09-2026</v>
      </c>
      <c r="K132" s="9">
        <f>+'PMG(D) segun remuneracion'!$K$3</f>
        <v>2</v>
      </c>
      <c r="L132" s="9">
        <f>+'PMG(D) segun remuneracion'!$K$4</f>
        <v>1</v>
      </c>
      <c r="M132" s="9">
        <f t="shared" si="3"/>
        <v>1</v>
      </c>
      <c r="N132" s="9" t="str">
        <f>+Tabla3[[#This Row],[Barra Balance]]&amp;"_"&amp;Tabla3[[#This Row],[Tensión Balance]]</f>
        <v>MAULE_66</v>
      </c>
      <c r="S132" t="s">
        <v>138</v>
      </c>
      <c r="T132" t="s">
        <v>522</v>
      </c>
    </row>
    <row r="133" spans="1:20">
      <c r="A133" s="9">
        <v>15</v>
      </c>
      <c r="B133" s="9" t="s">
        <v>182</v>
      </c>
      <c r="C133" s="9">
        <v>220</v>
      </c>
      <c r="D133" s="9">
        <f>+VLOOKUP(B133&amp;"_"&amp;C133,'DECRETOS PNCP'!A:F,5,0)</f>
        <v>50.606000000000002</v>
      </c>
      <c r="E133" s="9" t="s">
        <v>1128</v>
      </c>
      <c r="F133" s="9">
        <v>13</v>
      </c>
      <c r="G133" s="9" t="str">
        <f>+'DECRETOS PNCP'!$B$2</f>
        <v>4T-2026</v>
      </c>
      <c r="H133" s="9">
        <v>0</v>
      </c>
      <c r="I133" s="14" t="str">
        <f>+'PMG(D) segun remuneracion'!$K$1</f>
        <v>01-09-2026</v>
      </c>
      <c r="J133" s="14" t="str">
        <f>+'PMG(D) segun remuneracion'!$K$2</f>
        <v>30-09-2026</v>
      </c>
      <c r="K133" s="9">
        <f>+'PMG(D) segun remuneracion'!$K$3</f>
        <v>2</v>
      </c>
      <c r="L133" s="9">
        <f>+'PMG(D) segun remuneracion'!$K$4</f>
        <v>1</v>
      </c>
      <c r="M133" s="9">
        <f t="shared" si="3"/>
        <v>1</v>
      </c>
      <c r="N133" s="9" t="str">
        <f>+Tabla3[[#This Row],[Barra Balance]]&amp;"_"&amp;Tabla3[[#This Row],[Tensión Balance]]</f>
        <v>QTILCOCO_13</v>
      </c>
      <c r="S133" t="s">
        <v>139</v>
      </c>
      <c r="T133" t="s">
        <v>910</v>
      </c>
    </row>
    <row r="134" spans="1:20">
      <c r="A134" s="9">
        <v>15</v>
      </c>
      <c r="B134" s="9" t="s">
        <v>606</v>
      </c>
      <c r="C134" s="9">
        <v>220</v>
      </c>
      <c r="D134" s="9">
        <f>+VLOOKUP(B134&amp;"_"&amp;C134,'DECRETOS PNCP'!A:F,5,0)</f>
        <v>52.988</v>
      </c>
      <c r="E134" s="9" t="s">
        <v>1139</v>
      </c>
      <c r="F134" s="9">
        <v>23</v>
      </c>
      <c r="G134" s="9" t="str">
        <f>+'DECRETOS PNCP'!$B$2</f>
        <v>4T-2026</v>
      </c>
      <c r="H134" s="9">
        <v>0</v>
      </c>
      <c r="I134" s="14" t="str">
        <f>+'PMG(D) segun remuneracion'!$K$1</f>
        <v>01-09-2026</v>
      </c>
      <c r="J134" s="14" t="str">
        <f>+'PMG(D) segun remuneracion'!$K$2</f>
        <v>30-09-2026</v>
      </c>
      <c r="K134" s="9">
        <f>+'PMG(D) segun remuneracion'!$K$3</f>
        <v>2</v>
      </c>
      <c r="L134" s="9">
        <f>+'PMG(D) segun remuneracion'!$K$4</f>
        <v>1</v>
      </c>
      <c r="M134" s="9">
        <f t="shared" si="3"/>
        <v>1</v>
      </c>
      <c r="N134" s="9" t="str">
        <f>+Tabla3[[#This Row],[Barra Balance]]&amp;"_"&amp;Tabla3[[#This Row],[Tensión Balance]]</f>
        <v>QUEREO_23</v>
      </c>
      <c r="S134" t="s">
        <v>140</v>
      </c>
      <c r="T134" t="s">
        <v>1152</v>
      </c>
    </row>
    <row r="135" spans="1:20">
      <c r="A135" s="9">
        <v>15</v>
      </c>
      <c r="B135" s="9" t="s">
        <v>60</v>
      </c>
      <c r="C135" s="9">
        <v>220</v>
      </c>
      <c r="D135" s="9">
        <f>+VLOOKUP(B135&amp;"_"&amp;C135,'DECRETOS PNCP'!A:F,5,0)</f>
        <v>45.817</v>
      </c>
      <c r="E135" s="9" t="s">
        <v>680</v>
      </c>
      <c r="F135" s="9">
        <v>13</v>
      </c>
      <c r="G135" s="9" t="str">
        <f>+'DECRETOS PNCP'!$B$2</f>
        <v>4T-2026</v>
      </c>
      <c r="H135" s="9">
        <v>0</v>
      </c>
      <c r="I135" s="14" t="str">
        <f>+'PMG(D) segun remuneracion'!$K$1</f>
        <v>01-09-2026</v>
      </c>
      <c r="J135" s="14" t="str">
        <f>+'PMG(D) segun remuneracion'!$K$2</f>
        <v>30-09-2026</v>
      </c>
      <c r="K135" s="9">
        <f>+'PMG(D) segun remuneracion'!$K$3</f>
        <v>2</v>
      </c>
      <c r="L135" s="9">
        <f>+'PMG(D) segun remuneracion'!$K$4</f>
        <v>1</v>
      </c>
      <c r="M135" s="9">
        <f t="shared" si="3"/>
        <v>1</v>
      </c>
      <c r="N135" s="9" t="str">
        <f>+Tabla3[[#This Row],[Barra Balance]]&amp;"_"&amp;Tabla3[[#This Row],[Tensión Balance]]</f>
        <v>LAVEGA_13</v>
      </c>
      <c r="S135" t="s">
        <v>141</v>
      </c>
      <c r="T135" t="s">
        <v>143</v>
      </c>
    </row>
    <row r="136" spans="1:20">
      <c r="A136" s="9">
        <v>15</v>
      </c>
      <c r="B136" s="9" t="s">
        <v>948</v>
      </c>
      <c r="C136" s="9">
        <v>220</v>
      </c>
      <c r="D136" s="9">
        <f>+VLOOKUP(B136&amp;"_"&amp;C136,'DECRETOS PNCP'!A:F,5,0)</f>
        <v>51.737000000000002</v>
      </c>
      <c r="E136" s="9" t="s">
        <v>1117</v>
      </c>
      <c r="F136" s="9">
        <v>13</v>
      </c>
      <c r="G136" s="9" t="str">
        <f>+'DECRETOS PNCP'!$B$2</f>
        <v>4T-2026</v>
      </c>
      <c r="H136" s="9">
        <v>0</v>
      </c>
      <c r="I136" s="14" t="str">
        <f>+'PMG(D) segun remuneracion'!$K$1</f>
        <v>01-09-2026</v>
      </c>
      <c r="J136" s="14" t="str">
        <f>+'PMG(D) segun remuneracion'!$K$2</f>
        <v>30-09-2026</v>
      </c>
      <c r="K136" s="9">
        <f>+'PMG(D) segun remuneracion'!$K$3</f>
        <v>2</v>
      </c>
      <c r="L136" s="9">
        <f>+'PMG(D) segun remuneracion'!$K$4</f>
        <v>1</v>
      </c>
      <c r="M136" s="9">
        <f t="shared" si="3"/>
        <v>1</v>
      </c>
      <c r="N136" s="9" t="str">
        <f>+Tabla3[[#This Row],[Barra Balance]]&amp;"_"&amp;Tabla3[[#This Row],[Tensión Balance]]</f>
        <v>PUNITAQUI_13</v>
      </c>
      <c r="S136" t="s">
        <v>143</v>
      </c>
      <c r="T136" t="s">
        <v>143</v>
      </c>
    </row>
    <row r="137" spans="1:20">
      <c r="A137" s="9">
        <v>15</v>
      </c>
      <c r="B137" s="9" t="s">
        <v>548</v>
      </c>
      <c r="C137" s="9">
        <v>220</v>
      </c>
      <c r="D137" s="9">
        <f>+VLOOKUP(B137&amp;"_"&amp;C137,'DECRETOS PNCP'!A:F,5,0)</f>
        <v>44.463999999999999</v>
      </c>
      <c r="E137" s="9" t="s">
        <v>1520</v>
      </c>
      <c r="F137" s="9">
        <v>13</v>
      </c>
      <c r="G137" s="9" t="str">
        <f>+'DECRETOS PNCP'!$B$2</f>
        <v>4T-2026</v>
      </c>
      <c r="H137" s="9">
        <v>0</v>
      </c>
      <c r="I137" s="14" t="str">
        <f>+'PMG(D) segun remuneracion'!$K$1</f>
        <v>01-09-2026</v>
      </c>
      <c r="J137" s="14" t="str">
        <f>+'PMG(D) segun remuneracion'!$K$2</f>
        <v>30-09-2026</v>
      </c>
      <c r="K137" s="9">
        <f>+'PMG(D) segun remuneracion'!$K$3</f>
        <v>2</v>
      </c>
      <c r="L137" s="9">
        <f>+'PMG(D) segun remuneracion'!$K$4</f>
        <v>1</v>
      </c>
      <c r="M137" s="9">
        <f t="shared" si="3"/>
        <v>1</v>
      </c>
      <c r="N137" s="9" t="str">
        <f>+Tabla3[[#This Row],[Barra Balance]]&amp;"_"&amp;Tabla3[[#This Row],[Tensión Balance]]</f>
        <v>V.ALEGRE_13</v>
      </c>
      <c r="S137" t="s">
        <v>1605</v>
      </c>
      <c r="T137" t="s">
        <v>143</v>
      </c>
    </row>
    <row r="138" spans="1:20">
      <c r="A138" s="9">
        <v>15</v>
      </c>
      <c r="B138" s="9" t="s">
        <v>60</v>
      </c>
      <c r="C138" s="9">
        <v>220</v>
      </c>
      <c r="D138" s="9">
        <f>+VLOOKUP(B138&amp;"_"&amp;C138,'DECRETOS PNCP'!A:F,5,0)</f>
        <v>45.817</v>
      </c>
      <c r="E138" s="9" t="s">
        <v>1026</v>
      </c>
      <c r="F138" s="9">
        <v>13</v>
      </c>
      <c r="G138" s="9" t="str">
        <f>+'DECRETOS PNCP'!$B$2</f>
        <v>4T-2026</v>
      </c>
      <c r="H138" s="9">
        <v>0</v>
      </c>
      <c r="I138" s="14" t="str">
        <f>+'PMG(D) segun remuneracion'!$K$1</f>
        <v>01-09-2026</v>
      </c>
      <c r="J138" s="14" t="str">
        <f>+'PMG(D) segun remuneracion'!$K$2</f>
        <v>30-09-2026</v>
      </c>
      <c r="K138" s="9">
        <f>+'PMG(D) segun remuneracion'!$K$3</f>
        <v>2</v>
      </c>
      <c r="L138" s="9">
        <f>+'PMG(D) segun remuneracion'!$K$4</f>
        <v>1</v>
      </c>
      <c r="M138" s="9">
        <f t="shared" si="3"/>
        <v>1</v>
      </c>
      <c r="N138" s="9" t="str">
        <f>+Tabla3[[#This Row],[Barra Balance]]&amp;"_"&amp;Tabla3[[#This Row],[Tensión Balance]]</f>
        <v>PASO_HONDO_13</v>
      </c>
      <c r="S138" t="s">
        <v>145</v>
      </c>
      <c r="T138" t="s">
        <v>551</v>
      </c>
    </row>
    <row r="139" spans="1:20">
      <c r="A139" s="9">
        <v>15</v>
      </c>
      <c r="B139" s="9" t="s">
        <v>14</v>
      </c>
      <c r="C139" s="9">
        <v>220</v>
      </c>
      <c r="D139" s="9">
        <f>+VLOOKUP(B139&amp;"_"&amp;C139,'DECRETOS PNCP'!A:F,5,0)</f>
        <v>49.323999999999998</v>
      </c>
      <c r="E139" s="9" t="s">
        <v>438</v>
      </c>
      <c r="F139" s="9">
        <v>13</v>
      </c>
      <c r="G139" s="9" t="str">
        <f>+'DECRETOS PNCP'!$B$2</f>
        <v>4T-2026</v>
      </c>
      <c r="H139" s="9">
        <v>0</v>
      </c>
      <c r="I139" s="14" t="str">
        <f>+'PMG(D) segun remuneracion'!$K$1</f>
        <v>01-09-2026</v>
      </c>
      <c r="J139" s="14" t="str">
        <f>+'PMG(D) segun remuneracion'!$K$2</f>
        <v>30-09-2026</v>
      </c>
      <c r="K139" s="9">
        <f>+'PMG(D) segun remuneracion'!$K$3</f>
        <v>2</v>
      </c>
      <c r="L139" s="9">
        <f>+'PMG(D) segun remuneracion'!$K$4</f>
        <v>1</v>
      </c>
      <c r="M139" s="9">
        <f t="shared" si="3"/>
        <v>1</v>
      </c>
      <c r="N139" s="9" t="str">
        <f>+Tabla3[[#This Row],[Barra Balance]]&amp;"_"&amp;Tabla3[[#This Row],[Tensión Balance]]</f>
        <v>ELMAITEN_13</v>
      </c>
      <c r="S139" t="s">
        <v>1606</v>
      </c>
      <c r="T139" t="s">
        <v>1186</v>
      </c>
    </row>
    <row r="140" spans="1:20">
      <c r="A140" s="9">
        <v>15</v>
      </c>
      <c r="B140" s="9" t="s">
        <v>151</v>
      </c>
      <c r="C140" s="9">
        <v>220</v>
      </c>
      <c r="D140" s="9">
        <f>+VLOOKUP(B140&amp;"_"&amp;C140,'DECRETOS PNCP'!A:F,5,0)</f>
        <v>48.853000000000002</v>
      </c>
      <c r="E140" s="9" t="s">
        <v>719</v>
      </c>
      <c r="F140" s="9">
        <v>23</v>
      </c>
      <c r="G140" s="9" t="str">
        <f>+'DECRETOS PNCP'!$B$2</f>
        <v>4T-2026</v>
      </c>
      <c r="H140" s="9">
        <v>0</v>
      </c>
      <c r="I140" s="14" t="str">
        <f>+'PMG(D) segun remuneracion'!$K$1</f>
        <v>01-09-2026</v>
      </c>
      <c r="J140" s="14" t="str">
        <f>+'PMG(D) segun remuneracion'!$K$2</f>
        <v>30-09-2026</v>
      </c>
      <c r="K140" s="9">
        <f>+'PMG(D) segun remuneracion'!$K$3</f>
        <v>2</v>
      </c>
      <c r="L140" s="9">
        <f>+'PMG(D) segun remuneracion'!$K$4</f>
        <v>1</v>
      </c>
      <c r="M140" s="9">
        <f t="shared" si="3"/>
        <v>1</v>
      </c>
      <c r="N140" s="9" t="str">
        <f>+Tabla3[[#This Row],[Barra Balance]]&amp;"_"&amp;Tabla3[[#This Row],[Tensión Balance]]</f>
        <v>LO_BOZA_23</v>
      </c>
      <c r="S140" t="s">
        <v>146</v>
      </c>
      <c r="T140" t="s">
        <v>461</v>
      </c>
    </row>
    <row r="141" spans="1:20">
      <c r="A141" s="9">
        <v>15</v>
      </c>
      <c r="B141" s="9" t="s">
        <v>142</v>
      </c>
      <c r="C141" s="9">
        <v>220</v>
      </c>
      <c r="D141" s="9">
        <f>+VLOOKUP(B141&amp;"_"&amp;C141,'DECRETOS PNCP'!A:F,5,0)</f>
        <v>48.79</v>
      </c>
      <c r="E141" s="9" t="s">
        <v>804</v>
      </c>
      <c r="F141" s="9">
        <v>13</v>
      </c>
      <c r="G141" s="9" t="str">
        <f>+'DECRETOS PNCP'!$B$2</f>
        <v>4T-2026</v>
      </c>
      <c r="H141" s="9">
        <v>0</v>
      </c>
      <c r="I141" s="14" t="str">
        <f>+'PMG(D) segun remuneracion'!$K$1</f>
        <v>01-09-2026</v>
      </c>
      <c r="J141" s="14" t="str">
        <f>+'PMG(D) segun remuneracion'!$K$2</f>
        <v>30-09-2026</v>
      </c>
      <c r="K141" s="9">
        <f>+'PMG(D) segun remuneracion'!$K$3</f>
        <v>2</v>
      </c>
      <c r="L141" s="9">
        <f>+'PMG(D) segun remuneracion'!$K$4</f>
        <v>1</v>
      </c>
      <c r="M141" s="9">
        <f t="shared" si="3"/>
        <v>1</v>
      </c>
      <c r="N141" s="9" t="str">
        <f>+Tabla3[[#This Row],[Barra Balance]]&amp;"_"&amp;Tabla3[[#This Row],[Tensión Balance]]</f>
        <v>MALLOCO_13</v>
      </c>
      <c r="S141" t="s">
        <v>147</v>
      </c>
      <c r="T141" t="s">
        <v>339</v>
      </c>
    </row>
    <row r="142" spans="1:20">
      <c r="A142" s="9">
        <v>15</v>
      </c>
      <c r="B142" s="9" t="s">
        <v>1151</v>
      </c>
      <c r="C142" s="9">
        <v>220</v>
      </c>
      <c r="D142" s="9">
        <f>+VLOOKUP(B142&amp;"_"&amp;C142,'DECRETOS PNCP'!A:F,5,0)</f>
        <v>52.235999999999997</v>
      </c>
      <c r="E142" s="9" t="s">
        <v>1157</v>
      </c>
      <c r="F142" s="9">
        <v>13</v>
      </c>
      <c r="G142" s="9" t="str">
        <f>+'DECRETOS PNCP'!$B$2</f>
        <v>4T-2026</v>
      </c>
      <c r="H142" s="9">
        <v>0</v>
      </c>
      <c r="I142" s="14" t="str">
        <f>+'PMG(D) segun remuneracion'!$K$1</f>
        <v>01-09-2026</v>
      </c>
      <c r="J142" s="14" t="str">
        <f>+'PMG(D) segun remuneracion'!$K$2</f>
        <v>30-09-2026</v>
      </c>
      <c r="K142" s="9">
        <f>+'PMG(D) segun remuneracion'!$K$3</f>
        <v>2</v>
      </c>
      <c r="L142" s="9">
        <f>+'PMG(D) segun remuneracion'!$K$4</f>
        <v>1</v>
      </c>
      <c r="M142" s="9">
        <f t="shared" si="3"/>
        <v>1</v>
      </c>
      <c r="N142" s="9" t="str">
        <f>+Tabla3[[#This Row],[Barra Balance]]&amp;"_"&amp;Tabla3[[#This Row],[Tensión Balance]]</f>
        <v>QUILPUE_13</v>
      </c>
      <c r="S142" t="s">
        <v>148</v>
      </c>
      <c r="T142" t="s">
        <v>339</v>
      </c>
    </row>
    <row r="143" spans="1:20">
      <c r="A143" s="9">
        <v>15</v>
      </c>
      <c r="B143" s="9" t="s">
        <v>142</v>
      </c>
      <c r="C143" s="9">
        <v>220</v>
      </c>
      <c r="D143" s="9">
        <f>+VLOOKUP(B143&amp;"_"&amp;C143,'DECRETOS PNCP'!A:F,5,0)</f>
        <v>48.79</v>
      </c>
      <c r="E143" s="9" t="s">
        <v>975</v>
      </c>
      <c r="F143" s="9">
        <v>23</v>
      </c>
      <c r="G143" s="9" t="str">
        <f>+'DECRETOS PNCP'!$B$2</f>
        <v>4T-2026</v>
      </c>
      <c r="H143" s="9">
        <v>0</v>
      </c>
      <c r="I143" s="14" t="str">
        <f>+'PMG(D) segun remuneracion'!$K$1</f>
        <v>01-09-2026</v>
      </c>
      <c r="J143" s="14" t="str">
        <f>+'PMG(D) segun remuneracion'!$K$2</f>
        <v>30-09-2026</v>
      </c>
      <c r="K143" s="9">
        <f>+'PMG(D) segun remuneracion'!$K$3</f>
        <v>2</v>
      </c>
      <c r="L143" s="9">
        <f>+'PMG(D) segun remuneracion'!$K$4</f>
        <v>1</v>
      </c>
      <c r="M143" s="9">
        <f t="shared" si="3"/>
        <v>1</v>
      </c>
      <c r="N143" s="9" t="str">
        <f>+Tabla3[[#This Row],[Barra Balance]]&amp;"_"&amp;Tabla3[[#This Row],[Tensión Balance]]</f>
        <v>PAJARITOS_23</v>
      </c>
      <c r="S143" t="s">
        <v>149</v>
      </c>
      <c r="T143" t="s">
        <v>1528</v>
      </c>
    </row>
    <row r="144" spans="1:20">
      <c r="A144" s="9">
        <v>15</v>
      </c>
      <c r="B144" s="9" t="s">
        <v>142</v>
      </c>
      <c r="C144" s="9">
        <v>220</v>
      </c>
      <c r="D144" s="9">
        <f>+VLOOKUP(B144&amp;"_"&amp;C144,'DECRETOS PNCP'!A:F,5,0)</f>
        <v>48.79</v>
      </c>
      <c r="E144" s="9" t="s">
        <v>1323</v>
      </c>
      <c r="F144" s="9">
        <v>23</v>
      </c>
      <c r="G144" s="9" t="str">
        <f>+'DECRETOS PNCP'!$B$2</f>
        <v>4T-2026</v>
      </c>
      <c r="H144" s="9">
        <v>0</v>
      </c>
      <c r="I144" s="14" t="str">
        <f>+'PMG(D) segun remuneracion'!$K$1</f>
        <v>01-09-2026</v>
      </c>
      <c r="J144" s="14" t="str">
        <f>+'PMG(D) segun remuneracion'!$K$2</f>
        <v>30-09-2026</v>
      </c>
      <c r="K144" s="9">
        <f>+'PMG(D) segun remuneracion'!$K$3</f>
        <v>2</v>
      </c>
      <c r="L144" s="9">
        <f>+'PMG(D) segun remuneracion'!$K$4</f>
        <v>1</v>
      </c>
      <c r="M144" s="9">
        <f t="shared" si="3"/>
        <v>1</v>
      </c>
      <c r="N144" s="9" t="str">
        <f>+Tabla3[[#This Row],[Barra Balance]]&amp;"_"&amp;Tabla3[[#This Row],[Tensión Balance]]</f>
        <v>SANTA_MARTA_23</v>
      </c>
      <c r="S144" t="s">
        <v>150</v>
      </c>
      <c r="T144" t="s">
        <v>152</v>
      </c>
    </row>
    <row r="145" spans="1:20">
      <c r="A145" s="9">
        <v>15</v>
      </c>
      <c r="B145" s="9" t="s">
        <v>1151</v>
      </c>
      <c r="C145" s="9">
        <v>220</v>
      </c>
      <c r="D145" s="9">
        <f>+VLOOKUP(B145&amp;"_"&amp;C145,'DECRETOS PNCP'!A:F,5,0)</f>
        <v>52.235999999999997</v>
      </c>
      <c r="E145" s="9" t="s">
        <v>1259</v>
      </c>
      <c r="F145" s="9">
        <v>13</v>
      </c>
      <c r="G145" s="9" t="str">
        <f>+'DECRETOS PNCP'!$B$2</f>
        <v>4T-2026</v>
      </c>
      <c r="H145" s="9">
        <v>0</v>
      </c>
      <c r="I145" s="14" t="str">
        <f>+'PMG(D) segun remuneracion'!$K$1</f>
        <v>01-09-2026</v>
      </c>
      <c r="J145" s="14" t="str">
        <f>+'PMG(D) segun remuneracion'!$K$2</f>
        <v>30-09-2026</v>
      </c>
      <c r="K145" s="9">
        <f>+'PMG(D) segun remuneracion'!$K$3</f>
        <v>2</v>
      </c>
      <c r="L145" s="9">
        <f>+'PMG(D) segun remuneracion'!$K$4</f>
        <v>1</v>
      </c>
      <c r="M145" s="9">
        <f t="shared" si="3"/>
        <v>1</v>
      </c>
      <c r="N145" s="9" t="str">
        <f>+Tabla3[[#This Row],[Barra Balance]]&amp;"_"&amp;Tabla3[[#This Row],[Tensión Balance]]</f>
        <v>S.JERONIMO_13</v>
      </c>
      <c r="S145" t="s">
        <v>152</v>
      </c>
      <c r="T145" t="s">
        <v>152</v>
      </c>
    </row>
    <row r="146" spans="1:20">
      <c r="A146" s="9">
        <v>15</v>
      </c>
      <c r="B146" s="9" t="s">
        <v>60</v>
      </c>
      <c r="C146" s="9">
        <v>220</v>
      </c>
      <c r="D146" s="9">
        <f>+VLOOKUP(B146&amp;"_"&amp;C146,'DECRETOS PNCP'!A:F,5,0)</f>
        <v>45.817</v>
      </c>
      <c r="E146" s="9" t="s">
        <v>1019</v>
      </c>
      <c r="F146" s="9">
        <v>13</v>
      </c>
      <c r="G146" s="9" t="str">
        <f>+'DECRETOS PNCP'!$B$2</f>
        <v>4T-2026</v>
      </c>
      <c r="H146" s="9">
        <v>0</v>
      </c>
      <c r="I146" s="14" t="str">
        <f>+'PMG(D) segun remuneracion'!$K$1</f>
        <v>01-09-2026</v>
      </c>
      <c r="J146" s="14" t="str">
        <f>+'PMG(D) segun remuneracion'!$K$2</f>
        <v>30-09-2026</v>
      </c>
      <c r="K146" s="9">
        <f>+'PMG(D) segun remuneracion'!$K$3</f>
        <v>2</v>
      </c>
      <c r="L146" s="9">
        <f>+'PMG(D) segun remuneracion'!$K$4</f>
        <v>1</v>
      </c>
      <c r="M146" s="9">
        <f t="shared" si="3"/>
        <v>1</v>
      </c>
      <c r="N146" s="9" t="str">
        <f>+Tabla3[[#This Row],[Barra Balance]]&amp;"_"&amp;Tabla3[[#This Row],[Tensión Balance]]</f>
        <v>PARRAL_13</v>
      </c>
      <c r="S146" t="s">
        <v>1607</v>
      </c>
      <c r="T146" t="s">
        <v>358</v>
      </c>
    </row>
    <row r="147" spans="1:20">
      <c r="A147" s="9">
        <v>15</v>
      </c>
      <c r="B147" s="9" t="s">
        <v>182</v>
      </c>
      <c r="C147" s="9">
        <v>220</v>
      </c>
      <c r="D147" s="9">
        <f>+VLOOKUP(B147&amp;"_"&amp;C147,'DECRETOS PNCP'!A:F,5,0)</f>
        <v>50.606000000000002</v>
      </c>
      <c r="E147" s="9" t="s">
        <v>315</v>
      </c>
      <c r="F147" s="9">
        <v>15</v>
      </c>
      <c r="G147" s="9" t="str">
        <f>+'DECRETOS PNCP'!$B$2</f>
        <v>4T-2026</v>
      </c>
      <c r="H147" s="9">
        <v>0</v>
      </c>
      <c r="I147" s="14" t="str">
        <f>+'PMG(D) segun remuneracion'!$K$1</f>
        <v>01-09-2026</v>
      </c>
      <c r="J147" s="14" t="str">
        <f>+'PMG(D) segun remuneracion'!$K$2</f>
        <v>30-09-2026</v>
      </c>
      <c r="K147" s="9">
        <f>+'PMG(D) segun remuneracion'!$K$3</f>
        <v>2</v>
      </c>
      <c r="L147" s="9">
        <f>+'PMG(D) segun remuneracion'!$K$4</f>
        <v>1</v>
      </c>
      <c r="M147" s="9">
        <f t="shared" si="3"/>
        <v>1</v>
      </c>
      <c r="N147" s="9" t="str">
        <f>+Tabla3[[#This Row],[Barra Balance]]&amp;"_"&amp;Tabla3[[#This Row],[Tensión Balance]]</f>
        <v>COLCHAGUA_15</v>
      </c>
      <c r="S147" t="s">
        <v>1608</v>
      </c>
      <c r="T147" t="s">
        <v>1186</v>
      </c>
    </row>
    <row r="148" spans="1:20">
      <c r="A148" s="9">
        <v>15</v>
      </c>
      <c r="B148" s="9" t="s">
        <v>1454</v>
      </c>
      <c r="C148" s="9">
        <v>220</v>
      </c>
      <c r="D148" s="9">
        <f>+VLOOKUP(B148&amp;"_"&amp;C148,'DECRETOS PNCP'!A:F,5,0)</f>
        <v>42.14</v>
      </c>
      <c r="E148" s="9" t="s">
        <v>676</v>
      </c>
      <c r="F148" s="9">
        <v>13</v>
      </c>
      <c r="G148" s="9" t="str">
        <f>+'DECRETOS PNCP'!$B$2</f>
        <v>4T-2026</v>
      </c>
      <c r="H148" s="9">
        <v>0</v>
      </c>
      <c r="I148" s="14" t="str">
        <f>+'PMG(D) segun remuneracion'!$K$1</f>
        <v>01-09-2026</v>
      </c>
      <c r="J148" s="14" t="str">
        <f>+'PMG(D) segun remuneracion'!$K$2</f>
        <v>30-09-2026</v>
      </c>
      <c r="K148" s="9">
        <f>+'PMG(D) segun remuneracion'!$K$3</f>
        <v>2</v>
      </c>
      <c r="L148" s="9">
        <f>+'PMG(D) segun remuneracion'!$K$4</f>
        <v>1</v>
      </c>
      <c r="M148" s="9">
        <f t="shared" si="3"/>
        <v>1</v>
      </c>
      <c r="N148" s="9" t="str">
        <f>+Tabla3[[#This Row],[Barra Balance]]&amp;"_"&amp;Tabla3[[#This Row],[Tensión Balance]]</f>
        <v>LAUTARO_13</v>
      </c>
      <c r="S148" t="s">
        <v>153</v>
      </c>
      <c r="T148" t="s">
        <v>153</v>
      </c>
    </row>
    <row r="149" spans="1:20">
      <c r="A149" s="9">
        <v>15</v>
      </c>
      <c r="B149" s="9" t="s">
        <v>60</v>
      </c>
      <c r="C149" s="9">
        <v>220</v>
      </c>
      <c r="D149" s="9">
        <f>+VLOOKUP(B149&amp;"_"&amp;C149,'DECRETOS PNCP'!A:F,5,0)</f>
        <v>45.817</v>
      </c>
      <c r="E149" s="9" t="s">
        <v>749</v>
      </c>
      <c r="F149" s="9">
        <v>110</v>
      </c>
      <c r="G149" s="9" t="str">
        <f>+'DECRETOS PNCP'!$B$2</f>
        <v>4T-2026</v>
      </c>
      <c r="H149" s="9">
        <v>0</v>
      </c>
      <c r="I149" s="14" t="str">
        <f>+'PMG(D) segun remuneracion'!$K$1</f>
        <v>01-09-2026</v>
      </c>
      <c r="J149" s="14" t="str">
        <f>+'PMG(D) segun remuneracion'!$K$2</f>
        <v>30-09-2026</v>
      </c>
      <c r="K149" s="9">
        <f>+'PMG(D) segun remuneracion'!$K$3</f>
        <v>2</v>
      </c>
      <c r="L149" s="9">
        <f>+'PMG(D) segun remuneracion'!$K$4</f>
        <v>1</v>
      </c>
      <c r="M149" s="9">
        <f t="shared" si="3"/>
        <v>1</v>
      </c>
      <c r="N149" s="9" t="str">
        <f>+Tabla3[[#This Row],[Barra Balance]]&amp;"_"&amp;Tabla3[[#This Row],[Tensión Balance]]</f>
        <v>LOS_HIERR_2_110</v>
      </c>
      <c r="S149" t="s">
        <v>155</v>
      </c>
      <c r="T149" t="s">
        <v>251</v>
      </c>
    </row>
    <row r="150" spans="1:20">
      <c r="A150" s="9">
        <v>15</v>
      </c>
      <c r="B150" s="9" t="s">
        <v>1454</v>
      </c>
      <c r="C150" s="9">
        <v>220</v>
      </c>
      <c r="D150" s="9">
        <f>+VLOOKUP(B150&amp;"_"&amp;C150,'DECRETOS PNCP'!A:F,5,0)</f>
        <v>42.14</v>
      </c>
      <c r="E150" s="9" t="s">
        <v>1074</v>
      </c>
      <c r="F150" s="9">
        <v>13</v>
      </c>
      <c r="G150" s="9" t="str">
        <f>+'DECRETOS PNCP'!$B$2</f>
        <v>4T-2026</v>
      </c>
      <c r="H150" s="9">
        <v>0</v>
      </c>
      <c r="I150" s="14" t="str">
        <f>+'PMG(D) segun remuneracion'!$K$1</f>
        <v>01-09-2026</v>
      </c>
      <c r="J150" s="14" t="str">
        <f>+'PMG(D) segun remuneracion'!$K$2</f>
        <v>30-09-2026</v>
      </c>
      <c r="K150" s="9">
        <f>+'PMG(D) segun remuneracion'!$K$3</f>
        <v>2</v>
      </c>
      <c r="L150" s="9">
        <f>+'PMG(D) segun remuneracion'!$K$4</f>
        <v>1</v>
      </c>
      <c r="M150" s="9">
        <f t="shared" si="3"/>
        <v>1</v>
      </c>
      <c r="N150" s="9" t="str">
        <f>+Tabla3[[#This Row],[Barra Balance]]&amp;"_"&amp;Tabla3[[#This Row],[Tensión Balance]]</f>
        <v>PITRUFQUEN_13</v>
      </c>
      <c r="S150" t="s">
        <v>157</v>
      </c>
      <c r="T150" t="s">
        <v>910</v>
      </c>
    </row>
    <row r="151" spans="1:20">
      <c r="A151" s="9">
        <v>15</v>
      </c>
      <c r="B151" s="9" t="s">
        <v>548</v>
      </c>
      <c r="C151" s="9">
        <v>220</v>
      </c>
      <c r="D151" s="9">
        <f>+VLOOKUP(B151&amp;"_"&amp;C151,'DECRETOS PNCP'!A:F,5,0)</f>
        <v>44.463999999999999</v>
      </c>
      <c r="E151" s="9" t="s">
        <v>1298</v>
      </c>
      <c r="F151" s="9">
        <v>13</v>
      </c>
      <c r="G151" s="9" t="str">
        <f>+'DECRETOS PNCP'!$B$2</f>
        <v>4T-2026</v>
      </c>
      <c r="H151" s="9">
        <v>0</v>
      </c>
      <c r="I151" s="14" t="str">
        <f>+'PMG(D) segun remuneracion'!$K$1</f>
        <v>01-09-2026</v>
      </c>
      <c r="J151" s="14" t="str">
        <f>+'PMG(D) segun remuneracion'!$K$2</f>
        <v>30-09-2026</v>
      </c>
      <c r="K151" s="9">
        <f>+'PMG(D) segun remuneracion'!$K$3</f>
        <v>2</v>
      </c>
      <c r="L151" s="9">
        <f>+'PMG(D) segun remuneracion'!$K$4</f>
        <v>1</v>
      </c>
      <c r="M151" s="9">
        <f t="shared" si="3"/>
        <v>1</v>
      </c>
      <c r="N151" s="9" t="str">
        <f>+Tabla3[[#This Row],[Barra Balance]]&amp;"_"&amp;Tabla3[[#This Row],[Tensión Balance]]</f>
        <v>SAN_CLEMENTE_13</v>
      </c>
      <c r="S151" t="s">
        <v>159</v>
      </c>
      <c r="T151" t="s">
        <v>910</v>
      </c>
    </row>
    <row r="152" spans="1:20">
      <c r="A152" s="9">
        <v>15</v>
      </c>
      <c r="B152" s="9" t="s">
        <v>548</v>
      </c>
      <c r="C152" s="9">
        <v>220</v>
      </c>
      <c r="D152" s="9">
        <f>+VLOOKUP(B152&amp;"_"&amp;C152,'DECRETOS PNCP'!A:F,5,0)</f>
        <v>44.463999999999999</v>
      </c>
      <c r="E152" s="9" t="s">
        <v>238</v>
      </c>
      <c r="F152" s="9">
        <v>13</v>
      </c>
      <c r="G152" s="9" t="str">
        <f>+'DECRETOS PNCP'!$B$2</f>
        <v>4T-2026</v>
      </c>
      <c r="H152" s="9">
        <v>0</v>
      </c>
      <c r="I152" s="14" t="str">
        <f>+'PMG(D) segun remuneracion'!$K$1</f>
        <v>01-09-2026</v>
      </c>
      <c r="J152" s="14" t="str">
        <f>+'PMG(D) segun remuneracion'!$K$2</f>
        <v>30-09-2026</v>
      </c>
      <c r="K152" s="9">
        <f>+'PMG(D) segun remuneracion'!$K$3</f>
        <v>2</v>
      </c>
      <c r="L152" s="9">
        <f>+'PMG(D) segun remuneracion'!$K$4</f>
        <v>1</v>
      </c>
      <c r="M152" s="9">
        <f t="shared" si="3"/>
        <v>1</v>
      </c>
      <c r="N152" s="9" t="str">
        <f>+Tabla3[[#This Row],[Barra Balance]]&amp;"_"&amp;Tabla3[[#This Row],[Tensión Balance]]</f>
        <v>CHACAHUIN_13</v>
      </c>
      <c r="S152" t="s">
        <v>160</v>
      </c>
      <c r="T152" t="s">
        <v>251</v>
      </c>
    </row>
    <row r="153" spans="1:20">
      <c r="A153" s="9">
        <v>15</v>
      </c>
      <c r="B153" s="9" t="s">
        <v>248</v>
      </c>
      <c r="C153" s="9">
        <v>220</v>
      </c>
      <c r="D153" s="9">
        <f>+VLOOKUP(B153&amp;"_"&amp;C153,'DECRETOS PNCP'!A:F,5,0)</f>
        <v>45.99</v>
      </c>
      <c r="E153" s="9" t="s">
        <v>258</v>
      </c>
      <c r="F153" s="9">
        <v>13</v>
      </c>
      <c r="G153" s="9" t="str">
        <f>+'DECRETOS PNCP'!$B$2</f>
        <v>4T-2026</v>
      </c>
      <c r="H153" s="9">
        <v>0</v>
      </c>
      <c r="I153" s="14" t="str">
        <f>+'PMG(D) segun remuneracion'!$K$1</f>
        <v>01-09-2026</v>
      </c>
      <c r="J153" s="14" t="str">
        <f>+'PMG(D) segun remuneracion'!$K$2</f>
        <v>30-09-2026</v>
      </c>
      <c r="K153" s="9">
        <f>+'PMG(D) segun remuneracion'!$K$3</f>
        <v>2</v>
      </c>
      <c r="L153" s="9">
        <f>+'PMG(D) segun remuneracion'!$K$4</f>
        <v>1</v>
      </c>
      <c r="M153" s="9">
        <f t="shared" si="3"/>
        <v>1</v>
      </c>
      <c r="N153" s="9" t="str">
        <f>+Tabla3[[#This Row],[Barra Balance]]&amp;"_"&amp;Tabla3[[#This Row],[Tensión Balance]]</f>
        <v>CHILLAN_13</v>
      </c>
      <c r="S153" t="s">
        <v>1609</v>
      </c>
      <c r="T153" t="s">
        <v>251</v>
      </c>
    </row>
    <row r="154" spans="1:20">
      <c r="A154" s="9">
        <v>15</v>
      </c>
      <c r="B154" s="9" t="s">
        <v>248</v>
      </c>
      <c r="C154" s="9">
        <v>220</v>
      </c>
      <c r="D154" s="9">
        <f>+VLOOKUP(B154&amp;"_"&amp;C154,'DECRETOS PNCP'!A:F,5,0)</f>
        <v>45.99</v>
      </c>
      <c r="E154" s="9" t="s">
        <v>401</v>
      </c>
      <c r="F154" s="9">
        <v>23</v>
      </c>
      <c r="G154" s="9" t="str">
        <f>+'DECRETOS PNCP'!$B$2</f>
        <v>4T-2026</v>
      </c>
      <c r="H154" s="9">
        <v>0</v>
      </c>
      <c r="I154" s="14" t="str">
        <f>+'PMG(D) segun remuneracion'!$K$1</f>
        <v>01-09-2026</v>
      </c>
      <c r="J154" s="14" t="str">
        <f>+'PMG(D) segun remuneracion'!$K$2</f>
        <v>30-09-2026</v>
      </c>
      <c r="K154" s="9">
        <f>+'PMG(D) segun remuneracion'!$K$3</f>
        <v>2</v>
      </c>
      <c r="L154" s="9">
        <f>+'PMG(D) segun remuneracion'!$K$4</f>
        <v>1</v>
      </c>
      <c r="M154" s="9">
        <f t="shared" si="3"/>
        <v>1</v>
      </c>
      <c r="N154" s="9" t="str">
        <f>+Tabla3[[#This Row],[Barra Balance]]&amp;"_"&amp;Tabla3[[#This Row],[Tensión Balance]]</f>
        <v>DUQUECO_23</v>
      </c>
      <c r="S154" t="s">
        <v>162</v>
      </c>
      <c r="T154" t="s">
        <v>251</v>
      </c>
    </row>
    <row r="155" spans="1:20">
      <c r="A155" s="9">
        <v>15</v>
      </c>
      <c r="B155" s="9" t="s">
        <v>1016</v>
      </c>
      <c r="C155" s="9">
        <v>220</v>
      </c>
      <c r="D155" s="9">
        <f>+VLOOKUP(B155&amp;"_"&amp;C155,'DECRETOS PNCP'!A:F,5,0)</f>
        <v>50.25</v>
      </c>
      <c r="E155" s="9" t="s">
        <v>1513</v>
      </c>
      <c r="F155" s="9">
        <v>23</v>
      </c>
      <c r="G155" s="9" t="str">
        <f>+'DECRETOS PNCP'!$B$2</f>
        <v>4T-2026</v>
      </c>
      <c r="H155" s="9">
        <v>0</v>
      </c>
      <c r="I155" s="14" t="str">
        <f>+'PMG(D) segun remuneracion'!$K$1</f>
        <v>01-09-2026</v>
      </c>
      <c r="J155" s="14" t="str">
        <f>+'PMG(D) segun remuneracion'!$K$2</f>
        <v>30-09-2026</v>
      </c>
      <c r="K155" s="9">
        <f>+'PMG(D) segun remuneracion'!$K$3</f>
        <v>2</v>
      </c>
      <c r="L155" s="9">
        <f>+'PMG(D) segun remuneracion'!$K$4</f>
        <v>1</v>
      </c>
      <c r="M155" s="9">
        <f t="shared" si="3"/>
        <v>1</v>
      </c>
      <c r="N155" s="9" t="str">
        <f>+Tabla3[[#This Row],[Barra Balance]]&amp;"_"&amp;Tabla3[[#This Row],[Tensión Balance]]</f>
        <v>TVITOR_23</v>
      </c>
      <c r="S155" t="s">
        <v>163</v>
      </c>
      <c r="T155" t="s">
        <v>181</v>
      </c>
    </row>
    <row r="156" spans="1:20">
      <c r="A156" s="9">
        <v>15</v>
      </c>
      <c r="B156" s="9" t="s">
        <v>248</v>
      </c>
      <c r="C156" s="9">
        <v>220</v>
      </c>
      <c r="D156" s="9">
        <f>+VLOOKUP(B156&amp;"_"&amp;C156,'DECRETOS PNCP'!A:F,5,0)</f>
        <v>45.99</v>
      </c>
      <c r="E156" s="9" t="s">
        <v>1340</v>
      </c>
      <c r="F156" s="9">
        <v>23</v>
      </c>
      <c r="G156" s="9" t="str">
        <f>+'DECRETOS PNCP'!$B$2</f>
        <v>4T-2026</v>
      </c>
      <c r="H156" s="9">
        <v>0</v>
      </c>
      <c r="I156" s="14" t="str">
        <f>+'PMG(D) segun remuneracion'!$K$1</f>
        <v>01-09-2026</v>
      </c>
      <c r="J156" s="14" t="str">
        <f>+'PMG(D) segun remuneracion'!$K$2</f>
        <v>30-09-2026</v>
      </c>
      <c r="K156" s="9">
        <f>+'PMG(D) segun remuneracion'!$K$3</f>
        <v>2</v>
      </c>
      <c r="L156" s="9">
        <f>+'PMG(D) segun remuneracion'!$K$4</f>
        <v>1</v>
      </c>
      <c r="M156" s="9">
        <f t="shared" si="3"/>
        <v>1</v>
      </c>
      <c r="N156" s="9" t="str">
        <f>+Tabla3[[#This Row],[Barra Balance]]&amp;"_"&amp;Tabla3[[#This Row],[Tensión Balance]]</f>
        <v>STA.ELISA_23</v>
      </c>
      <c r="S156" t="s">
        <v>165</v>
      </c>
      <c r="T156" t="s">
        <v>181</v>
      </c>
    </row>
    <row r="157" spans="1:20">
      <c r="A157" s="9">
        <v>15</v>
      </c>
      <c r="B157" s="9" t="s">
        <v>9</v>
      </c>
      <c r="C157" s="9">
        <v>220</v>
      </c>
      <c r="D157" s="9">
        <f>+VLOOKUP(B157&amp;"_"&amp;C157,'DECRETOS PNCP'!A:F,5,0)</f>
        <v>52.97</v>
      </c>
      <c r="E157" s="9" t="s">
        <v>621</v>
      </c>
      <c r="F157" s="9">
        <v>13</v>
      </c>
      <c r="G157" s="9" t="str">
        <f>+'DECRETOS PNCP'!$B$2</f>
        <v>4T-2026</v>
      </c>
      <c r="H157" s="9">
        <v>0</v>
      </c>
      <c r="I157" s="14" t="str">
        <f>+'PMG(D) segun remuneracion'!$K$1</f>
        <v>01-09-2026</v>
      </c>
      <c r="J157" s="14" t="str">
        <f>+'PMG(D) segun remuneracion'!$K$2</f>
        <v>30-09-2026</v>
      </c>
      <c r="K157" s="9">
        <f>+'PMG(D) segun remuneracion'!$K$3</f>
        <v>2</v>
      </c>
      <c r="L157" s="9">
        <f>+'PMG(D) segun remuneracion'!$K$4</f>
        <v>1</v>
      </c>
      <c r="M157" s="9">
        <f t="shared" si="3"/>
        <v>1</v>
      </c>
      <c r="N157" s="9" t="str">
        <f>+Tabla3[[#This Row],[Barra Balance]]&amp;"_"&amp;Tabla3[[#This Row],[Tensión Balance]]</f>
        <v>LA_PINTANA_13</v>
      </c>
      <c r="S157" t="s">
        <v>166</v>
      </c>
      <c r="T157" t="s">
        <v>385</v>
      </c>
    </row>
    <row r="158" spans="1:20">
      <c r="A158" s="9">
        <v>15</v>
      </c>
      <c r="B158" s="9" t="s">
        <v>9</v>
      </c>
      <c r="C158" s="9">
        <v>220</v>
      </c>
      <c r="D158" s="9">
        <f>+VLOOKUP(B158&amp;"_"&amp;C158,'DECRETOS PNCP'!A:F,5,0)</f>
        <v>52.97</v>
      </c>
      <c r="E158" s="9" t="s">
        <v>624</v>
      </c>
      <c r="F158" s="9">
        <v>13</v>
      </c>
      <c r="G158" s="9" t="str">
        <f>+'DECRETOS PNCP'!$B$2</f>
        <v>4T-2026</v>
      </c>
      <c r="H158" s="9">
        <v>0</v>
      </c>
      <c r="I158" s="14" t="str">
        <f>+'PMG(D) segun remuneracion'!$K$1</f>
        <v>01-09-2026</v>
      </c>
      <c r="J158" s="14" t="str">
        <f>+'PMG(D) segun remuneracion'!$K$2</f>
        <v>30-09-2026</v>
      </c>
      <c r="K158" s="9">
        <f>+'PMG(D) segun remuneracion'!$K$3</f>
        <v>2</v>
      </c>
      <c r="L158" s="9">
        <f>+'PMG(D) segun remuneracion'!$K$4</f>
        <v>1</v>
      </c>
      <c r="M158" s="9">
        <f t="shared" si="3"/>
        <v>1</v>
      </c>
      <c r="N158" s="9" t="str">
        <f>+Tabla3[[#This Row],[Barra Balance]]&amp;"_"&amp;Tabla3[[#This Row],[Tensión Balance]]</f>
        <v>LA_PINTANA2_13</v>
      </c>
      <c r="S158" t="s">
        <v>167</v>
      </c>
      <c r="T158" t="s">
        <v>170</v>
      </c>
    </row>
    <row r="159" spans="1:20">
      <c r="A159" s="9">
        <v>15</v>
      </c>
      <c r="B159" s="9" t="s">
        <v>248</v>
      </c>
      <c r="C159" s="9">
        <v>220</v>
      </c>
      <c r="D159" s="9">
        <f>+VLOOKUP(B159&amp;"_"&amp;C159,'DECRETOS PNCP'!A:F,5,0)</f>
        <v>45.99</v>
      </c>
      <c r="E159" s="9" t="s">
        <v>888</v>
      </c>
      <c r="F159" s="9">
        <v>220</v>
      </c>
      <c r="G159" s="9" t="str">
        <f>+'DECRETOS PNCP'!$B$2</f>
        <v>4T-2026</v>
      </c>
      <c r="H159" s="9">
        <v>0</v>
      </c>
      <c r="I159" s="14" t="str">
        <f>+'PMG(D) segun remuneracion'!$K$1</f>
        <v>01-09-2026</v>
      </c>
      <c r="J159" s="14" t="str">
        <f>+'PMG(D) segun remuneracion'!$K$2</f>
        <v>30-09-2026</v>
      </c>
      <c r="K159" s="9">
        <f>+'PMG(D) segun remuneracion'!$K$3</f>
        <v>2</v>
      </c>
      <c r="L159" s="9">
        <f>+'PMG(D) segun remuneracion'!$K$4</f>
        <v>1</v>
      </c>
      <c r="M159" s="9">
        <f t="shared" si="3"/>
        <v>1</v>
      </c>
      <c r="N159" s="9" t="str">
        <f>+Tabla3[[#This Row],[Barra Balance]]&amp;"_"&amp;Tabla3[[#This Row],[Tensión Balance]]</f>
        <v>NACIMIENTO_220</v>
      </c>
      <c r="S159" t="s">
        <v>169</v>
      </c>
      <c r="T159" t="s">
        <v>170</v>
      </c>
    </row>
    <row r="160" spans="1:20">
      <c r="A160" s="9">
        <v>15</v>
      </c>
      <c r="B160" s="9" t="s">
        <v>14</v>
      </c>
      <c r="C160" s="9">
        <v>220</v>
      </c>
      <c r="D160" s="9">
        <f>+VLOOKUP(B160&amp;"_"&amp;C160,'DECRETOS PNCP'!A:F,5,0)</f>
        <v>49.323999999999998</v>
      </c>
      <c r="E160" s="9" t="s">
        <v>278</v>
      </c>
      <c r="F160" s="9">
        <v>13</v>
      </c>
      <c r="G160" s="9" t="str">
        <f>+'DECRETOS PNCP'!$B$2</f>
        <v>4T-2026</v>
      </c>
      <c r="H160" s="9">
        <v>0</v>
      </c>
      <c r="I160" s="14" t="str">
        <f>+'PMG(D) segun remuneracion'!$K$1</f>
        <v>01-09-2026</v>
      </c>
      <c r="J160" s="14" t="str">
        <f>+'PMG(D) segun remuneracion'!$K$2</f>
        <v>30-09-2026</v>
      </c>
      <c r="K160" s="9">
        <f>+'PMG(D) segun remuneracion'!$K$3</f>
        <v>2</v>
      </c>
      <c r="L160" s="9">
        <f>+'PMG(D) segun remuneracion'!$K$4</f>
        <v>1</v>
      </c>
      <c r="M160" s="9">
        <f t="shared" si="3"/>
        <v>1</v>
      </c>
      <c r="N160" s="9" t="str">
        <f>+Tabla3[[#This Row],[Barra Balance]]&amp;"_"&amp;Tabla3[[#This Row],[Tensión Balance]]</f>
        <v>CHOCALAN_13</v>
      </c>
      <c r="S160" t="s">
        <v>170</v>
      </c>
      <c r="T160" t="s">
        <v>170</v>
      </c>
    </row>
    <row r="161" spans="1:20">
      <c r="A161" s="9">
        <v>15</v>
      </c>
      <c r="B161" s="9" t="s">
        <v>248</v>
      </c>
      <c r="C161" s="9">
        <v>220</v>
      </c>
      <c r="D161" s="9">
        <f>+VLOOKUP(B161&amp;"_"&amp;C161,'DECRETOS PNCP'!A:F,5,0)</f>
        <v>45.99</v>
      </c>
      <c r="E161" s="9" t="s">
        <v>307</v>
      </c>
      <c r="F161" s="9">
        <v>13</v>
      </c>
      <c r="G161" s="9" t="str">
        <f>+'DECRETOS PNCP'!$B$2</f>
        <v>4T-2026</v>
      </c>
      <c r="H161" s="9">
        <v>0</v>
      </c>
      <c r="I161" s="14" t="str">
        <f>+'PMG(D) segun remuneracion'!$K$1</f>
        <v>01-09-2026</v>
      </c>
      <c r="J161" s="14" t="str">
        <f>+'PMG(D) segun remuneracion'!$K$2</f>
        <v>30-09-2026</v>
      </c>
      <c r="K161" s="9">
        <f>+'PMG(D) segun remuneracion'!$K$3</f>
        <v>2</v>
      </c>
      <c r="L161" s="9">
        <f>+'PMG(D) segun remuneracion'!$K$4</f>
        <v>1</v>
      </c>
      <c r="M161" s="9">
        <f t="shared" si="3"/>
        <v>1</v>
      </c>
      <c r="N161" s="9" t="str">
        <f>+Tabla3[[#This Row],[Barra Balance]]&amp;"_"&amp;Tabla3[[#This Row],[Tensión Balance]]</f>
        <v>COCHARCAS2_13</v>
      </c>
      <c r="S161" t="s">
        <v>6765</v>
      </c>
      <c r="T161" t="s">
        <v>170</v>
      </c>
    </row>
    <row r="162" spans="1:20">
      <c r="A162" s="9">
        <v>15</v>
      </c>
      <c r="B162" s="9" t="s">
        <v>548</v>
      </c>
      <c r="C162" s="9">
        <v>220</v>
      </c>
      <c r="D162" s="9">
        <f>+VLOOKUP(B162&amp;"_"&amp;C162,'DECRETOS PNCP'!A:F,5,0)</f>
        <v>44.463999999999999</v>
      </c>
      <c r="E162" s="9" t="s">
        <v>548</v>
      </c>
      <c r="F162" s="9">
        <v>13</v>
      </c>
      <c r="G162" s="9" t="str">
        <f>+'DECRETOS PNCP'!$B$2</f>
        <v>4T-2026</v>
      </c>
      <c r="H162" s="9">
        <v>0</v>
      </c>
      <c r="I162" s="14" t="str">
        <f>+'PMG(D) segun remuneracion'!$K$1</f>
        <v>01-09-2026</v>
      </c>
      <c r="J162" s="14" t="str">
        <f>+'PMG(D) segun remuneracion'!$K$2</f>
        <v>30-09-2026</v>
      </c>
      <c r="K162" s="9">
        <f>+'PMG(D) segun remuneracion'!$K$3</f>
        <v>2</v>
      </c>
      <c r="L162" s="9">
        <f>+'PMG(D) segun remuneracion'!$K$4</f>
        <v>1</v>
      </c>
      <c r="M162" s="9">
        <f t="shared" si="3"/>
        <v>1</v>
      </c>
      <c r="N162" s="9" t="str">
        <f>+Tabla3[[#This Row],[Barra Balance]]&amp;"_"&amp;Tabla3[[#This Row],[Tensión Balance]]</f>
        <v>ITAHUE_13</v>
      </c>
      <c r="S162" t="s">
        <v>171</v>
      </c>
      <c r="T162" t="s">
        <v>850</v>
      </c>
    </row>
    <row r="163" spans="1:20">
      <c r="A163" s="9">
        <v>15</v>
      </c>
      <c r="B163" s="9" t="s">
        <v>248</v>
      </c>
      <c r="C163" s="9">
        <v>220</v>
      </c>
      <c r="D163" s="9">
        <f>+VLOOKUP(B163&amp;"_"&amp;C163,'DECRETOS PNCP'!A:F,5,0)</f>
        <v>45.99</v>
      </c>
      <c r="E163" s="9" t="s">
        <v>1343</v>
      </c>
      <c r="F163" s="9">
        <v>13</v>
      </c>
      <c r="G163" s="9" t="str">
        <f>+'DECRETOS PNCP'!$B$2</f>
        <v>4T-2026</v>
      </c>
      <c r="H163" s="9">
        <v>0</v>
      </c>
      <c r="I163" s="14" t="str">
        <f>+'PMG(D) segun remuneracion'!$K$1</f>
        <v>01-09-2026</v>
      </c>
      <c r="J163" s="14" t="str">
        <f>+'PMG(D) segun remuneracion'!$K$2</f>
        <v>30-09-2026</v>
      </c>
      <c r="K163" s="9">
        <f>+'PMG(D) segun remuneracion'!$K$3</f>
        <v>2</v>
      </c>
      <c r="L163" s="9">
        <f>+'PMG(D) segun remuneracion'!$K$4</f>
        <v>1</v>
      </c>
      <c r="M163" s="9">
        <f t="shared" si="3"/>
        <v>1</v>
      </c>
      <c r="N163" s="9" t="str">
        <f>+Tabla3[[#This Row],[Barra Balance]]&amp;"_"&amp;Tabla3[[#This Row],[Tensión Balance]]</f>
        <v>STA.ELVIRA_13</v>
      </c>
      <c r="S163" t="s">
        <v>172</v>
      </c>
      <c r="T163" t="s">
        <v>850</v>
      </c>
    </row>
    <row r="164" spans="1:20">
      <c r="A164" s="9">
        <v>15</v>
      </c>
      <c r="B164" s="9" t="s">
        <v>248</v>
      </c>
      <c r="C164" s="9">
        <v>220</v>
      </c>
      <c r="D164" s="9">
        <f>+VLOOKUP(B164&amp;"_"&amp;C164,'DECRETOS PNCP'!A:F,5,0)</f>
        <v>45.99</v>
      </c>
      <c r="E164" s="9" t="s">
        <v>281</v>
      </c>
      <c r="F164" s="9">
        <v>66</v>
      </c>
      <c r="G164" s="9" t="str">
        <f>+'DECRETOS PNCP'!$B$2</f>
        <v>4T-2026</v>
      </c>
      <c r="H164" s="9">
        <v>0</v>
      </c>
      <c r="I164" s="14" t="str">
        <f>+'PMG(D) segun remuneracion'!$K$1</f>
        <v>01-09-2026</v>
      </c>
      <c r="J164" s="14" t="str">
        <f>+'PMG(D) segun remuneracion'!$K$2</f>
        <v>30-09-2026</v>
      </c>
      <c r="K164" s="9">
        <f>+'PMG(D) segun remuneracion'!$K$3</f>
        <v>2</v>
      </c>
      <c r="L164" s="9">
        <f>+'PMG(D) segun remuneracion'!$K$4</f>
        <v>1</v>
      </c>
      <c r="M164" s="9">
        <f t="shared" si="3"/>
        <v>1</v>
      </c>
      <c r="N164" s="9" t="str">
        <f>+Tabla3[[#This Row],[Barra Balance]]&amp;"_"&amp;Tabla3[[#This Row],[Tensión Balance]]</f>
        <v>CHOLGUAN_66</v>
      </c>
      <c r="S164" t="s">
        <v>173</v>
      </c>
      <c r="T164" t="s">
        <v>196</v>
      </c>
    </row>
    <row r="165" spans="1:20">
      <c r="A165" s="9">
        <v>15</v>
      </c>
      <c r="B165" s="9" t="s">
        <v>1187</v>
      </c>
      <c r="C165" s="9">
        <v>220</v>
      </c>
      <c r="D165" s="9">
        <f>+VLOOKUP(B165&amp;"_"&amp;C165,'DECRETOS PNCP'!A:F,5,0)</f>
        <v>48.460999999999999</v>
      </c>
      <c r="E165" s="9" t="s">
        <v>987</v>
      </c>
      <c r="F165" s="9">
        <v>110</v>
      </c>
      <c r="G165" s="9" t="str">
        <f>+'DECRETOS PNCP'!$B$2</f>
        <v>4T-2026</v>
      </c>
      <c r="H165" s="9">
        <v>0</v>
      </c>
      <c r="I165" s="14" t="str">
        <f>+'PMG(D) segun remuneracion'!$K$1</f>
        <v>01-09-2026</v>
      </c>
      <c r="J165" s="14" t="str">
        <f>+'PMG(D) segun remuneracion'!$K$2</f>
        <v>30-09-2026</v>
      </c>
      <c r="K165" s="9">
        <f>+'PMG(D) segun remuneracion'!$K$3</f>
        <v>2</v>
      </c>
      <c r="L165" s="9">
        <f>+'PMG(D) segun remuneracion'!$K$4</f>
        <v>1</v>
      </c>
      <c r="M165" s="9">
        <f t="shared" si="3"/>
        <v>1</v>
      </c>
      <c r="N165" s="9" t="str">
        <f>+Tabla3[[#This Row],[Barra Balance]]&amp;"_"&amp;Tabla3[[#This Row],[Tensión Balance]]</f>
        <v>PALMAR_110</v>
      </c>
      <c r="S165" t="s">
        <v>175</v>
      </c>
      <c r="T165" t="s">
        <v>196</v>
      </c>
    </row>
    <row r="166" spans="1:20">
      <c r="A166" s="9">
        <v>15</v>
      </c>
      <c r="B166" s="9" t="s">
        <v>548</v>
      </c>
      <c r="C166" s="9">
        <v>220</v>
      </c>
      <c r="D166" s="9">
        <f>+VLOOKUP(B166&amp;"_"&amp;C166,'DECRETOS PNCP'!A:F,5,0)</f>
        <v>44.463999999999999</v>
      </c>
      <c r="E166" s="9" t="s">
        <v>1060</v>
      </c>
      <c r="F166" s="9">
        <v>13</v>
      </c>
      <c r="G166" s="9" t="str">
        <f>+'DECRETOS PNCP'!$B$2</f>
        <v>4T-2026</v>
      </c>
      <c r="H166" s="9">
        <v>0</v>
      </c>
      <c r="I166" s="14" t="str">
        <f>+'PMG(D) segun remuneracion'!$K$1</f>
        <v>01-09-2026</v>
      </c>
      <c r="J166" s="14" t="str">
        <f>+'PMG(D) segun remuneracion'!$K$2</f>
        <v>30-09-2026</v>
      </c>
      <c r="K166" s="9">
        <f>+'PMG(D) segun remuneracion'!$K$3</f>
        <v>2</v>
      </c>
      <c r="L166" s="9">
        <f>+'PMG(D) segun remuneracion'!$K$4</f>
        <v>1</v>
      </c>
      <c r="M166" s="9">
        <f t="shared" si="3"/>
        <v>1</v>
      </c>
      <c r="N166" s="9" t="str">
        <f>+Tabla3[[#This Row],[Barra Balance]]&amp;"_"&amp;Tabla3[[#This Row],[Tensión Balance]]</f>
        <v>PIDUCO_13</v>
      </c>
      <c r="S166" t="s">
        <v>6774</v>
      </c>
      <c r="T166" t="s">
        <v>196</v>
      </c>
    </row>
    <row r="167" spans="1:20">
      <c r="A167" s="9">
        <v>15</v>
      </c>
      <c r="B167" s="9" t="s">
        <v>312</v>
      </c>
      <c r="C167" s="9">
        <v>220</v>
      </c>
      <c r="D167" s="9">
        <f>+VLOOKUP(B167&amp;"_"&amp;C167,'DECRETOS PNCP'!A:F,5,0)</f>
        <v>45.820999999999998</v>
      </c>
      <c r="E167" s="9" t="s">
        <v>312</v>
      </c>
      <c r="F167" s="9">
        <v>220</v>
      </c>
      <c r="G167" s="9" t="str">
        <f>+'DECRETOS PNCP'!$B$2</f>
        <v>4T-2026</v>
      </c>
      <c r="H167" s="9">
        <v>0</v>
      </c>
      <c r="I167" s="14" t="str">
        <f>+'PMG(D) segun remuneracion'!$K$1</f>
        <v>01-09-2026</v>
      </c>
      <c r="J167" s="14" t="str">
        <f>+'PMG(D) segun remuneracion'!$K$2</f>
        <v>30-09-2026</v>
      </c>
      <c r="K167" s="9">
        <f>+'PMG(D) segun remuneracion'!$K$3</f>
        <v>2</v>
      </c>
      <c r="L167" s="9">
        <f>+'PMG(D) segun remuneracion'!$K$4</f>
        <v>1</v>
      </c>
      <c r="M167" s="9">
        <f t="shared" si="3"/>
        <v>1</v>
      </c>
      <c r="N167" s="9" t="str">
        <f>+Tabla3[[#This Row],[Barra Balance]]&amp;"_"&amp;Tabla3[[#This Row],[Tensión Balance]]</f>
        <v>COLBUN_220</v>
      </c>
      <c r="S167" t="s">
        <v>176</v>
      </c>
      <c r="T167" t="s">
        <v>910</v>
      </c>
    </row>
    <row r="168" spans="1:20">
      <c r="A168" s="9">
        <v>15</v>
      </c>
      <c r="B168" s="9" t="s">
        <v>182</v>
      </c>
      <c r="C168" s="9">
        <v>220</v>
      </c>
      <c r="D168" s="9">
        <f>+VLOOKUP(B168&amp;"_"&amp;C168,'DECRETOS PNCP'!A:F,5,0)</f>
        <v>50.606000000000002</v>
      </c>
      <c r="E168" s="9" t="s">
        <v>575</v>
      </c>
      <c r="F168" s="9">
        <v>220</v>
      </c>
      <c r="G168" s="9" t="str">
        <f>+'DECRETOS PNCP'!$B$2</f>
        <v>4T-2026</v>
      </c>
      <c r="H168" s="9">
        <v>0</v>
      </c>
      <c r="I168" s="14" t="str">
        <f>+'PMG(D) segun remuneracion'!$K$1</f>
        <v>01-09-2026</v>
      </c>
      <c r="J168" s="14" t="str">
        <f>+'PMG(D) segun remuneracion'!$K$2</f>
        <v>30-09-2026</v>
      </c>
      <c r="K168" s="9">
        <f>+'PMG(D) segun remuneracion'!$K$3</f>
        <v>2</v>
      </c>
      <c r="L168" s="9">
        <f>+'PMG(D) segun remuneracion'!$K$4</f>
        <v>1</v>
      </c>
      <c r="M168" s="9">
        <f t="shared" si="3"/>
        <v>1</v>
      </c>
      <c r="N168" s="9" t="str">
        <f>+Tabla3[[#This Row],[Barra Balance]]&amp;"_"&amp;Tabla3[[#This Row],[Tensión Balance]]</f>
        <v>L.CONFLUENCIA_220</v>
      </c>
      <c r="S168" t="s">
        <v>177</v>
      </c>
      <c r="T168" t="s">
        <v>910</v>
      </c>
    </row>
    <row r="169" spans="1:20">
      <c r="A169" s="9">
        <v>15</v>
      </c>
      <c r="B169" s="9" t="s">
        <v>9</v>
      </c>
      <c r="C169" s="9">
        <v>220</v>
      </c>
      <c r="D169" s="9">
        <f>+VLOOKUP(B169&amp;"_"&amp;C169,'DECRETOS PNCP'!A:F,5,0)</f>
        <v>52.97</v>
      </c>
      <c r="E169" s="9" t="s">
        <v>545</v>
      </c>
      <c r="F169" s="9">
        <v>66</v>
      </c>
      <c r="G169" s="9" t="str">
        <f>+'DECRETOS PNCP'!$B$2</f>
        <v>4T-2026</v>
      </c>
      <c r="H169" s="9">
        <v>0</v>
      </c>
      <c r="I169" s="14" t="str">
        <f>+'PMG(D) segun remuneracion'!$K$1</f>
        <v>01-09-2026</v>
      </c>
      <c r="J169" s="14" t="str">
        <f>+'PMG(D) segun remuneracion'!$K$2</f>
        <v>30-09-2026</v>
      </c>
      <c r="K169" s="9">
        <f>+'PMG(D) segun remuneracion'!$K$3</f>
        <v>2</v>
      </c>
      <c r="L169" s="9">
        <f>+'PMG(D) segun remuneracion'!$K$4</f>
        <v>1</v>
      </c>
      <c r="M169" s="9">
        <f t="shared" si="3"/>
        <v>1</v>
      </c>
      <c r="N169" s="9" t="str">
        <f>+Tabla3[[#This Row],[Barra Balance]]&amp;"_"&amp;Tabla3[[#This Row],[Tensión Balance]]</f>
        <v>ISLADMAIPO_66</v>
      </c>
      <c r="S169" t="s">
        <v>178</v>
      </c>
      <c r="T169" t="s">
        <v>910</v>
      </c>
    </row>
    <row r="170" spans="1:20">
      <c r="A170" s="9">
        <v>15</v>
      </c>
      <c r="B170" s="9" t="s">
        <v>182</v>
      </c>
      <c r="C170" s="9">
        <v>220</v>
      </c>
      <c r="D170" s="9">
        <f>+VLOOKUP(B170&amp;"_"&amp;C170,'DECRETOS PNCP'!A:F,5,0)</f>
        <v>50.606000000000002</v>
      </c>
      <c r="E170" s="9" t="s">
        <v>355</v>
      </c>
      <c r="F170" s="9">
        <v>23</v>
      </c>
      <c r="G170" s="9" t="str">
        <f>+'DECRETOS PNCP'!$B$2</f>
        <v>4T-2026</v>
      </c>
      <c r="H170" s="9">
        <v>0</v>
      </c>
      <c r="I170" s="14" t="str">
        <f>+'PMG(D) segun remuneracion'!$K$1</f>
        <v>01-09-2026</v>
      </c>
      <c r="J170" s="14" t="str">
        <f>+'PMG(D) segun remuneracion'!$K$2</f>
        <v>30-09-2026</v>
      </c>
      <c r="K170" s="9">
        <f>+'PMG(D) segun remuneracion'!$K$3</f>
        <v>2</v>
      </c>
      <c r="L170" s="9">
        <f>+'PMG(D) segun remuneracion'!$K$4</f>
        <v>1</v>
      </c>
      <c r="M170" s="9">
        <f t="shared" si="3"/>
        <v>1</v>
      </c>
      <c r="N170" s="9" t="str">
        <f>+Tabla3[[#This Row],[Barra Balance]]&amp;"_"&amp;Tabla3[[#This Row],[Tensión Balance]]</f>
        <v>CORRALES_23</v>
      </c>
      <c r="S170" t="s">
        <v>179</v>
      </c>
      <c r="T170" t="s">
        <v>61</v>
      </c>
    </row>
    <row r="171" spans="1:20">
      <c r="A171" s="9">
        <v>15</v>
      </c>
      <c r="B171" s="9" t="s">
        <v>911</v>
      </c>
      <c r="C171" s="9">
        <v>220</v>
      </c>
      <c r="D171" s="9">
        <f>+VLOOKUP(B171&amp;"_"&amp;C171,'DECRETOS PNCP'!A:F,5,0)</f>
        <v>51.460999999999999</v>
      </c>
      <c r="E171" s="9" t="s">
        <v>914</v>
      </c>
      <c r="F171" s="9">
        <v>13</v>
      </c>
      <c r="G171" s="9" t="str">
        <f>+'DECRETOS PNCP'!$B$2</f>
        <v>4T-2026</v>
      </c>
      <c r="H171" s="9">
        <v>0</v>
      </c>
      <c r="I171" s="14" t="str">
        <f>+'PMG(D) segun remuneracion'!$K$1</f>
        <v>01-09-2026</v>
      </c>
      <c r="J171" s="14" t="str">
        <f>+'PMG(D) segun remuneracion'!$K$2</f>
        <v>30-09-2026</v>
      </c>
      <c r="K171" s="9">
        <f>+'PMG(D) segun remuneracion'!$K$3</f>
        <v>2</v>
      </c>
      <c r="L171" s="9">
        <f>+'PMG(D) segun remuneracion'!$K$4</f>
        <v>1</v>
      </c>
      <c r="M171" s="9">
        <f t="shared" si="3"/>
        <v>1</v>
      </c>
      <c r="N171" s="9" t="str">
        <f>+Tabla3[[#This Row],[Barra Balance]]&amp;"_"&amp;Tabla3[[#This Row],[Tensión Balance]]</f>
        <v>NPANQUEHUE_13</v>
      </c>
      <c r="S171" t="s">
        <v>180</v>
      </c>
      <c r="T171" t="s">
        <v>61</v>
      </c>
    </row>
    <row r="172" spans="1:20">
      <c r="A172" s="9">
        <v>15</v>
      </c>
      <c r="B172" s="9" t="s">
        <v>548</v>
      </c>
      <c r="C172" s="9">
        <v>220</v>
      </c>
      <c r="D172" s="9">
        <f>+VLOOKUP(B172&amp;"_"&amp;C172,'DECRETOS PNCP'!A:F,5,0)</f>
        <v>44.463999999999999</v>
      </c>
      <c r="E172" s="9" t="s">
        <v>377</v>
      </c>
      <c r="F172" s="9">
        <v>13</v>
      </c>
      <c r="G172" s="9" t="str">
        <f>+'DECRETOS PNCP'!$B$2</f>
        <v>4T-2026</v>
      </c>
      <c r="H172" s="9">
        <v>0</v>
      </c>
      <c r="I172" s="14" t="str">
        <f>+'PMG(D) segun remuneracion'!$K$1</f>
        <v>01-09-2026</v>
      </c>
      <c r="J172" s="14" t="str">
        <f>+'PMG(D) segun remuneracion'!$K$2</f>
        <v>30-09-2026</v>
      </c>
      <c r="K172" s="9">
        <f>+'PMG(D) segun remuneracion'!$K$3</f>
        <v>2</v>
      </c>
      <c r="L172" s="9">
        <f>+'PMG(D) segun remuneracion'!$K$4</f>
        <v>1</v>
      </c>
      <c r="M172" s="9">
        <f t="shared" si="3"/>
        <v>1</v>
      </c>
      <c r="N172" s="9" t="str">
        <f>+Tabla3[[#This Row],[Barra Balance]]&amp;"_"&amp;Tabla3[[#This Row],[Tensión Balance]]</f>
        <v>CURICO_13</v>
      </c>
      <c r="S172" t="s">
        <v>181</v>
      </c>
      <c r="T172" t="s">
        <v>181</v>
      </c>
    </row>
    <row r="173" spans="1:20">
      <c r="A173" s="9">
        <v>15</v>
      </c>
      <c r="B173" s="9" t="s">
        <v>925</v>
      </c>
      <c r="C173" s="9">
        <v>220</v>
      </c>
      <c r="D173" s="9">
        <f>+VLOOKUP(B173&amp;"_"&amp;C173,'DECRETOS PNCP'!A:F,5,0)</f>
        <v>49.462000000000003</v>
      </c>
      <c r="E173" s="9" t="s">
        <v>74</v>
      </c>
      <c r="F173" s="9">
        <v>220</v>
      </c>
      <c r="G173" s="9" t="str">
        <f>+'DECRETOS PNCP'!$B$2</f>
        <v>4T-2026</v>
      </c>
      <c r="H173" s="9">
        <v>0</v>
      </c>
      <c r="I173" s="14" t="str">
        <f>+'PMG(D) segun remuneracion'!$K$1</f>
        <v>01-09-2026</v>
      </c>
      <c r="J173" s="14" t="str">
        <f>+'PMG(D) segun remuneracion'!$K$2</f>
        <v>30-09-2026</v>
      </c>
      <c r="K173" s="9">
        <f>+'PMG(D) segun remuneracion'!$K$3</f>
        <v>2</v>
      </c>
      <c r="L173" s="9">
        <f>+'PMG(D) segun remuneracion'!$K$4</f>
        <v>1</v>
      </c>
      <c r="M173" s="9">
        <f t="shared" si="3"/>
        <v>1</v>
      </c>
      <c r="N173" s="9" t="str">
        <f>+Tabla3[[#This Row],[Barra Balance]]&amp;"_"&amp;Tabla3[[#This Row],[Tensión Balance]]</f>
        <v>ANDES_SNG_220</v>
      </c>
      <c r="S173" t="s">
        <v>1610</v>
      </c>
      <c r="T173" t="s">
        <v>181</v>
      </c>
    </row>
    <row r="174" spans="1:20">
      <c r="A174" s="9">
        <v>15</v>
      </c>
      <c r="B174" s="9" t="s">
        <v>383</v>
      </c>
      <c r="C174" s="9">
        <v>220</v>
      </c>
      <c r="D174" s="9">
        <f>+VLOOKUP(B174&amp;"_"&amp;C174,'DECRETOS PNCP'!A:F,5,0)</f>
        <v>51.473999999999997</v>
      </c>
      <c r="E174" s="9" t="s">
        <v>456</v>
      </c>
      <c r="F174" s="9">
        <v>12</v>
      </c>
      <c r="G174" s="9" t="str">
        <f>+'DECRETOS PNCP'!$B$2</f>
        <v>4T-2026</v>
      </c>
      <c r="H174" s="9">
        <v>0</v>
      </c>
      <c r="I174" s="14" t="str">
        <f>+'PMG(D) segun remuneracion'!$K$1</f>
        <v>01-09-2026</v>
      </c>
      <c r="J174" s="14" t="str">
        <f>+'PMG(D) segun remuneracion'!$K$2</f>
        <v>30-09-2026</v>
      </c>
      <c r="K174" s="9">
        <f>+'PMG(D) segun remuneracion'!$K$3</f>
        <v>2</v>
      </c>
      <c r="L174" s="9">
        <f>+'PMG(D) segun remuneracion'!$K$4</f>
        <v>1</v>
      </c>
      <c r="M174" s="9">
        <f t="shared" si="3"/>
        <v>1</v>
      </c>
      <c r="N174" s="9" t="str">
        <f>+Tabla3[[#This Row],[Barra Balance]]&amp;"_"&amp;Tabla3[[#This Row],[Tensión Balance]]</f>
        <v>ELSALVADOR_12</v>
      </c>
      <c r="S174" t="s">
        <v>185</v>
      </c>
      <c r="T174" t="s">
        <v>963</v>
      </c>
    </row>
    <row r="175" spans="1:20">
      <c r="A175" s="9">
        <v>15</v>
      </c>
      <c r="B175" s="9" t="s">
        <v>1197</v>
      </c>
      <c r="C175" s="9">
        <v>220</v>
      </c>
      <c r="D175" s="9">
        <f>+VLOOKUP(B175&amp;"_"&amp;C175,'DECRETOS PNCP'!A:F,5,0)</f>
        <v>49.04</v>
      </c>
      <c r="E175" s="9" t="s">
        <v>39</v>
      </c>
      <c r="F175" s="9">
        <v>23</v>
      </c>
      <c r="G175" s="9" t="str">
        <f>+'DECRETOS PNCP'!$B$2</f>
        <v>4T-2026</v>
      </c>
      <c r="H175" s="9">
        <v>0</v>
      </c>
      <c r="I175" s="14" t="str">
        <f>+'PMG(D) segun remuneracion'!$K$1</f>
        <v>01-09-2026</v>
      </c>
      <c r="J175" s="14" t="str">
        <f>+'PMG(D) segun remuneracion'!$K$2</f>
        <v>30-09-2026</v>
      </c>
      <c r="K175" s="9">
        <f>+'PMG(D) segun remuneracion'!$K$3</f>
        <v>2</v>
      </c>
      <c r="L175" s="9">
        <f>+'PMG(D) segun remuneracion'!$K$4</f>
        <v>1</v>
      </c>
      <c r="M175" s="9">
        <f t="shared" si="3"/>
        <v>1</v>
      </c>
      <c r="N175" s="9" t="str">
        <f>+Tabla3[[#This Row],[Barra Balance]]&amp;"_"&amp;Tabla3[[#This Row],[Tensión Balance]]</f>
        <v>ALCONES_23</v>
      </c>
      <c r="S175" t="s">
        <v>186</v>
      </c>
      <c r="T175" t="s">
        <v>963</v>
      </c>
    </row>
    <row r="176" spans="1:20">
      <c r="A176" s="9">
        <v>15</v>
      </c>
      <c r="B176" s="9" t="s">
        <v>548</v>
      </c>
      <c r="C176" s="9">
        <v>220</v>
      </c>
      <c r="D176" s="9">
        <f>+VLOOKUP(B176&amp;"_"&amp;C176,'DECRETOS PNCP'!A:F,5,0)</f>
        <v>44.463999999999999</v>
      </c>
      <c r="E176" s="9" t="s">
        <v>754</v>
      </c>
      <c r="F176" s="9">
        <v>13</v>
      </c>
      <c r="G176" s="9" t="str">
        <f>+'DECRETOS PNCP'!$B$2</f>
        <v>4T-2026</v>
      </c>
      <c r="H176" s="9">
        <v>0</v>
      </c>
      <c r="I176" s="14" t="str">
        <f>+'PMG(D) segun remuneracion'!$K$1</f>
        <v>01-09-2026</v>
      </c>
      <c r="J176" s="14" t="str">
        <f>+'PMG(D) segun remuneracion'!$K$2</f>
        <v>30-09-2026</v>
      </c>
      <c r="K176" s="9">
        <f>+'PMG(D) segun remuneracion'!$K$3</f>
        <v>2</v>
      </c>
      <c r="L176" s="9">
        <f>+'PMG(D) segun remuneracion'!$K$4</f>
        <v>1</v>
      </c>
      <c r="M176" s="9">
        <f t="shared" si="3"/>
        <v>1</v>
      </c>
      <c r="N176" s="9" t="str">
        <f>+Tabla3[[#This Row],[Barra Balance]]&amp;"_"&amp;Tabla3[[#This Row],[Tensión Balance]]</f>
        <v>LOS_MAQUIS_13</v>
      </c>
      <c r="S176" t="s">
        <v>183</v>
      </c>
      <c r="T176" t="s">
        <v>636</v>
      </c>
    </row>
    <row r="177" spans="1:20">
      <c r="A177" s="9">
        <v>15</v>
      </c>
      <c r="B177" s="9" t="s">
        <v>911</v>
      </c>
      <c r="C177" s="9">
        <v>220</v>
      </c>
      <c r="D177" s="9">
        <f>+VLOOKUP(B177&amp;"_"&amp;C177,'DECRETOS PNCP'!A:F,5,0)</f>
        <v>51.460999999999999</v>
      </c>
      <c r="E177" s="9" t="s">
        <v>158</v>
      </c>
      <c r="F177" s="9">
        <v>23</v>
      </c>
      <c r="G177" s="9" t="str">
        <f>+'DECRETOS PNCP'!$B$2</f>
        <v>4T-2026</v>
      </c>
      <c r="H177" s="9">
        <v>0</v>
      </c>
      <c r="I177" s="14" t="str">
        <f>+'PMG(D) segun remuneracion'!$K$1</f>
        <v>01-09-2026</v>
      </c>
      <c r="J177" s="14" t="str">
        <f>+'PMG(D) segun remuneracion'!$K$2</f>
        <v>30-09-2026</v>
      </c>
      <c r="K177" s="9">
        <f>+'PMG(D) segun remuneracion'!$K$3</f>
        <v>2</v>
      </c>
      <c r="L177" s="9">
        <f>+'PMG(D) segun remuneracion'!$K$4</f>
        <v>1</v>
      </c>
      <c r="M177" s="9">
        <f t="shared" si="3"/>
        <v>1</v>
      </c>
      <c r="N177" s="9" t="str">
        <f>+Tabla3[[#This Row],[Barra Balance]]&amp;"_"&amp;Tabla3[[#This Row],[Tensión Balance]]</f>
        <v>CABILDO_23</v>
      </c>
      <c r="S177" t="s">
        <v>184</v>
      </c>
      <c r="T177" t="s">
        <v>636</v>
      </c>
    </row>
    <row r="178" spans="1:20">
      <c r="A178" s="9">
        <v>15</v>
      </c>
      <c r="B178" s="9" t="s">
        <v>9</v>
      </c>
      <c r="C178" s="9">
        <v>220</v>
      </c>
      <c r="D178" s="9">
        <f>+VLOOKUP(B178&amp;"_"&amp;C178,'DECRETOS PNCP'!A:F,5,0)</f>
        <v>52.97</v>
      </c>
      <c r="E178" s="9" t="s">
        <v>504</v>
      </c>
      <c r="F178" s="9">
        <v>15</v>
      </c>
      <c r="G178" s="9" t="str">
        <f>+'DECRETOS PNCP'!$B$2</f>
        <v>4T-2026</v>
      </c>
      <c r="H178" s="9">
        <v>0</v>
      </c>
      <c r="I178" s="14" t="str">
        <f>+'PMG(D) segun remuneracion'!$K$1</f>
        <v>01-09-2026</v>
      </c>
      <c r="J178" s="14" t="str">
        <f>+'PMG(D) segun remuneracion'!$K$2</f>
        <v>30-09-2026</v>
      </c>
      <c r="K178" s="9">
        <f>+'PMG(D) segun remuneracion'!$K$3</f>
        <v>2</v>
      </c>
      <c r="L178" s="9">
        <f>+'PMG(D) segun remuneracion'!$K$4</f>
        <v>1</v>
      </c>
      <c r="M178" s="9">
        <f t="shared" si="3"/>
        <v>1</v>
      </c>
      <c r="N178" s="9" t="str">
        <f>+Tabla3[[#This Row],[Barra Balance]]&amp;"_"&amp;Tabla3[[#This Row],[Tensión Balance]]</f>
        <v>GRANEROS_15</v>
      </c>
      <c r="S178" t="s">
        <v>187</v>
      </c>
      <c r="T178" t="s">
        <v>101</v>
      </c>
    </row>
    <row r="179" spans="1:20">
      <c r="A179" s="9">
        <v>15</v>
      </c>
      <c r="B179" s="9" t="s">
        <v>911</v>
      </c>
      <c r="C179" s="9">
        <v>220</v>
      </c>
      <c r="D179" s="9">
        <f>+VLOOKUP(B179&amp;"_"&amp;C179,'DECRETOS PNCP'!A:F,5,0)</f>
        <v>51.460999999999999</v>
      </c>
      <c r="E179" s="9" t="s">
        <v>599</v>
      </c>
      <c r="F179" s="9">
        <v>13</v>
      </c>
      <c r="G179" s="9" t="str">
        <f>+'DECRETOS PNCP'!$B$2</f>
        <v>4T-2026</v>
      </c>
      <c r="H179" s="9">
        <v>0</v>
      </c>
      <c r="I179" s="14" t="str">
        <f>+'PMG(D) segun remuneracion'!$K$1</f>
        <v>01-09-2026</v>
      </c>
      <c r="J179" s="14" t="str">
        <f>+'PMG(D) segun remuneracion'!$K$2</f>
        <v>30-09-2026</v>
      </c>
      <c r="K179" s="9">
        <f>+'PMG(D) segun remuneracion'!$K$3</f>
        <v>2</v>
      </c>
      <c r="L179" s="9">
        <f>+'PMG(D) segun remuneracion'!$K$4</f>
        <v>1</v>
      </c>
      <c r="M179" s="9">
        <f t="shared" si="3"/>
        <v>1</v>
      </c>
      <c r="N179" s="9" t="str">
        <f>+Tabla3[[#This Row],[Barra Balance]]&amp;"_"&amp;Tabla3[[#This Row],[Tensión Balance]]</f>
        <v>L.VEGAS_13</v>
      </c>
      <c r="S179" t="s">
        <v>188</v>
      </c>
      <c r="T179" t="s">
        <v>628</v>
      </c>
    </row>
    <row r="180" spans="1:20">
      <c r="A180" s="9">
        <v>15</v>
      </c>
      <c r="B180" s="9" t="s">
        <v>589</v>
      </c>
      <c r="C180" s="9">
        <v>220</v>
      </c>
      <c r="D180" s="9">
        <f>+VLOOKUP(B180&amp;"_"&amp;C180,'DECRETOS PNCP'!A:F,5,0)</f>
        <v>57.238999999999997</v>
      </c>
      <c r="E180" s="9" t="s">
        <v>1245</v>
      </c>
      <c r="F180" s="9">
        <v>13</v>
      </c>
      <c r="G180" s="9" t="str">
        <f>+'DECRETOS PNCP'!$B$2</f>
        <v>4T-2026</v>
      </c>
      <c r="H180" s="9">
        <v>0</v>
      </c>
      <c r="I180" s="14" t="str">
        <f>+'PMG(D) segun remuneracion'!$K$1</f>
        <v>01-09-2026</v>
      </c>
      <c r="J180" s="14" t="str">
        <f>+'PMG(D) segun remuneracion'!$K$2</f>
        <v>30-09-2026</v>
      </c>
      <c r="K180" s="9">
        <f>+'PMG(D) segun remuneracion'!$K$3</f>
        <v>2</v>
      </c>
      <c r="L180" s="9">
        <f>+'PMG(D) segun remuneracion'!$K$4</f>
        <v>1</v>
      </c>
      <c r="M180" s="9">
        <f t="shared" si="3"/>
        <v>1</v>
      </c>
      <c r="N180" s="9" t="str">
        <f>+Tabla3[[#This Row],[Barra Balance]]&amp;"_"&amp;Tabla3[[#This Row],[Tensión Balance]]</f>
        <v>S.FELIPE_13</v>
      </c>
      <c r="S180" t="s">
        <v>189</v>
      </c>
      <c r="T180" t="s">
        <v>1186</v>
      </c>
    </row>
    <row r="181" spans="1:20">
      <c r="A181" s="9">
        <v>15</v>
      </c>
      <c r="B181" s="9" t="s">
        <v>1151</v>
      </c>
      <c r="C181" s="9">
        <v>220</v>
      </c>
      <c r="D181" s="9">
        <f>+VLOOKUP(B181&amp;"_"&amp;C181,'DECRETOS PNCP'!A:F,5,0)</f>
        <v>52.235999999999997</v>
      </c>
      <c r="E181" s="9" t="s">
        <v>1270</v>
      </c>
      <c r="F181" s="9">
        <v>13</v>
      </c>
      <c r="G181" s="9" t="str">
        <f>+'DECRETOS PNCP'!$B$2</f>
        <v>4T-2026</v>
      </c>
      <c r="H181" s="9">
        <v>0</v>
      </c>
      <c r="I181" s="14" t="str">
        <f>+'PMG(D) segun remuneracion'!$K$1</f>
        <v>01-09-2026</v>
      </c>
      <c r="J181" s="14" t="str">
        <f>+'PMG(D) segun remuneracion'!$K$2</f>
        <v>30-09-2026</v>
      </c>
      <c r="K181" s="9">
        <f>+'PMG(D) segun remuneracion'!$K$3</f>
        <v>2</v>
      </c>
      <c r="L181" s="9">
        <f>+'PMG(D) segun remuneracion'!$K$4</f>
        <v>1</v>
      </c>
      <c r="M181" s="9">
        <f t="shared" si="3"/>
        <v>1</v>
      </c>
      <c r="N181" s="9" t="str">
        <f>+Tabla3[[#This Row],[Barra Balance]]&amp;"_"&amp;Tabla3[[#This Row],[Tensión Balance]]</f>
        <v>S.PEDRO_13</v>
      </c>
      <c r="S181" t="s">
        <v>190</v>
      </c>
      <c r="T181" t="s">
        <v>636</v>
      </c>
    </row>
    <row r="182" spans="1:20">
      <c r="A182" s="9">
        <v>15</v>
      </c>
      <c r="B182" s="9" t="s">
        <v>100</v>
      </c>
      <c r="C182" s="9">
        <v>220</v>
      </c>
      <c r="D182" s="9">
        <f>+VLOOKUP(B182&amp;"_"&amp;C182,'DECRETOS PNCP'!A:F,5,0)</f>
        <v>52.774000000000001</v>
      </c>
      <c r="E182" s="9" t="s">
        <v>1517</v>
      </c>
      <c r="F182" s="9">
        <v>23</v>
      </c>
      <c r="G182" s="9" t="str">
        <f>+'DECRETOS PNCP'!$B$2</f>
        <v>4T-2026</v>
      </c>
      <c r="H182" s="9">
        <v>0</v>
      </c>
      <c r="I182" s="14" t="str">
        <f>+'PMG(D) segun remuneracion'!$K$1</f>
        <v>01-09-2026</v>
      </c>
      <c r="J182" s="14" t="str">
        <f>+'PMG(D) segun remuneracion'!$K$2</f>
        <v>30-09-2026</v>
      </c>
      <c r="K182" s="9">
        <f>+'PMG(D) segun remuneracion'!$K$3</f>
        <v>2</v>
      </c>
      <c r="L182" s="9">
        <f>+'PMG(D) segun remuneracion'!$K$4</f>
        <v>1</v>
      </c>
      <c r="M182" s="9">
        <f t="shared" si="3"/>
        <v>1</v>
      </c>
      <c r="N182" s="9" t="str">
        <f>+Tabla3[[#This Row],[Barra Balance]]&amp;"_"&amp;Tabla3[[#This Row],[Tensión Balance]]</f>
        <v>URIBE_23</v>
      </c>
      <c r="S182" t="s">
        <v>192</v>
      </c>
      <c r="T182" t="s">
        <v>636</v>
      </c>
    </row>
    <row r="183" spans="1:20">
      <c r="A183" s="9">
        <v>15</v>
      </c>
      <c r="B183" s="9" t="s">
        <v>548</v>
      </c>
      <c r="C183" s="9">
        <v>220</v>
      </c>
      <c r="D183" s="9">
        <f>+VLOOKUP(B183&amp;"_"&amp;C183,'DECRETOS PNCP'!A:F,5,0)</f>
        <v>44.463999999999999</v>
      </c>
      <c r="E183" s="9" t="s">
        <v>1547</v>
      </c>
      <c r="F183" s="9">
        <v>13</v>
      </c>
      <c r="G183" s="9" t="str">
        <f>+'DECRETOS PNCP'!$B$2</f>
        <v>4T-2026</v>
      </c>
      <c r="H183" s="9">
        <v>0</v>
      </c>
      <c r="I183" s="14" t="str">
        <f>+'PMG(D) segun remuneracion'!$K$1</f>
        <v>01-09-2026</v>
      </c>
      <c r="J183" s="14" t="str">
        <f>+'PMG(D) segun remuneracion'!$K$2</f>
        <v>30-09-2026</v>
      </c>
      <c r="K183" s="9">
        <f>+'PMG(D) segun remuneracion'!$K$3</f>
        <v>2</v>
      </c>
      <c r="L183" s="9">
        <f>+'PMG(D) segun remuneracion'!$K$4</f>
        <v>1</v>
      </c>
      <c r="M183" s="9">
        <f t="shared" si="3"/>
        <v>1</v>
      </c>
      <c r="N183" s="9" t="str">
        <f>+Tabla3[[#This Row],[Barra Balance]]&amp;"_"&amp;Tabla3[[#This Row],[Tensión Balance]]</f>
        <v>Y.BUENAS_13</v>
      </c>
      <c r="S183" t="s">
        <v>193</v>
      </c>
      <c r="T183" t="s">
        <v>636</v>
      </c>
    </row>
    <row r="184" spans="1:20">
      <c r="A184" s="9">
        <v>15</v>
      </c>
      <c r="B184" s="9" t="s">
        <v>1151</v>
      </c>
      <c r="C184" s="9">
        <v>220</v>
      </c>
      <c r="D184" s="9">
        <f>+VLOOKUP(B184&amp;"_"&amp;C184,'DECRETOS PNCP'!A:F,5,0)</f>
        <v>52.235999999999997</v>
      </c>
      <c r="E184" s="9" t="s">
        <v>1494</v>
      </c>
      <c r="F184" s="9">
        <v>12</v>
      </c>
      <c r="G184" s="9" t="str">
        <f>+'DECRETOS PNCP'!$B$2</f>
        <v>4T-2026</v>
      </c>
      <c r="H184" s="9">
        <v>0</v>
      </c>
      <c r="I184" s="14" t="str">
        <f>+'PMG(D) segun remuneracion'!$K$1</f>
        <v>01-09-2026</v>
      </c>
      <c r="J184" s="14" t="str">
        <f>+'PMG(D) segun remuneracion'!$K$2</f>
        <v>30-09-2026</v>
      </c>
      <c r="K184" s="9">
        <f>+'PMG(D) segun remuneracion'!$K$3</f>
        <v>2</v>
      </c>
      <c r="L184" s="9">
        <f>+'PMG(D) segun remuneracion'!$K$4</f>
        <v>1</v>
      </c>
      <c r="M184" s="9">
        <f t="shared" si="3"/>
        <v>1</v>
      </c>
      <c r="N184" s="9" t="str">
        <f>+Tabla3[[#This Row],[Barra Balance]]&amp;"_"&amp;Tabla3[[#This Row],[Tensión Balance]]</f>
        <v>TOTORAL_12</v>
      </c>
      <c r="S184" t="s">
        <v>194</v>
      </c>
      <c r="T184" t="s">
        <v>196</v>
      </c>
    </row>
    <row r="185" spans="1:20">
      <c r="A185" s="9">
        <v>15</v>
      </c>
      <c r="B185" s="9" t="s">
        <v>14</v>
      </c>
      <c r="C185" s="9">
        <v>220</v>
      </c>
      <c r="D185" s="9">
        <f>+VLOOKUP(B185&amp;"_"&amp;C185,'DECRETOS PNCP'!A:F,5,0)</f>
        <v>49.323999999999998</v>
      </c>
      <c r="E185" s="9" t="s">
        <v>687</v>
      </c>
      <c r="F185" s="9">
        <v>13</v>
      </c>
      <c r="G185" s="9" t="str">
        <f>+'DECRETOS PNCP'!$B$2</f>
        <v>4T-2026</v>
      </c>
      <c r="H185" s="9">
        <v>0</v>
      </c>
      <c r="I185" s="14" t="str">
        <f>+'PMG(D) segun remuneracion'!$K$1</f>
        <v>01-09-2026</v>
      </c>
      <c r="J185" s="14" t="str">
        <f>+'PMG(D) segun remuneracion'!$K$2</f>
        <v>30-09-2026</v>
      </c>
      <c r="K185" s="9">
        <f>+'PMG(D) segun remuneracion'!$K$3</f>
        <v>2</v>
      </c>
      <c r="L185" s="9">
        <f>+'PMG(D) segun remuneracion'!$K$4</f>
        <v>1</v>
      </c>
      <c r="M185" s="9">
        <f t="shared" si="3"/>
        <v>1</v>
      </c>
      <c r="N185" s="9" t="str">
        <f>+Tabla3[[#This Row],[Barra Balance]]&amp;"_"&amp;Tabla3[[#This Row],[Tensión Balance]]</f>
        <v>LEYDA_13</v>
      </c>
      <c r="S185" t="s">
        <v>196</v>
      </c>
      <c r="T185" t="s">
        <v>196</v>
      </c>
    </row>
    <row r="186" spans="1:20">
      <c r="A186" s="9">
        <v>15</v>
      </c>
      <c r="B186" s="9" t="s">
        <v>151</v>
      </c>
      <c r="C186" s="9">
        <v>220</v>
      </c>
      <c r="D186" s="9">
        <f>+VLOOKUP(B186&amp;"_"&amp;C186,'DECRETOS PNCP'!A:F,5,0)</f>
        <v>48.853000000000002</v>
      </c>
      <c r="E186" s="9" t="s">
        <v>234</v>
      </c>
      <c r="F186" s="9">
        <v>13</v>
      </c>
      <c r="G186" s="9" t="str">
        <f>+'DECRETOS PNCP'!$B$2</f>
        <v>4T-2026</v>
      </c>
      <c r="H186" s="9">
        <v>0</v>
      </c>
      <c r="I186" s="14" t="str">
        <f>+'PMG(D) segun remuneracion'!$K$1</f>
        <v>01-09-2026</v>
      </c>
      <c r="J186" s="14" t="str">
        <f>+'PMG(D) segun remuneracion'!$K$2</f>
        <v>30-09-2026</v>
      </c>
      <c r="K186" s="9">
        <f>+'PMG(D) segun remuneracion'!$K$3</f>
        <v>2</v>
      </c>
      <c r="L186" s="9">
        <f>+'PMG(D) segun remuneracion'!$K$4</f>
        <v>1</v>
      </c>
      <c r="M186" s="9">
        <f t="shared" si="3"/>
        <v>1</v>
      </c>
      <c r="N186" s="9" t="str">
        <f>+Tabla3[[#This Row],[Barra Balance]]&amp;"_"&amp;Tabla3[[#This Row],[Tensión Balance]]</f>
        <v>CHACABUCO_13</v>
      </c>
      <c r="S186" t="s">
        <v>1611</v>
      </c>
      <c r="T186" t="s">
        <v>217</v>
      </c>
    </row>
    <row r="187" spans="1:20">
      <c r="A187" s="9">
        <v>15</v>
      </c>
      <c r="B187" s="9" t="s">
        <v>795</v>
      </c>
      <c r="C187" s="9">
        <v>220</v>
      </c>
      <c r="D187" s="9">
        <f>+VLOOKUP(B187&amp;"_"&amp;C187,'DECRETOS PNCP'!A:F,5,0)</f>
        <v>50.423999999999999</v>
      </c>
      <c r="E187" s="9" t="s">
        <v>1531</v>
      </c>
      <c r="F187" s="9">
        <v>13</v>
      </c>
      <c r="G187" s="9" t="str">
        <f>+'DECRETOS PNCP'!$B$2</f>
        <v>4T-2026</v>
      </c>
      <c r="H187" s="9">
        <v>0</v>
      </c>
      <c r="I187" s="14" t="str">
        <f>+'PMG(D) segun remuneracion'!$K$1</f>
        <v>01-09-2026</v>
      </c>
      <c r="J187" s="14" t="str">
        <f>+'PMG(D) segun remuneracion'!$K$2</f>
        <v>30-09-2026</v>
      </c>
      <c r="K187" s="9">
        <f>+'PMG(D) segun remuneracion'!$K$3</f>
        <v>2</v>
      </c>
      <c r="L187" s="9">
        <f>+'PMG(D) segun remuneracion'!$K$4</f>
        <v>1</v>
      </c>
      <c r="M187" s="9">
        <f t="shared" si="3"/>
        <v>1</v>
      </c>
      <c r="N187" s="9" t="str">
        <f>+Tabla3[[#This Row],[Barra Balance]]&amp;"_"&amp;Tabla3[[#This Row],[Tensión Balance]]</f>
        <v>VALLENAR_13</v>
      </c>
      <c r="S187" t="s">
        <v>197</v>
      </c>
      <c r="T187" t="s">
        <v>790</v>
      </c>
    </row>
    <row r="188" spans="1:20">
      <c r="A188" s="9">
        <v>15</v>
      </c>
      <c r="B188" s="9" t="s">
        <v>1151</v>
      </c>
      <c r="C188" s="9">
        <v>220</v>
      </c>
      <c r="D188" s="9">
        <f>+VLOOKUP(B188&amp;"_"&amp;C188,'DECRETOS PNCP'!A:F,5,0)</f>
        <v>52.235999999999997</v>
      </c>
      <c r="E188" s="9" t="s">
        <v>335</v>
      </c>
      <c r="F188" s="9">
        <v>13</v>
      </c>
      <c r="G188" s="9" t="str">
        <f>+'DECRETOS PNCP'!$B$2</f>
        <v>4T-2026</v>
      </c>
      <c r="H188" s="9">
        <v>0</v>
      </c>
      <c r="I188" s="14" t="str">
        <f>+'PMG(D) segun remuneracion'!$K$1</f>
        <v>01-09-2026</v>
      </c>
      <c r="J188" s="14" t="str">
        <f>+'PMG(D) segun remuneracion'!$K$2</f>
        <v>30-09-2026</v>
      </c>
      <c r="K188" s="9">
        <f>+'PMG(D) segun remuneracion'!$K$3</f>
        <v>2</v>
      </c>
      <c r="L188" s="9">
        <f>+'PMG(D) segun remuneracion'!$K$4</f>
        <v>1</v>
      </c>
      <c r="M188" s="9">
        <f t="shared" si="3"/>
        <v>1</v>
      </c>
      <c r="N188" s="9" t="str">
        <f>+Tabla3[[#This Row],[Barra Balance]]&amp;"_"&amp;Tabla3[[#This Row],[Tensión Balance]]</f>
        <v>CONCON_13</v>
      </c>
      <c r="S188" t="s">
        <v>198</v>
      </c>
      <c r="T188" t="s">
        <v>152</v>
      </c>
    </row>
    <row r="189" spans="1:20">
      <c r="A189" s="9">
        <v>15</v>
      </c>
      <c r="B189" s="9" t="s">
        <v>248</v>
      </c>
      <c r="C189" s="9">
        <v>220</v>
      </c>
      <c r="D189" s="9">
        <f>+VLOOKUP(B189&amp;"_"&amp;C189,'DECRETOS PNCP'!A:F,5,0)</f>
        <v>45.99</v>
      </c>
      <c r="E189" s="9" t="s">
        <v>1472</v>
      </c>
      <c r="F189" s="9">
        <v>13</v>
      </c>
      <c r="G189" s="9" t="str">
        <f>+'DECRETOS PNCP'!$B$2</f>
        <v>4T-2026</v>
      </c>
      <c r="H189" s="9">
        <v>0</v>
      </c>
      <c r="I189" s="14" t="str">
        <f>+'PMG(D) segun remuneracion'!$K$1</f>
        <v>01-09-2026</v>
      </c>
      <c r="J189" s="14" t="str">
        <f>+'PMG(D) segun remuneracion'!$K$2</f>
        <v>30-09-2026</v>
      </c>
      <c r="K189" s="9">
        <f>+'PMG(D) segun remuneracion'!$K$3</f>
        <v>2</v>
      </c>
      <c r="L189" s="9">
        <f>+'PMG(D) segun remuneracion'!$K$4</f>
        <v>1</v>
      </c>
      <c r="M189" s="9">
        <f t="shared" si="3"/>
        <v>1</v>
      </c>
      <c r="N189" s="9" t="str">
        <f>+Tabla3[[#This Row],[Barra Balance]]&amp;"_"&amp;Tabla3[[#This Row],[Tensión Balance]]</f>
        <v>TILOS_BULNES_13</v>
      </c>
      <c r="S189" t="s">
        <v>199</v>
      </c>
      <c r="T189" t="s">
        <v>152</v>
      </c>
    </row>
    <row r="190" spans="1:20">
      <c r="A190" s="9">
        <v>15</v>
      </c>
      <c r="B190" s="9" t="s">
        <v>60</v>
      </c>
      <c r="C190" s="9">
        <v>220</v>
      </c>
      <c r="D190" s="9">
        <f>+VLOOKUP(B190&amp;"_"&amp;C190,'DECRETOS PNCP'!A:F,5,0)</f>
        <v>45.817</v>
      </c>
      <c r="E190" s="9" t="s">
        <v>215</v>
      </c>
      <c r="F190" s="9">
        <v>13</v>
      </c>
      <c r="G190" s="9" t="str">
        <f>+'DECRETOS PNCP'!$B$2</f>
        <v>4T-2026</v>
      </c>
      <c r="H190" s="9">
        <v>0</v>
      </c>
      <c r="I190" s="14" t="str">
        <f>+'PMG(D) segun remuneracion'!$K$1</f>
        <v>01-09-2026</v>
      </c>
      <c r="J190" s="14" t="str">
        <f>+'PMG(D) segun remuneracion'!$K$2</f>
        <v>30-09-2026</v>
      </c>
      <c r="K190" s="9">
        <f>+'PMG(D) segun remuneracion'!$K$3</f>
        <v>2</v>
      </c>
      <c r="L190" s="9">
        <f>+'PMG(D) segun remuneracion'!$K$4</f>
        <v>1</v>
      </c>
      <c r="M190" s="9">
        <f t="shared" si="3"/>
        <v>1</v>
      </c>
      <c r="N190" s="9" t="str">
        <f>+Tabla3[[#This Row],[Barra Balance]]&amp;"_"&amp;Tabla3[[#This Row],[Tensión Balance]]</f>
        <v>CAUQUENES_13</v>
      </c>
      <c r="S190" t="s">
        <v>200</v>
      </c>
      <c r="T190" t="s">
        <v>1152</v>
      </c>
    </row>
    <row r="191" spans="1:20">
      <c r="A191" s="9">
        <v>15</v>
      </c>
      <c r="B191" s="9" t="s">
        <v>248</v>
      </c>
      <c r="C191" s="9">
        <v>220</v>
      </c>
      <c r="D191" s="9">
        <f>+VLOOKUP(B191&amp;"_"&amp;C191,'DECRETOS PNCP'!A:F,5,0)</f>
        <v>45.99</v>
      </c>
      <c r="E191" s="9" t="s">
        <v>563</v>
      </c>
      <c r="F191" s="9">
        <v>13</v>
      </c>
      <c r="G191" s="9" t="str">
        <f>+'DECRETOS PNCP'!$B$2</f>
        <v>4T-2026</v>
      </c>
      <c r="H191" s="9">
        <v>0</v>
      </c>
      <c r="I191" s="14" t="str">
        <f>+'PMG(D) segun remuneracion'!$K$1</f>
        <v>01-09-2026</v>
      </c>
      <c r="J191" s="14" t="str">
        <f>+'PMG(D) segun remuneracion'!$K$2</f>
        <v>30-09-2026</v>
      </c>
      <c r="K191" s="9">
        <f>+'PMG(D) segun remuneracion'!$K$3</f>
        <v>2</v>
      </c>
      <c r="L191" s="9">
        <f>+'PMG(D) segun remuneracion'!$K$4</f>
        <v>1</v>
      </c>
      <c r="M191" s="9">
        <f t="shared" si="3"/>
        <v>1</v>
      </c>
      <c r="N191" s="9" t="str">
        <f>+Tabla3[[#This Row],[Barra Balance]]&amp;"_"&amp;Tabla3[[#This Row],[Tensión Balance]]</f>
        <v>L.ANGELES_13</v>
      </c>
      <c r="S191" t="s">
        <v>202</v>
      </c>
      <c r="T191" t="s">
        <v>1152</v>
      </c>
    </row>
    <row r="192" spans="1:20">
      <c r="A192" s="9">
        <v>15</v>
      </c>
      <c r="B192" s="9" t="s">
        <v>248</v>
      </c>
      <c r="C192" s="9">
        <v>220</v>
      </c>
      <c r="D192" s="9">
        <f>+VLOOKUP(B192&amp;"_"&amp;C192,'DECRETOS PNCP'!A:F,5,0)</f>
        <v>45.99</v>
      </c>
      <c r="E192" s="9" t="s">
        <v>1175</v>
      </c>
      <c r="F192" s="9">
        <v>13</v>
      </c>
      <c r="G192" s="9" t="str">
        <f>+'DECRETOS PNCP'!$B$2</f>
        <v>4T-2026</v>
      </c>
      <c r="H192" s="9">
        <v>0</v>
      </c>
      <c r="I192" s="14" t="str">
        <f>+'PMG(D) segun remuneracion'!$K$1</f>
        <v>01-09-2026</v>
      </c>
      <c r="J192" s="14" t="str">
        <f>+'PMG(D) segun remuneracion'!$K$2</f>
        <v>30-09-2026</v>
      </c>
      <c r="K192" s="9">
        <f>+'PMG(D) segun remuneracion'!$K$3</f>
        <v>2</v>
      </c>
      <c r="L192" s="9">
        <f>+'PMG(D) segun remuneracion'!$K$4</f>
        <v>1</v>
      </c>
      <c r="M192" s="9">
        <f t="shared" si="3"/>
        <v>1</v>
      </c>
      <c r="N192" s="9" t="str">
        <f>+Tabla3[[#This Row],[Barra Balance]]&amp;"_"&amp;Tabla3[[#This Row],[Tensión Balance]]</f>
        <v>QUIRIHUE_13</v>
      </c>
      <c r="S192" t="s">
        <v>203</v>
      </c>
      <c r="T192" t="s">
        <v>910</v>
      </c>
    </row>
    <row r="193" spans="1:20">
      <c r="A193" s="9">
        <v>15</v>
      </c>
      <c r="B193" s="9" t="s">
        <v>548</v>
      </c>
      <c r="C193" s="9">
        <v>220</v>
      </c>
      <c r="D193" s="9">
        <f>+VLOOKUP(B193&amp;"_"&amp;C193,'DECRETOS PNCP'!A:F,5,0)</f>
        <v>44.463999999999999</v>
      </c>
      <c r="E193" s="9" t="s">
        <v>16</v>
      </c>
      <c r="F193" s="9">
        <v>66</v>
      </c>
      <c r="G193" s="9" t="str">
        <f>+'DECRETOS PNCP'!$B$2</f>
        <v>4T-2026</v>
      </c>
      <c r="H193" s="9">
        <v>0</v>
      </c>
      <c r="I193" s="14" t="str">
        <f>+'PMG(D) segun remuneracion'!$K$1</f>
        <v>01-09-2026</v>
      </c>
      <c r="J193" s="14" t="str">
        <f>+'PMG(D) segun remuneracion'!$K$2</f>
        <v>30-09-2026</v>
      </c>
      <c r="K193" s="9">
        <f>+'PMG(D) segun remuneracion'!$K$3</f>
        <v>2</v>
      </c>
      <c r="L193" s="9">
        <f>+'PMG(D) segun remuneracion'!$K$4</f>
        <v>1</v>
      </c>
      <c r="M193" s="9">
        <f t="shared" si="3"/>
        <v>1</v>
      </c>
      <c r="N193" s="9" t="str">
        <f>+Tabla3[[#This Row],[Barra Balance]]&amp;"_"&amp;Tabla3[[#This Row],[Tensión Balance]]</f>
        <v>A.NEGRAS_66</v>
      </c>
      <c r="S193" t="s">
        <v>205</v>
      </c>
      <c r="T193" t="s">
        <v>910</v>
      </c>
    </row>
    <row r="194" spans="1:20">
      <c r="A194" s="9">
        <v>15</v>
      </c>
      <c r="B194" s="9" t="s">
        <v>195</v>
      </c>
      <c r="C194" s="9">
        <v>220</v>
      </c>
      <c r="D194" s="9">
        <f>+VLOOKUP(B194&amp;"_"&amp;C194,'DECRETOS PNCP'!A:F,5,0)</f>
        <v>51.563000000000002</v>
      </c>
      <c r="E194" s="9" t="s">
        <v>207</v>
      </c>
      <c r="F194" s="9">
        <v>23</v>
      </c>
      <c r="G194" s="9" t="str">
        <f>+'DECRETOS PNCP'!$B$2</f>
        <v>4T-2026</v>
      </c>
      <c r="H194" s="9">
        <v>0</v>
      </c>
      <c r="I194" s="14" t="str">
        <f>+'PMG(D) segun remuneracion'!$K$1</f>
        <v>01-09-2026</v>
      </c>
      <c r="J194" s="14" t="str">
        <f>+'PMG(D) segun remuneracion'!$K$2</f>
        <v>30-09-2026</v>
      </c>
      <c r="K194" s="9">
        <f>+'PMG(D) segun remuneracion'!$K$3</f>
        <v>2</v>
      </c>
      <c r="L194" s="9">
        <f>+'PMG(D) segun remuneracion'!$K$4</f>
        <v>1</v>
      </c>
      <c r="M194" s="9">
        <f t="shared" ref="M194:M244" si="4">+COUNTIFS(E:E,E194,F:F,F194)</f>
        <v>1</v>
      </c>
      <c r="N194" s="9" t="str">
        <f>+Tabla3[[#This Row],[Barra Balance]]&amp;"_"&amp;Tabla3[[#This Row],[Tensión Balance]]</f>
        <v>CASTILLA_23</v>
      </c>
      <c r="S194" t="s">
        <v>206</v>
      </c>
      <c r="T194" t="s">
        <v>196</v>
      </c>
    </row>
    <row r="195" spans="1:20">
      <c r="A195" s="9">
        <v>15</v>
      </c>
      <c r="B195" s="9" t="s">
        <v>9</v>
      </c>
      <c r="C195" s="9">
        <v>220</v>
      </c>
      <c r="D195" s="9">
        <f>+VLOOKUP(B195&amp;"_"&amp;C195,'DECRETOS PNCP'!A:F,5,0)</f>
        <v>52.97</v>
      </c>
      <c r="E195" s="9" t="s">
        <v>132</v>
      </c>
      <c r="F195" s="9">
        <v>13</v>
      </c>
      <c r="G195" s="9" t="str">
        <f>+'DECRETOS PNCP'!$B$2</f>
        <v>4T-2026</v>
      </c>
      <c r="H195" s="9">
        <v>0</v>
      </c>
      <c r="I195" s="14" t="str">
        <f>+'PMG(D) segun remuneracion'!$K$1</f>
        <v>01-09-2026</v>
      </c>
      <c r="J195" s="14" t="str">
        <f>+'PMG(D) segun remuneracion'!$K$2</f>
        <v>30-09-2026</v>
      </c>
      <c r="K195" s="9">
        <f>+'PMG(D) segun remuneracion'!$K$3</f>
        <v>2</v>
      </c>
      <c r="L195" s="9">
        <f>+'PMG(D) segun remuneracion'!$K$4</f>
        <v>1</v>
      </c>
      <c r="M195" s="9">
        <f t="shared" si="4"/>
        <v>1</v>
      </c>
      <c r="N195" s="9" t="str">
        <f>+Tabla3[[#This Row],[Barra Balance]]&amp;"_"&amp;Tabla3[[#This Row],[Tensión Balance]]</f>
        <v>BUIN_13</v>
      </c>
      <c r="S195" t="s">
        <v>208</v>
      </c>
      <c r="T195" t="s">
        <v>196</v>
      </c>
    </row>
    <row r="196" spans="1:20">
      <c r="A196" s="9">
        <v>15</v>
      </c>
      <c r="B196" s="9" t="s">
        <v>935</v>
      </c>
      <c r="C196" s="9">
        <v>220</v>
      </c>
      <c r="D196" s="9">
        <f>+VLOOKUP(B196&amp;"_"&amp;C196,'DECRETOS PNCP'!A:F,5,0)</f>
        <v>52</v>
      </c>
      <c r="E196" s="9" t="s">
        <v>941</v>
      </c>
      <c r="F196" s="9">
        <v>13</v>
      </c>
      <c r="G196" s="9" t="str">
        <f>+'DECRETOS PNCP'!$B$2</f>
        <v>4T-2026</v>
      </c>
      <c r="H196" s="9">
        <v>0</v>
      </c>
      <c r="I196" s="14" t="str">
        <f>+'PMG(D) segun remuneracion'!$K$1</f>
        <v>01-09-2026</v>
      </c>
      <c r="J196" s="14" t="str">
        <f>+'PMG(D) segun remuneracion'!$K$2</f>
        <v>30-09-2026</v>
      </c>
      <c r="K196" s="9">
        <f>+'PMG(D) segun remuneracion'!$K$3</f>
        <v>2</v>
      </c>
      <c r="L196" s="9">
        <f>+'PMG(D) segun remuneracion'!$K$4</f>
        <v>1</v>
      </c>
      <c r="M196" s="9">
        <f t="shared" si="4"/>
        <v>1</v>
      </c>
      <c r="N196" s="9" t="str">
        <f>+Tabla3[[#This Row],[Barra Balance]]&amp;"_"&amp;Tabla3[[#This Row],[Tensión Balance]]</f>
        <v>P.ALMONTE2_13</v>
      </c>
      <c r="S196" t="s">
        <v>209</v>
      </c>
      <c r="T196" t="s">
        <v>263</v>
      </c>
    </row>
    <row r="197" spans="1:20">
      <c r="A197" s="9">
        <v>15</v>
      </c>
      <c r="B197" s="9" t="s">
        <v>182</v>
      </c>
      <c r="C197" s="9">
        <v>220</v>
      </c>
      <c r="D197" s="9">
        <f>+VLOOKUP(B197&amp;"_"&amp;C197,'DECRETOS PNCP'!A:F,5,0)</f>
        <v>50.606000000000002</v>
      </c>
      <c r="E197" s="9" t="s">
        <v>36</v>
      </c>
      <c r="F197" s="9">
        <v>15</v>
      </c>
      <c r="G197" s="9" t="str">
        <f>+'DECRETOS PNCP'!$B$2</f>
        <v>4T-2026</v>
      </c>
      <c r="H197" s="9">
        <v>0</v>
      </c>
      <c r="I197" s="14" t="str">
        <f>+'PMG(D) segun remuneracion'!$K$1</f>
        <v>01-09-2026</v>
      </c>
      <c r="J197" s="14" t="str">
        <f>+'PMG(D) segun remuneracion'!$K$2</f>
        <v>30-09-2026</v>
      </c>
      <c r="K197" s="9">
        <f>+'PMG(D) segun remuneracion'!$K$3</f>
        <v>2</v>
      </c>
      <c r="L197" s="9">
        <f>+'PMG(D) segun remuneracion'!$K$4</f>
        <v>1</v>
      </c>
      <c r="M197" s="9">
        <f t="shared" si="4"/>
        <v>1</v>
      </c>
      <c r="N197" s="9" t="str">
        <f>+Tabla3[[#This Row],[Barra Balance]]&amp;"_"&amp;Tabla3[[#This Row],[Tensión Balance]]</f>
        <v>ALAMEDA_15</v>
      </c>
      <c r="S197" t="s">
        <v>210</v>
      </c>
      <c r="T197" t="s">
        <v>263</v>
      </c>
    </row>
    <row r="198" spans="1:20">
      <c r="A198" s="9">
        <v>15</v>
      </c>
      <c r="B198" s="9" t="s">
        <v>629</v>
      </c>
      <c r="C198" s="9">
        <v>220</v>
      </c>
      <c r="D198" s="9">
        <f>+VLOOKUP(B198&amp;"_"&amp;C198,'DECRETOS PNCP'!A:F,5,0)</f>
        <v>48.679000000000002</v>
      </c>
      <c r="E198" s="9" t="s">
        <v>766</v>
      </c>
      <c r="F198" s="9">
        <v>23</v>
      </c>
      <c r="G198" s="9" t="str">
        <f>+'DECRETOS PNCP'!$B$2</f>
        <v>4T-2026</v>
      </c>
      <c r="H198" s="9">
        <v>0</v>
      </c>
      <c r="I198" s="14" t="str">
        <f>+'PMG(D) segun remuneracion'!$K$1</f>
        <v>01-09-2026</v>
      </c>
      <c r="J198" s="14" t="str">
        <f>+'PMG(D) segun remuneracion'!$K$2</f>
        <v>30-09-2026</v>
      </c>
      <c r="K198" s="9">
        <f>+'PMG(D) segun remuneracion'!$K$3</f>
        <v>2</v>
      </c>
      <c r="L198" s="9">
        <f>+'PMG(D) segun remuneracion'!$K$4</f>
        <v>1</v>
      </c>
      <c r="M198" s="9">
        <f t="shared" si="4"/>
        <v>1</v>
      </c>
      <c r="N198" s="9" t="str">
        <f>+Tabla3[[#This Row],[Barra Balance]]&amp;"_"&amp;Tabla3[[#This Row],[Tensión Balance]]</f>
        <v>M.BLANCOS_23</v>
      </c>
      <c r="S198" t="s">
        <v>211</v>
      </c>
      <c r="T198" t="s">
        <v>910</v>
      </c>
    </row>
    <row r="199" spans="1:20">
      <c r="A199" s="9">
        <v>15</v>
      </c>
      <c r="B199" s="9" t="s">
        <v>383</v>
      </c>
      <c r="C199" s="9">
        <v>220</v>
      </c>
      <c r="D199" s="9">
        <f>+VLOOKUP(B199&amp;"_"&amp;C199,'DECRETOS PNCP'!A:F,5,0)</f>
        <v>51.473999999999997</v>
      </c>
      <c r="E199" s="9" t="s">
        <v>93</v>
      </c>
      <c r="F199" s="9">
        <v>23</v>
      </c>
      <c r="G199" s="9" t="str">
        <f>+'DECRETOS PNCP'!$B$2</f>
        <v>4T-2026</v>
      </c>
      <c r="H199" s="9">
        <v>0</v>
      </c>
      <c r="I199" s="14" t="str">
        <f>+'PMG(D) segun remuneracion'!$K$1</f>
        <v>01-09-2026</v>
      </c>
      <c r="J199" s="14" t="str">
        <f>+'PMG(D) segun remuneracion'!$K$2</f>
        <v>30-09-2026</v>
      </c>
      <c r="K199" s="9">
        <f>+'PMG(D) segun remuneracion'!$K$3</f>
        <v>2</v>
      </c>
      <c r="L199" s="9">
        <f>+'PMG(D) segun remuneracion'!$K$4</f>
        <v>1</v>
      </c>
      <c r="M199" s="9">
        <f t="shared" si="4"/>
        <v>1</v>
      </c>
      <c r="N199" s="9" t="str">
        <f>+Tabla3[[#This Row],[Barra Balance]]&amp;"_"&amp;Tabla3[[#This Row],[Tensión Balance]]</f>
        <v>ARMAZONES_23</v>
      </c>
      <c r="S199" t="s">
        <v>213</v>
      </c>
      <c r="T199" t="s">
        <v>910</v>
      </c>
    </row>
    <row r="200" spans="1:20">
      <c r="A200" s="9">
        <v>15</v>
      </c>
      <c r="B200" s="9" t="s">
        <v>1151</v>
      </c>
      <c r="C200" s="9">
        <v>220</v>
      </c>
      <c r="D200" s="9">
        <f>+VLOOKUP(B200&amp;"_"&amp;C200,'DECRETOS PNCP'!A:F,5,0)</f>
        <v>52.235999999999997</v>
      </c>
      <c r="E200" s="9" t="s">
        <v>1171</v>
      </c>
      <c r="F200" s="9">
        <v>13</v>
      </c>
      <c r="G200" s="9" t="str">
        <f>+'DECRETOS PNCP'!$B$2</f>
        <v>4T-2026</v>
      </c>
      <c r="H200" s="9">
        <v>0</v>
      </c>
      <c r="I200" s="14" t="str">
        <f>+'PMG(D) segun remuneracion'!$K$1</f>
        <v>01-09-2026</v>
      </c>
      <c r="J200" s="14" t="str">
        <f>+'PMG(D) segun remuneracion'!$K$2</f>
        <v>30-09-2026</v>
      </c>
      <c r="K200" s="9">
        <f>+'PMG(D) segun remuneracion'!$K$3</f>
        <v>2</v>
      </c>
      <c r="L200" s="9">
        <f>+'PMG(D) segun remuneracion'!$K$4</f>
        <v>1</v>
      </c>
      <c r="M200" s="9">
        <f t="shared" si="4"/>
        <v>1</v>
      </c>
      <c r="N200" s="9" t="str">
        <f>+Tabla3[[#This Row],[Barra Balance]]&amp;"_"&amp;Tabla3[[#This Row],[Tensión Balance]]</f>
        <v>QUINTERO_13</v>
      </c>
      <c r="S200" t="s">
        <v>214</v>
      </c>
      <c r="T200" t="s">
        <v>61</v>
      </c>
    </row>
    <row r="201" spans="1:20">
      <c r="A201" s="9">
        <v>15</v>
      </c>
      <c r="B201" s="9" t="s">
        <v>9</v>
      </c>
      <c r="C201" s="9">
        <v>220</v>
      </c>
      <c r="D201" s="9">
        <f>+VLOOKUP(B201&amp;"_"&amp;C201,'DECRETOS PNCP'!A:F,5,0)</f>
        <v>52.97</v>
      </c>
      <c r="E201" s="9" t="s">
        <v>515</v>
      </c>
      <c r="F201" s="9">
        <v>13</v>
      </c>
      <c r="G201" s="9" t="str">
        <f>+'DECRETOS PNCP'!$B$2</f>
        <v>4T-2026</v>
      </c>
      <c r="H201" s="9">
        <v>0</v>
      </c>
      <c r="I201" s="14" t="str">
        <f>+'PMG(D) segun remuneracion'!$K$1</f>
        <v>01-09-2026</v>
      </c>
      <c r="J201" s="14" t="str">
        <f>+'PMG(D) segun remuneracion'!$K$2</f>
        <v>30-09-2026</v>
      </c>
      <c r="K201" s="9">
        <f>+'PMG(D) segun remuneracion'!$K$3</f>
        <v>2</v>
      </c>
      <c r="L201" s="9">
        <f>+'PMG(D) segun remuneracion'!$K$4</f>
        <v>1</v>
      </c>
      <c r="M201" s="9">
        <f t="shared" si="4"/>
        <v>1</v>
      </c>
      <c r="N201" s="9" t="str">
        <f>+Tabla3[[#This Row],[Barra Balance]]&amp;"_"&amp;Tabla3[[#This Row],[Tensión Balance]]</f>
        <v>HOSPITAL_13</v>
      </c>
      <c r="S201" t="s">
        <v>216</v>
      </c>
      <c r="T201" t="s">
        <v>61</v>
      </c>
    </row>
    <row r="202" spans="1:20">
      <c r="A202" s="9">
        <v>15</v>
      </c>
      <c r="B202" s="9" t="s">
        <v>248</v>
      </c>
      <c r="C202" s="9">
        <v>220</v>
      </c>
      <c r="D202" s="9">
        <f>+VLOOKUP(B202&amp;"_"&amp;C202,'DECRETOS PNCP'!A:F,5,0)</f>
        <v>45.99</v>
      </c>
      <c r="E202" s="9" t="s">
        <v>890</v>
      </c>
      <c r="F202" s="9">
        <v>13</v>
      </c>
      <c r="G202" s="9" t="str">
        <f>+'DECRETOS PNCP'!$B$2</f>
        <v>4T-2026</v>
      </c>
      <c r="H202" s="9">
        <v>0</v>
      </c>
      <c r="I202" s="14" t="str">
        <f>+'PMG(D) segun remuneracion'!$K$1</f>
        <v>01-09-2026</v>
      </c>
      <c r="J202" s="14" t="str">
        <f>+'PMG(D) segun remuneracion'!$K$2</f>
        <v>30-09-2026</v>
      </c>
      <c r="K202" s="9">
        <f>+'PMG(D) segun remuneracion'!$K$3</f>
        <v>2</v>
      </c>
      <c r="L202" s="9">
        <f>+'PMG(D) segun remuneracion'!$K$4</f>
        <v>1</v>
      </c>
      <c r="M202" s="9">
        <f t="shared" si="4"/>
        <v>1</v>
      </c>
      <c r="N202" s="9" t="str">
        <f>+Tabla3[[#This Row],[Barra Balance]]&amp;"_"&amp;Tabla3[[#This Row],[Tensión Balance]]</f>
        <v>NAHUELBUTA_13</v>
      </c>
      <c r="S202" t="s">
        <v>6651</v>
      </c>
      <c r="T202" t="s">
        <v>551</v>
      </c>
    </row>
    <row r="203" spans="1:20">
      <c r="A203" s="9">
        <v>15</v>
      </c>
      <c r="B203" s="9" t="s">
        <v>1197</v>
      </c>
      <c r="C203" s="9">
        <v>220</v>
      </c>
      <c r="D203" s="9">
        <f>+VLOOKUP(B203&amp;"_"&amp;C203,'DECRETOS PNCP'!A:F,5,0)</f>
        <v>49.04</v>
      </c>
      <c r="E203" s="9" t="s">
        <v>666</v>
      </c>
      <c r="F203" s="9">
        <v>13</v>
      </c>
      <c r="G203" s="9" t="str">
        <f>+'DECRETOS PNCP'!$B$2</f>
        <v>4T-2026</v>
      </c>
      <c r="H203" s="9">
        <v>0</v>
      </c>
      <c r="I203" s="14" t="str">
        <f>+'PMG(D) segun remuneracion'!$K$1</f>
        <v>01-09-2026</v>
      </c>
      <c r="J203" s="14" t="str">
        <f>+'PMG(D) segun remuneracion'!$K$2</f>
        <v>30-09-2026</v>
      </c>
      <c r="K203" s="9">
        <f>+'PMG(D) segun remuneracion'!$K$3</f>
        <v>2</v>
      </c>
      <c r="L203" s="9">
        <f>+'PMG(D) segun remuneracion'!$K$4</f>
        <v>1</v>
      </c>
      <c r="M203" s="9">
        <f t="shared" si="4"/>
        <v>1</v>
      </c>
      <c r="N203" s="9" t="str">
        <f>+Tabla3[[#This Row],[Barra Balance]]&amp;"_"&amp;Tabla3[[#This Row],[Tensión Balance]]</f>
        <v>LASARANAS_13</v>
      </c>
      <c r="S203" t="s">
        <v>6766</v>
      </c>
      <c r="T203" t="s">
        <v>551</v>
      </c>
    </row>
    <row r="204" spans="1:20">
      <c r="A204" s="9">
        <v>15</v>
      </c>
      <c r="B204" s="9" t="s">
        <v>1151</v>
      </c>
      <c r="C204" s="9">
        <v>220</v>
      </c>
      <c r="D204" s="9">
        <f>+VLOOKUP(B204&amp;"_"&amp;C204,'DECRETOS PNCP'!A:F,5,0)</f>
        <v>52.235999999999997</v>
      </c>
      <c r="E204" s="9" t="s">
        <v>1035</v>
      </c>
      <c r="F204" s="9">
        <v>13</v>
      </c>
      <c r="G204" s="9" t="str">
        <f>+'DECRETOS PNCP'!$B$2</f>
        <v>4T-2026</v>
      </c>
      <c r="H204" s="9">
        <v>0</v>
      </c>
      <c r="I204" s="14" t="str">
        <f>+'PMG(D) segun remuneracion'!$K$1</f>
        <v>01-09-2026</v>
      </c>
      <c r="J204" s="14" t="str">
        <f>+'PMG(D) segun remuneracion'!$K$2</f>
        <v>30-09-2026</v>
      </c>
      <c r="K204" s="9">
        <f>+'PMG(D) segun remuneracion'!$K$3</f>
        <v>2</v>
      </c>
      <c r="L204" s="9">
        <f>+'PMG(D) segun remuneracion'!$K$4</f>
        <v>1</v>
      </c>
      <c r="M204" s="9">
        <f t="shared" si="4"/>
        <v>1</v>
      </c>
      <c r="N204" s="9" t="str">
        <f>+Tabla3[[#This Row],[Barra Balance]]&amp;"_"&amp;Tabla3[[#This Row],[Tensión Balance]]</f>
        <v>PENABLANCA_13</v>
      </c>
      <c r="S204" t="s">
        <v>217</v>
      </c>
      <c r="T204" t="s">
        <v>217</v>
      </c>
    </row>
    <row r="205" spans="1:20">
      <c r="A205" s="9">
        <v>15</v>
      </c>
      <c r="B205" s="9" t="s">
        <v>548</v>
      </c>
      <c r="C205" s="9">
        <v>220</v>
      </c>
      <c r="D205" s="9">
        <f>+VLOOKUP(B205&amp;"_"&amp;C205,'DECRETOS PNCP'!A:F,5,0)</f>
        <v>44.463999999999999</v>
      </c>
      <c r="E205" s="9" t="s">
        <v>518</v>
      </c>
      <c r="F205" s="9">
        <v>13</v>
      </c>
      <c r="G205" s="9" t="str">
        <f>+'DECRETOS PNCP'!$B$2</f>
        <v>4T-2026</v>
      </c>
      <c r="H205" s="9">
        <v>0</v>
      </c>
      <c r="I205" s="14" t="str">
        <f>+'PMG(D) segun remuneracion'!$K$1</f>
        <v>01-09-2026</v>
      </c>
      <c r="J205" s="14" t="str">
        <f>+'PMG(D) segun remuneracion'!$K$2</f>
        <v>30-09-2026</v>
      </c>
      <c r="K205" s="9">
        <f>+'PMG(D) segun remuneracion'!$K$3</f>
        <v>2</v>
      </c>
      <c r="L205" s="9">
        <f>+'PMG(D) segun remuneracion'!$K$4</f>
        <v>1</v>
      </c>
      <c r="M205" s="9">
        <f t="shared" si="4"/>
        <v>1</v>
      </c>
      <c r="N205" s="9" t="str">
        <f>+Tabla3[[#This Row],[Barra Balance]]&amp;"_"&amp;Tabla3[[#This Row],[Tensión Balance]]</f>
        <v>HUALANE_13</v>
      </c>
      <c r="S205" t="s">
        <v>219</v>
      </c>
      <c r="T205" t="s">
        <v>1017</v>
      </c>
    </row>
    <row r="206" spans="1:20">
      <c r="A206" s="9">
        <v>15</v>
      </c>
      <c r="B206" s="9" t="s">
        <v>1016</v>
      </c>
      <c r="C206" s="9">
        <v>220</v>
      </c>
      <c r="D206" s="9">
        <f>+VLOOKUP(B206&amp;"_"&amp;C206,'DECRETOS PNCP'!A:F,5,0)</f>
        <v>50.25</v>
      </c>
      <c r="E206" s="9" t="s">
        <v>245</v>
      </c>
      <c r="F206" s="9">
        <v>13</v>
      </c>
      <c r="G206" s="9" t="str">
        <f>+'DECRETOS PNCP'!$B$2</f>
        <v>4T-2026</v>
      </c>
      <c r="H206" s="9">
        <v>0</v>
      </c>
      <c r="I206" s="14" t="str">
        <f>+'PMG(D) segun remuneracion'!$K$1</f>
        <v>01-09-2026</v>
      </c>
      <c r="J206" s="14" t="str">
        <f>+'PMG(D) segun remuneracion'!$K$2</f>
        <v>30-09-2026</v>
      </c>
      <c r="K206" s="9">
        <f>+'PMG(D) segun remuneracion'!$K$3</f>
        <v>2</v>
      </c>
      <c r="L206" s="9">
        <f>+'PMG(D) segun remuneracion'!$K$4</f>
        <v>1</v>
      </c>
      <c r="M206" s="9">
        <f t="shared" si="4"/>
        <v>1</v>
      </c>
      <c r="N206" s="9" t="str">
        <f>+Tabla3[[#This Row],[Barra Balance]]&amp;"_"&amp;Tabla3[[#This Row],[Tensión Balance]]</f>
        <v>CHAPIQUINA_13</v>
      </c>
      <c r="S206" t="s">
        <v>220</v>
      </c>
      <c r="T206" t="s">
        <v>1017</v>
      </c>
    </row>
    <row r="207" spans="1:20">
      <c r="A207" s="9">
        <v>15</v>
      </c>
      <c r="B207" s="9" t="s">
        <v>948</v>
      </c>
      <c r="C207" s="9">
        <v>220</v>
      </c>
      <c r="D207" s="9">
        <f>+VLOOKUP(B207&amp;"_"&amp;C207,'DECRETOS PNCP'!A:F,5,0)</f>
        <v>51.737000000000002</v>
      </c>
      <c r="E207" s="9" t="s">
        <v>328</v>
      </c>
      <c r="F207" s="9">
        <v>13</v>
      </c>
      <c r="G207" s="9" t="str">
        <f>+'DECRETOS PNCP'!$B$2</f>
        <v>4T-2026</v>
      </c>
      <c r="H207" s="9">
        <v>0</v>
      </c>
      <c r="I207" s="14" t="str">
        <f>+'PMG(D) segun remuneracion'!$K$1</f>
        <v>01-09-2026</v>
      </c>
      <c r="J207" s="14" t="str">
        <f>+'PMG(D) segun remuneracion'!$K$2</f>
        <v>30-09-2026</v>
      </c>
      <c r="K207" s="9">
        <f>+'PMG(D) segun remuneracion'!$K$3</f>
        <v>2</v>
      </c>
      <c r="L207" s="9">
        <f>+'PMG(D) segun remuneracion'!$K$4</f>
        <v>1</v>
      </c>
      <c r="M207" s="9">
        <f t="shared" si="4"/>
        <v>1</v>
      </c>
      <c r="N207" s="9" t="str">
        <f>+Tabla3[[#This Row],[Barra Balance]]&amp;"_"&amp;Tabla3[[#This Row],[Tensión Balance]]</f>
        <v>COMPANIA_13</v>
      </c>
      <c r="S207" t="s">
        <v>1612</v>
      </c>
      <c r="T207" t="s">
        <v>938</v>
      </c>
    </row>
    <row r="208" spans="1:20">
      <c r="A208" s="9">
        <v>15</v>
      </c>
      <c r="B208" s="9" t="s">
        <v>925</v>
      </c>
      <c r="C208" s="9">
        <v>220</v>
      </c>
      <c r="D208" s="9">
        <f>+VLOOKUP(B208&amp;"_"&amp;C208,'DECRETOS PNCP'!A:F,5,0)</f>
        <v>49.462000000000003</v>
      </c>
      <c r="E208" s="9" t="s">
        <v>837</v>
      </c>
      <c r="F208" s="9">
        <v>13</v>
      </c>
      <c r="G208" s="9" t="str">
        <f>+'DECRETOS PNCP'!$B$2</f>
        <v>4T-2026</v>
      </c>
      <c r="H208" s="9">
        <v>0</v>
      </c>
      <c r="I208" s="14" t="str">
        <f>+'PMG(D) segun remuneracion'!$K$1</f>
        <v>01-09-2026</v>
      </c>
      <c r="J208" s="14" t="str">
        <f>+'PMG(D) segun remuneracion'!$K$2</f>
        <v>30-09-2026</v>
      </c>
      <c r="K208" s="9">
        <f>+'PMG(D) segun remuneracion'!$K$3</f>
        <v>2</v>
      </c>
      <c r="L208" s="9">
        <f>+'PMG(D) segun remuneracion'!$K$4</f>
        <v>1</v>
      </c>
      <c r="M208" s="9">
        <f t="shared" si="4"/>
        <v>1</v>
      </c>
      <c r="N208" s="9" t="str">
        <f>+Tabla3[[#This Row],[Barra Balance]]&amp;"_"&amp;Tabla3[[#This Row],[Tensión Balance]]</f>
        <v>MEJILLONES_13</v>
      </c>
      <c r="S208" t="s">
        <v>1613</v>
      </c>
      <c r="T208" t="s">
        <v>938</v>
      </c>
    </row>
    <row r="209" spans="1:20">
      <c r="A209" s="9">
        <v>15</v>
      </c>
      <c r="B209" s="9" t="s">
        <v>14</v>
      </c>
      <c r="C209" s="9">
        <v>220</v>
      </c>
      <c r="D209" s="9">
        <f>+VLOOKUP(B209&amp;"_"&amp;C209,'DECRETOS PNCP'!A:F,5,0)</f>
        <v>49.323999999999998</v>
      </c>
      <c r="E209" s="9" t="s">
        <v>1235</v>
      </c>
      <c r="F209" s="9">
        <v>13</v>
      </c>
      <c r="G209" s="9" t="str">
        <f>+'DECRETOS PNCP'!$B$2</f>
        <v>4T-2026</v>
      </c>
      <c r="H209" s="9">
        <v>0</v>
      </c>
      <c r="I209" s="14" t="str">
        <f>+'PMG(D) segun remuneracion'!$K$1</f>
        <v>01-09-2026</v>
      </c>
      <c r="J209" s="14" t="str">
        <f>+'PMG(D) segun remuneracion'!$K$2</f>
        <v>30-09-2026</v>
      </c>
      <c r="K209" s="9">
        <f>+'PMG(D) segun remuneracion'!$K$3</f>
        <v>2</v>
      </c>
      <c r="L209" s="9">
        <f>+'PMG(D) segun remuneracion'!$K$4</f>
        <v>1</v>
      </c>
      <c r="M209" s="9">
        <f t="shared" si="4"/>
        <v>1</v>
      </c>
      <c r="N209" s="9" t="str">
        <f>+Tabla3[[#This Row],[Barra Balance]]&amp;"_"&amp;Tabla3[[#This Row],[Tensión Balance]]</f>
        <v>S.ANTONIO_13</v>
      </c>
      <c r="S209" t="s">
        <v>221</v>
      </c>
      <c r="T209" t="s">
        <v>358</v>
      </c>
    </row>
    <row r="210" spans="1:20">
      <c r="A210" s="9">
        <v>15</v>
      </c>
      <c r="B210" s="9" t="s">
        <v>548</v>
      </c>
      <c r="C210" s="9">
        <v>220</v>
      </c>
      <c r="D210" s="9">
        <f>+VLOOKUP(B210&amp;"_"&amp;C210,'DECRETOS PNCP'!A:F,5,0)</f>
        <v>44.463999999999999</v>
      </c>
      <c r="E210" s="9" t="s">
        <v>380</v>
      </c>
      <c r="F210" s="9">
        <v>13</v>
      </c>
      <c r="G210" s="9" t="str">
        <f>+'DECRETOS PNCP'!$B$2</f>
        <v>4T-2026</v>
      </c>
      <c r="H210" s="9">
        <v>0</v>
      </c>
      <c r="I210" s="14" t="str">
        <f>+'PMG(D) segun remuneracion'!$K$1</f>
        <v>01-09-2026</v>
      </c>
      <c r="J210" s="14" t="str">
        <f>+'PMG(D) segun remuneracion'!$K$2</f>
        <v>30-09-2026</v>
      </c>
      <c r="K210" s="9">
        <f>+'PMG(D) segun remuneracion'!$K$3</f>
        <v>2</v>
      </c>
      <c r="L210" s="9">
        <f>+'PMG(D) segun remuneracion'!$K$4</f>
        <v>1</v>
      </c>
      <c r="M210" s="9">
        <f t="shared" si="4"/>
        <v>1</v>
      </c>
      <c r="N210" s="9" t="str">
        <f>+Tabla3[[#This Row],[Barra Balance]]&amp;"_"&amp;Tabla3[[#This Row],[Tensión Balance]]</f>
        <v>CURICO2_13</v>
      </c>
      <c r="S210" t="s">
        <v>223</v>
      </c>
      <c r="T210" t="s">
        <v>217</v>
      </c>
    </row>
    <row r="211" spans="1:20">
      <c r="A211" s="9">
        <v>15</v>
      </c>
      <c r="B211" s="9" t="s">
        <v>606</v>
      </c>
      <c r="C211" s="9">
        <v>220</v>
      </c>
      <c r="D211" s="9">
        <f>+VLOOKUP(B211&amp;"_"&amp;C211,'DECRETOS PNCP'!A:F,5,0)</f>
        <v>52.988</v>
      </c>
      <c r="E211" s="9" t="s">
        <v>243</v>
      </c>
      <c r="F211" s="9">
        <v>23</v>
      </c>
      <c r="G211" s="9" t="str">
        <f>+'DECRETOS PNCP'!$B$2</f>
        <v>4T-2026</v>
      </c>
      <c r="H211" s="9">
        <v>0</v>
      </c>
      <c r="I211" s="14" t="str">
        <f>+'PMG(D) segun remuneracion'!$K$1</f>
        <v>01-09-2026</v>
      </c>
      <c r="J211" s="14" t="str">
        <f>+'PMG(D) segun remuneracion'!$K$2</f>
        <v>30-09-2026</v>
      </c>
      <c r="K211" s="9">
        <f>+'PMG(D) segun remuneracion'!$K$3</f>
        <v>2</v>
      </c>
      <c r="L211" s="9">
        <f>+'PMG(D) segun remuneracion'!$K$4</f>
        <v>1</v>
      </c>
      <c r="M211" s="9">
        <f t="shared" si="4"/>
        <v>1</v>
      </c>
      <c r="N211" s="9" t="str">
        <f>+Tabla3[[#This Row],[Barra Balance]]&amp;"_"&amp;Tabla3[[#This Row],[Tensión Balance]]</f>
        <v>CHAGUAL_23</v>
      </c>
      <c r="S211" t="s">
        <v>224</v>
      </c>
      <c r="T211" t="s">
        <v>217</v>
      </c>
    </row>
    <row r="212" spans="1:20">
      <c r="A212" s="9">
        <v>15</v>
      </c>
      <c r="B212" s="9" t="s">
        <v>195</v>
      </c>
      <c r="C212" s="9">
        <v>220</v>
      </c>
      <c r="D212" s="9">
        <f>+VLOOKUP(B212&amp;"_"&amp;C212,'DECRETOS PNCP'!A:F,5,0)</f>
        <v>51.563000000000002</v>
      </c>
      <c r="E212" s="9" t="s">
        <v>347</v>
      </c>
      <c r="F212" s="9">
        <v>13</v>
      </c>
      <c r="G212" s="9" t="str">
        <f>+'DECRETOS PNCP'!$B$2</f>
        <v>4T-2026</v>
      </c>
      <c r="H212" s="9">
        <v>0</v>
      </c>
      <c r="I212" s="14" t="str">
        <f>+'PMG(D) segun remuneracion'!$K$1</f>
        <v>01-09-2026</v>
      </c>
      <c r="J212" s="14" t="str">
        <f>+'PMG(D) segun remuneracion'!$K$2</f>
        <v>30-09-2026</v>
      </c>
      <c r="K212" s="9">
        <f>+'PMG(D) segun remuneracion'!$K$3</f>
        <v>2</v>
      </c>
      <c r="L212" s="9">
        <f>+'PMG(D) segun remuneracion'!$K$4</f>
        <v>1</v>
      </c>
      <c r="M212" s="9">
        <f t="shared" si="4"/>
        <v>1</v>
      </c>
      <c r="N212" s="9" t="str">
        <f>+Tabla3[[#This Row],[Barra Balance]]&amp;"_"&amp;Tabla3[[#This Row],[Tensión Balance]]</f>
        <v>COPIAPO_13</v>
      </c>
      <c r="S212" t="s">
        <v>225</v>
      </c>
      <c r="T212" t="s">
        <v>101</v>
      </c>
    </row>
    <row r="213" spans="1:20">
      <c r="A213" s="9">
        <v>15</v>
      </c>
      <c r="B213" s="9" t="s">
        <v>248</v>
      </c>
      <c r="C213" s="9">
        <v>220</v>
      </c>
      <c r="D213" s="9">
        <f>+VLOOKUP(B213&amp;"_"&amp;C213,'DECRETOS PNCP'!A:F,5,0)</f>
        <v>45.99</v>
      </c>
      <c r="E213" s="9" t="s">
        <v>1107</v>
      </c>
      <c r="F213" s="9">
        <v>23</v>
      </c>
      <c r="G213" s="9" t="str">
        <f>+'DECRETOS PNCP'!$B$2</f>
        <v>4T-2026</v>
      </c>
      <c r="H213" s="9">
        <v>0</v>
      </c>
      <c r="I213" s="14" t="str">
        <f>+'PMG(D) segun remuneracion'!$K$1</f>
        <v>01-09-2026</v>
      </c>
      <c r="J213" s="14" t="str">
        <f>+'PMG(D) segun remuneracion'!$K$2</f>
        <v>30-09-2026</v>
      </c>
      <c r="K213" s="9">
        <f>+'PMG(D) segun remuneracion'!$K$3</f>
        <v>2</v>
      </c>
      <c r="L213" s="9">
        <f>+'PMG(D) segun remuneracion'!$K$4</f>
        <v>1</v>
      </c>
      <c r="M213" s="9">
        <f t="shared" si="4"/>
        <v>1</v>
      </c>
      <c r="N213" s="9" t="str">
        <f>+Tabla3[[#This Row],[Barra Balance]]&amp;"_"&amp;Tabla3[[#This Row],[Tensión Balance]]</f>
        <v>PUEBLOSECO_23</v>
      </c>
      <c r="S213" t="s">
        <v>226</v>
      </c>
      <c r="T213" t="s">
        <v>101</v>
      </c>
    </row>
    <row r="214" spans="1:20">
      <c r="A214" s="9">
        <v>15</v>
      </c>
      <c r="B214" s="9" t="s">
        <v>248</v>
      </c>
      <c r="C214" s="9">
        <v>220</v>
      </c>
      <c r="D214" s="9">
        <f>+VLOOKUP(B214&amp;"_"&amp;C214,'DECRETOS PNCP'!A:F,5,0)</f>
        <v>45.99</v>
      </c>
      <c r="E214" s="9" t="s">
        <v>639</v>
      </c>
      <c r="F214" s="9">
        <v>13</v>
      </c>
      <c r="G214" s="9" t="str">
        <f>+'DECRETOS PNCP'!$B$2</f>
        <v>4T-2026</v>
      </c>
      <c r="H214" s="9">
        <v>0</v>
      </c>
      <c r="I214" s="14" t="str">
        <f>+'PMG(D) segun remuneracion'!$K$1</f>
        <v>01-09-2026</v>
      </c>
      <c r="J214" s="14" t="str">
        <f>+'PMG(D) segun remuneracion'!$K$2</f>
        <v>30-09-2026</v>
      </c>
      <c r="K214" s="9">
        <f>+'PMG(D) segun remuneracion'!$K$3</f>
        <v>2</v>
      </c>
      <c r="L214" s="9">
        <f>+'PMG(D) segun remuneracion'!$K$4</f>
        <v>1</v>
      </c>
      <c r="M214" s="9">
        <f t="shared" si="4"/>
        <v>1</v>
      </c>
      <c r="N214" s="9" t="str">
        <f>+Tabla3[[#This Row],[Barra Balance]]&amp;"_"&amp;Tabla3[[#This Row],[Tensión Balance]]</f>
        <v>LAJA_13</v>
      </c>
      <c r="S214" t="s">
        <v>227</v>
      </c>
      <c r="T214" t="s">
        <v>196</v>
      </c>
    </row>
    <row r="215" spans="1:20">
      <c r="A215" s="9">
        <v>15</v>
      </c>
      <c r="B215" s="9" t="s">
        <v>935</v>
      </c>
      <c r="C215" s="9">
        <v>220</v>
      </c>
      <c r="D215" s="9">
        <f>+VLOOKUP(B215&amp;"_"&amp;C215,'DECRETOS PNCP'!A:F,5,0)</f>
        <v>52</v>
      </c>
      <c r="E215" s="9" t="s">
        <v>1382</v>
      </c>
      <c r="F215" s="9">
        <v>23</v>
      </c>
      <c r="G215" s="9" t="str">
        <f>+'DECRETOS PNCP'!$B$2</f>
        <v>4T-2026</v>
      </c>
      <c r="H215" s="9">
        <v>0</v>
      </c>
      <c r="I215" s="14" t="str">
        <f>+'PMG(D) segun remuneracion'!$K$1</f>
        <v>01-09-2026</v>
      </c>
      <c r="J215" s="14" t="str">
        <f>+'PMG(D) segun remuneracion'!$K$2</f>
        <v>30-09-2026</v>
      </c>
      <c r="K215" s="9">
        <f>+'PMG(D) segun remuneracion'!$K$3</f>
        <v>2</v>
      </c>
      <c r="L215" s="9">
        <f>+'PMG(D) segun remuneracion'!$K$4</f>
        <v>1</v>
      </c>
      <c r="M215" s="9">
        <f t="shared" si="4"/>
        <v>1</v>
      </c>
      <c r="N215" s="9" t="str">
        <f>+Tabla3[[#This Row],[Barra Balance]]&amp;"_"&amp;Tabla3[[#This Row],[Tensión Balance]]</f>
        <v>TAMARUGAL_23</v>
      </c>
      <c r="S215" t="s">
        <v>229</v>
      </c>
      <c r="T215" t="s">
        <v>196</v>
      </c>
    </row>
    <row r="216" spans="1:20">
      <c r="A216" s="9">
        <v>15</v>
      </c>
      <c r="B216" s="9" t="s">
        <v>948</v>
      </c>
      <c r="C216" s="9">
        <v>220</v>
      </c>
      <c r="D216" s="9">
        <f>+VLOOKUP(B216&amp;"_"&amp;C216,'DECRETOS PNCP'!A:F,5,0)</f>
        <v>51.737000000000002</v>
      </c>
      <c r="E216" s="9" t="s">
        <v>405</v>
      </c>
      <c r="F216" s="9">
        <v>23</v>
      </c>
      <c r="G216" s="9" t="str">
        <f>+'DECRETOS PNCP'!$B$2</f>
        <v>4T-2026</v>
      </c>
      <c r="H216" s="9">
        <v>0</v>
      </c>
      <c r="I216" s="14" t="str">
        <f>+'PMG(D) segun remuneracion'!$K$1</f>
        <v>01-09-2026</v>
      </c>
      <c r="J216" s="14" t="str">
        <f>+'PMG(D) segun remuneracion'!$K$2</f>
        <v>30-09-2026</v>
      </c>
      <c r="K216" s="9">
        <f>+'PMG(D) segun remuneracion'!$K$3</f>
        <v>2</v>
      </c>
      <c r="L216" s="9">
        <f>+'PMG(D) segun remuneracion'!$K$4</f>
        <v>1</v>
      </c>
      <c r="M216" s="9">
        <f t="shared" si="4"/>
        <v>1</v>
      </c>
      <c r="N216" s="9" t="str">
        <f>+Tabla3[[#This Row],[Barra Balance]]&amp;"_"&amp;Tabla3[[#This Row],[Tensión Balance]]</f>
        <v>E.PENON_23</v>
      </c>
      <c r="S216" t="s">
        <v>230</v>
      </c>
      <c r="T216" t="s">
        <v>522</v>
      </c>
    </row>
    <row r="217" spans="1:20">
      <c r="A217" s="9">
        <v>15</v>
      </c>
      <c r="B217" s="9" t="s">
        <v>911</v>
      </c>
      <c r="C217" s="9">
        <v>220</v>
      </c>
      <c r="D217" s="9">
        <f>+VLOOKUP(B217&amp;"_"&amp;C217,'DECRETOS PNCP'!A:F,5,0)</f>
        <v>51.460999999999999</v>
      </c>
      <c r="E217" s="9" t="s">
        <v>422</v>
      </c>
      <c r="F217" s="9">
        <v>13</v>
      </c>
      <c r="G217" s="9" t="str">
        <f>+'DECRETOS PNCP'!$B$2</f>
        <v>4T-2026</v>
      </c>
      <c r="H217" s="9">
        <v>0</v>
      </c>
      <c r="I217" s="14" t="str">
        <f>+'PMG(D) segun remuneracion'!$K$1</f>
        <v>01-09-2026</v>
      </c>
      <c r="J217" s="14" t="str">
        <f>+'PMG(D) segun remuneracion'!$K$2</f>
        <v>30-09-2026</v>
      </c>
      <c r="K217" s="9">
        <f>+'PMG(D) segun remuneracion'!$K$3</f>
        <v>2</v>
      </c>
      <c r="L217" s="9">
        <f>+'PMG(D) segun remuneracion'!$K$4</f>
        <v>1</v>
      </c>
      <c r="M217" s="9">
        <f t="shared" si="4"/>
        <v>1</v>
      </c>
      <c r="N217" s="9" t="str">
        <f>+Tabla3[[#This Row],[Barra Balance]]&amp;"_"&amp;Tabla3[[#This Row],[Tensión Balance]]</f>
        <v>EL_MELON_13</v>
      </c>
      <c r="S217" t="s">
        <v>231</v>
      </c>
      <c r="T217" t="s">
        <v>522</v>
      </c>
    </row>
    <row r="218" spans="1:20">
      <c r="A218" s="9">
        <v>15</v>
      </c>
      <c r="B218" s="9" t="s">
        <v>182</v>
      </c>
      <c r="C218" s="9">
        <v>220</v>
      </c>
      <c r="D218" s="9">
        <f>+VLOOKUP(B218&amp;"_"&amp;C218,'DECRETOS PNCP'!A:F,5,0)</f>
        <v>50.606000000000002</v>
      </c>
      <c r="E218" s="9" t="s">
        <v>164</v>
      </c>
      <c r="F218" s="9">
        <v>13</v>
      </c>
      <c r="G218" s="9" t="str">
        <f>+'DECRETOS PNCP'!$B$2</f>
        <v>4T-2026</v>
      </c>
      <c r="H218" s="9">
        <v>0</v>
      </c>
      <c r="I218" s="14" t="str">
        <f>+'PMG(D) segun remuneracion'!$K$1</f>
        <v>01-09-2026</v>
      </c>
      <c r="J218" s="14" t="str">
        <f>+'PMG(D) segun remuneracion'!$K$2</f>
        <v>30-09-2026</v>
      </c>
      <c r="K218" s="9">
        <f>+'PMG(D) segun remuneracion'!$K$3</f>
        <v>2</v>
      </c>
      <c r="L218" s="9">
        <f>+'PMG(D) segun remuneracion'!$K$4</f>
        <v>1</v>
      </c>
      <c r="M218" s="9">
        <f t="shared" si="4"/>
        <v>1</v>
      </c>
      <c r="N218" s="9" t="str">
        <f>+Tabla3[[#This Row],[Barra Balance]]&amp;"_"&amp;Tabla3[[#This Row],[Tensión Balance]]</f>
        <v>CACHAPOAL_13</v>
      </c>
      <c r="S218" t="s">
        <v>1614</v>
      </c>
      <c r="T218" t="s">
        <v>938</v>
      </c>
    </row>
    <row r="219" spans="1:20">
      <c r="A219" s="9">
        <v>15</v>
      </c>
      <c r="B219" s="9" t="s">
        <v>548</v>
      </c>
      <c r="C219" s="9">
        <v>220</v>
      </c>
      <c r="D219" s="9">
        <f>+VLOOKUP(B219&amp;"_"&amp;C219,'DECRETOS PNCP'!A:F,5,0)</f>
        <v>44.463999999999999</v>
      </c>
      <c r="E219" s="9" t="s">
        <v>693</v>
      </c>
      <c r="F219" s="9">
        <v>13</v>
      </c>
      <c r="G219" s="9" t="str">
        <f>+'DECRETOS PNCP'!$B$2</f>
        <v>4T-2026</v>
      </c>
      <c r="H219" s="9">
        <v>0</v>
      </c>
      <c r="I219" s="14" t="str">
        <f>+'PMG(D) segun remuneracion'!$K$1</f>
        <v>01-09-2026</v>
      </c>
      <c r="J219" s="14" t="str">
        <f>+'PMG(D) segun remuneracion'!$K$2</f>
        <v>30-09-2026</v>
      </c>
      <c r="K219" s="9">
        <f>+'PMG(D) segun remuneracion'!$K$3</f>
        <v>2</v>
      </c>
      <c r="L219" s="9">
        <f>+'PMG(D) segun remuneracion'!$K$4</f>
        <v>1</v>
      </c>
      <c r="M219" s="9">
        <f t="shared" si="4"/>
        <v>1</v>
      </c>
      <c r="N219" s="9" t="str">
        <f>+Tabla3[[#This Row],[Barra Balance]]&amp;"_"&amp;Tabla3[[#This Row],[Tensión Balance]]</f>
        <v>LICANTEN_13</v>
      </c>
      <c r="S219" t="s">
        <v>232</v>
      </c>
      <c r="T219" t="s">
        <v>196</v>
      </c>
    </row>
    <row r="220" spans="1:20">
      <c r="A220" s="9">
        <v>15</v>
      </c>
      <c r="B220" s="9" t="s">
        <v>312</v>
      </c>
      <c r="C220" s="9">
        <v>220</v>
      </c>
      <c r="D220" s="9">
        <f>+VLOOKUP(B220&amp;"_"&amp;C220,'DECRETOS PNCP'!A:F,5,0)</f>
        <v>45.820999999999998</v>
      </c>
      <c r="E220" s="9" t="s">
        <v>361</v>
      </c>
      <c r="F220" s="9">
        <v>220</v>
      </c>
      <c r="G220" s="9" t="str">
        <f>+'DECRETOS PNCP'!$B$2</f>
        <v>4T-2026</v>
      </c>
      <c r="H220" s="9">
        <v>0</v>
      </c>
      <c r="I220" s="14" t="str">
        <f>+'PMG(D) segun remuneracion'!$K$1</f>
        <v>01-09-2026</v>
      </c>
      <c r="J220" s="14" t="str">
        <f>+'PMG(D) segun remuneracion'!$K$2</f>
        <v>30-09-2026</v>
      </c>
      <c r="K220" s="9">
        <f>+'PMG(D) segun remuneracion'!$K$3</f>
        <v>2</v>
      </c>
      <c r="L220" s="9">
        <f>+'PMG(D) segun remuneracion'!$K$4</f>
        <v>1</v>
      </c>
      <c r="M220" s="9">
        <f t="shared" si="4"/>
        <v>1</v>
      </c>
      <c r="N220" s="9" t="str">
        <f>+Tabla3[[#This Row],[Barra Balance]]&amp;"_"&amp;Tabla3[[#This Row],[Tensión Balance]]</f>
        <v>CTR_MACHICURA_220</v>
      </c>
      <c r="S220" t="s">
        <v>233</v>
      </c>
      <c r="T220" t="s">
        <v>152</v>
      </c>
    </row>
    <row r="221" spans="1:20">
      <c r="A221" s="9">
        <v>15</v>
      </c>
      <c r="B221" s="9" t="s">
        <v>60</v>
      </c>
      <c r="C221" s="9">
        <v>220</v>
      </c>
      <c r="D221" s="9">
        <f>+VLOOKUP(B221&amp;"_"&amp;C221,'DECRETOS PNCP'!A:F,5,0)</f>
        <v>45.817</v>
      </c>
      <c r="E221" s="9" t="s">
        <v>60</v>
      </c>
      <c r="F221" s="9">
        <v>13</v>
      </c>
      <c r="G221" s="9" t="str">
        <f>+'DECRETOS PNCP'!$B$2</f>
        <v>4T-2026</v>
      </c>
      <c r="H221" s="9">
        <v>0</v>
      </c>
      <c r="I221" s="14" t="str">
        <f>+'PMG(D) segun remuneracion'!$K$1</f>
        <v>01-09-2026</v>
      </c>
      <c r="J221" s="14" t="str">
        <f>+'PMG(D) segun remuneracion'!$K$2</f>
        <v>30-09-2026</v>
      </c>
      <c r="K221" s="9">
        <f>+'PMG(D) segun remuneracion'!$K$3</f>
        <v>2</v>
      </c>
      <c r="L221" s="9">
        <f>+'PMG(D) segun remuneracion'!$K$4</f>
        <v>1</v>
      </c>
      <c r="M221" s="9">
        <f t="shared" si="4"/>
        <v>1</v>
      </c>
      <c r="N221" s="9" t="str">
        <f>+Tabla3[[#This Row],[Barra Balance]]&amp;"_"&amp;Tabla3[[#This Row],[Tensión Balance]]</f>
        <v>ANCOA_13</v>
      </c>
      <c r="S221" t="s">
        <v>235</v>
      </c>
      <c r="T221" t="s">
        <v>152</v>
      </c>
    </row>
    <row r="222" spans="1:20">
      <c r="A222" s="9">
        <v>15</v>
      </c>
      <c r="B222" s="9" t="s">
        <v>248</v>
      </c>
      <c r="C222" s="9">
        <v>220</v>
      </c>
      <c r="D222" s="9">
        <f>+VLOOKUP(B222&amp;"_"&amp;C222,'DECRETOS PNCP'!A:F,5,0)</f>
        <v>45.99</v>
      </c>
      <c r="E222" s="9" t="s">
        <v>871</v>
      </c>
      <c r="F222" s="9">
        <v>13</v>
      </c>
      <c r="G222" s="9" t="str">
        <f>+'DECRETOS PNCP'!$B$2</f>
        <v>4T-2026</v>
      </c>
      <c r="H222" s="9">
        <v>0</v>
      </c>
      <c r="I222" s="14" t="str">
        <f>+'PMG(D) segun remuneracion'!$K$1</f>
        <v>01-09-2026</v>
      </c>
      <c r="J222" s="14" t="str">
        <f>+'PMG(D) segun remuneracion'!$K$2</f>
        <v>30-09-2026</v>
      </c>
      <c r="K222" s="9">
        <f>+'PMG(D) segun remuneracion'!$K$3</f>
        <v>2</v>
      </c>
      <c r="L222" s="9">
        <f>+'PMG(D) segun remuneracion'!$K$4</f>
        <v>1</v>
      </c>
      <c r="M222" s="9">
        <f t="shared" si="4"/>
        <v>1</v>
      </c>
      <c r="N222" s="9" t="str">
        <f>+Tabla3[[#This Row],[Barra Balance]]&amp;"_"&amp;Tabla3[[#This Row],[Tensión Balance]]</f>
        <v>MONTENEGRO_13</v>
      </c>
      <c r="S222" t="s">
        <v>236</v>
      </c>
      <c r="T222" t="s">
        <v>152</v>
      </c>
    </row>
    <row r="223" spans="1:20">
      <c r="A223" s="9">
        <v>15</v>
      </c>
      <c r="B223" s="9" t="s">
        <v>248</v>
      </c>
      <c r="C223" s="9">
        <v>220</v>
      </c>
      <c r="D223" s="9">
        <f>+VLOOKUP(B223&amp;"_"&amp;C223,'DECRETOS PNCP'!A:F,5,0)</f>
        <v>45.99</v>
      </c>
      <c r="E223" s="9" t="s">
        <v>281</v>
      </c>
      <c r="F223" s="9">
        <v>13</v>
      </c>
      <c r="G223" s="9" t="str">
        <f>+'DECRETOS PNCP'!$B$2</f>
        <v>4T-2026</v>
      </c>
      <c r="H223" s="9">
        <v>0</v>
      </c>
      <c r="I223" s="14" t="str">
        <f>+'PMG(D) segun remuneracion'!$K$1</f>
        <v>01-09-2026</v>
      </c>
      <c r="J223" s="14" t="str">
        <f>+'PMG(D) segun remuneracion'!$K$2</f>
        <v>30-09-2026</v>
      </c>
      <c r="K223" s="9">
        <f>+'PMG(D) segun remuneracion'!$K$3</f>
        <v>2</v>
      </c>
      <c r="L223" s="9">
        <f>+'PMG(D) segun remuneracion'!$K$4</f>
        <v>1</v>
      </c>
      <c r="M223" s="9">
        <f t="shared" si="4"/>
        <v>1</v>
      </c>
      <c r="N223" s="9" t="str">
        <f>+Tabla3[[#This Row],[Barra Balance]]&amp;"_"&amp;Tabla3[[#This Row],[Tensión Balance]]</f>
        <v>CHOLGUAN_13</v>
      </c>
      <c r="S223" t="s">
        <v>237</v>
      </c>
      <c r="T223" t="s">
        <v>551</v>
      </c>
    </row>
    <row r="224" spans="1:20">
      <c r="A224" s="9">
        <v>15</v>
      </c>
      <c r="B224" s="9" t="s">
        <v>948</v>
      </c>
      <c r="C224" s="9">
        <v>220</v>
      </c>
      <c r="D224" s="9">
        <f>+VLOOKUP(B224&amp;"_"&amp;C224,'DECRETOS PNCP'!A:F,5,0)</f>
        <v>51.737000000000002</v>
      </c>
      <c r="E224" s="9" t="s">
        <v>405</v>
      </c>
      <c r="F224" s="9">
        <v>110</v>
      </c>
      <c r="G224" s="9" t="str">
        <f>+'DECRETOS PNCP'!$B$2</f>
        <v>4T-2026</v>
      </c>
      <c r="H224" s="9">
        <v>0</v>
      </c>
      <c r="I224" s="14" t="str">
        <f>+'PMG(D) segun remuneracion'!$K$1</f>
        <v>01-09-2026</v>
      </c>
      <c r="J224" s="14" t="str">
        <f>+'PMG(D) segun remuneracion'!$K$2</f>
        <v>30-09-2026</v>
      </c>
      <c r="K224" s="9">
        <f>+'PMG(D) segun remuneracion'!$K$3</f>
        <v>2</v>
      </c>
      <c r="L224" s="9">
        <f>+'PMG(D) segun remuneracion'!$K$4</f>
        <v>1</v>
      </c>
      <c r="M224" s="9">
        <f t="shared" si="4"/>
        <v>1</v>
      </c>
      <c r="N224" s="9" t="str">
        <f>+Tabla3[[#This Row],[Barra Balance]]&amp;"_"&amp;Tabla3[[#This Row],[Tensión Balance]]</f>
        <v>E.PENON_110</v>
      </c>
      <c r="S224" t="s">
        <v>239</v>
      </c>
      <c r="T224" t="s">
        <v>551</v>
      </c>
    </row>
    <row r="225" spans="1:20">
      <c r="A225" s="9">
        <v>15</v>
      </c>
      <c r="B225" s="9" t="s">
        <v>1016</v>
      </c>
      <c r="C225" s="9">
        <v>220</v>
      </c>
      <c r="D225" s="9">
        <f>+VLOOKUP(B225&amp;"_"&amp;C225,'DECRETOS PNCP'!A:F,5,0)</f>
        <v>50.25</v>
      </c>
      <c r="E225" s="9" t="s">
        <v>1142</v>
      </c>
      <c r="F225" s="9">
        <v>13</v>
      </c>
      <c r="G225" s="9" t="str">
        <f>+'DECRETOS PNCP'!$B$2</f>
        <v>4T-2026</v>
      </c>
      <c r="H225" s="9">
        <v>0</v>
      </c>
      <c r="I225" s="14" t="str">
        <f>+'PMG(D) segun remuneracion'!$K$1</f>
        <v>01-09-2026</v>
      </c>
      <c r="J225" s="14" t="str">
        <f>+'PMG(D) segun remuneracion'!$K$2</f>
        <v>30-09-2026</v>
      </c>
      <c r="K225" s="9">
        <f>+'PMG(D) segun remuneracion'!$K$3</f>
        <v>2</v>
      </c>
      <c r="L225" s="9">
        <f>+'PMG(D) segun remuneracion'!$K$4</f>
        <v>1</v>
      </c>
      <c r="M225" s="9">
        <f t="shared" si="4"/>
        <v>1</v>
      </c>
      <c r="N225" s="9" t="str">
        <f>+Tabla3[[#This Row],[Barra Balance]]&amp;"_"&amp;Tabla3[[#This Row],[Tensión Balance]]</f>
        <v>QUIANI_13</v>
      </c>
      <c r="S225" t="s">
        <v>240</v>
      </c>
      <c r="T225" t="s">
        <v>924</v>
      </c>
    </row>
    <row r="226" spans="1:20">
      <c r="A226" s="9">
        <v>15</v>
      </c>
      <c r="B226" s="9" t="s">
        <v>548</v>
      </c>
      <c r="C226" s="9">
        <v>220</v>
      </c>
      <c r="D226" s="9">
        <f>+VLOOKUP(B226&amp;"_"&amp;C226,'DECRETOS PNCP'!A:F,5,0)</f>
        <v>44.463999999999999</v>
      </c>
      <c r="E226" s="9" t="s">
        <v>342</v>
      </c>
      <c r="F226" s="9">
        <v>23</v>
      </c>
      <c r="G226" s="9" t="str">
        <f>+'DECRETOS PNCP'!$B$2</f>
        <v>4T-2026</v>
      </c>
      <c r="H226" s="9">
        <v>0</v>
      </c>
      <c r="I226" s="14" t="str">
        <f>+'PMG(D) segun remuneracion'!$K$1</f>
        <v>01-09-2026</v>
      </c>
      <c r="J226" s="14" t="str">
        <f>+'PMG(D) segun remuneracion'!$K$2</f>
        <v>30-09-2026</v>
      </c>
      <c r="K226" s="9">
        <f>+'PMG(D) segun remuneracion'!$K$3</f>
        <v>2</v>
      </c>
      <c r="L226" s="9">
        <f>+'PMG(D) segun remuneracion'!$K$4</f>
        <v>1</v>
      </c>
      <c r="M226" s="9">
        <f t="shared" si="4"/>
        <v>1</v>
      </c>
      <c r="N226" s="9" t="str">
        <f>+Tabla3[[#This Row],[Barra Balance]]&amp;"_"&amp;Tabla3[[#This Row],[Tensión Balance]]</f>
        <v>CONSTIT1_23</v>
      </c>
      <c r="S226" t="s">
        <v>241</v>
      </c>
      <c r="T226" t="s">
        <v>924</v>
      </c>
    </row>
    <row r="227" spans="1:20">
      <c r="A227" s="9">
        <v>15</v>
      </c>
      <c r="B227" s="9" t="s">
        <v>548</v>
      </c>
      <c r="C227" s="9">
        <v>220</v>
      </c>
      <c r="D227" s="9">
        <f>+VLOOKUP(B227&amp;"_"&amp;C227,'DECRETOS PNCP'!A:F,5,0)</f>
        <v>44.463999999999999</v>
      </c>
      <c r="E227" s="9" t="s">
        <v>1373</v>
      </c>
      <c r="F227" s="9">
        <v>13</v>
      </c>
      <c r="G227" s="9" t="str">
        <f>+'DECRETOS PNCP'!$B$2</f>
        <v>4T-2026</v>
      </c>
      <c r="H227" s="9">
        <v>0</v>
      </c>
      <c r="I227" s="14" t="str">
        <f>+'PMG(D) segun remuneracion'!$K$1</f>
        <v>01-09-2026</v>
      </c>
      <c r="J227" s="14" t="str">
        <f>+'PMG(D) segun remuneracion'!$K$2</f>
        <v>30-09-2026</v>
      </c>
      <c r="K227" s="9">
        <f>+'PMG(D) segun remuneracion'!$K$3</f>
        <v>2</v>
      </c>
      <c r="L227" s="9">
        <f>+'PMG(D) segun remuneracion'!$K$4</f>
        <v>1</v>
      </c>
      <c r="M227" s="9">
        <f t="shared" si="4"/>
        <v>1</v>
      </c>
      <c r="N227" s="9" t="str">
        <f>+Tabla3[[#This Row],[Barra Balance]]&amp;"_"&amp;Tabla3[[#This Row],[Tensión Balance]]</f>
        <v>TALCA_13</v>
      </c>
      <c r="S227" t="s">
        <v>1615</v>
      </c>
      <c r="T227" t="s">
        <v>910</v>
      </c>
    </row>
    <row r="228" spans="1:20">
      <c r="A228" s="9">
        <v>15</v>
      </c>
      <c r="B228" s="9" t="s">
        <v>948</v>
      </c>
      <c r="C228" s="9">
        <v>220</v>
      </c>
      <c r="D228" s="9">
        <f>+VLOOKUP(B228&amp;"_"&amp;C228,'DECRETOS PNCP'!A:F,5,0)</f>
        <v>51.737000000000002</v>
      </c>
      <c r="E228" s="9" t="s">
        <v>663</v>
      </c>
      <c r="F228" s="9">
        <v>23</v>
      </c>
      <c r="G228" s="9" t="str">
        <f>+'DECRETOS PNCP'!$B$2</f>
        <v>4T-2026</v>
      </c>
      <c r="H228" s="9">
        <v>0</v>
      </c>
      <c r="I228" s="14" t="str">
        <f>+'PMG(D) segun remuneracion'!$K$1</f>
        <v>01-09-2026</v>
      </c>
      <c r="J228" s="14" t="str">
        <f>+'PMG(D) segun remuneracion'!$K$2</f>
        <v>30-09-2026</v>
      </c>
      <c r="K228" s="9">
        <f>+'PMG(D) segun remuneracion'!$K$3</f>
        <v>2</v>
      </c>
      <c r="L228" s="9">
        <f>+'PMG(D) segun remuneracion'!$K$4</f>
        <v>1</v>
      </c>
      <c r="M228" s="9">
        <f t="shared" si="4"/>
        <v>1</v>
      </c>
      <c r="N228" s="9" t="str">
        <f>+Tabla3[[#This Row],[Barra Balance]]&amp;"_"&amp;Tabla3[[#This Row],[Tensión Balance]]</f>
        <v>LAS_PIEDRAS_23</v>
      </c>
      <c r="S228" t="s">
        <v>242</v>
      </c>
      <c r="T228" t="s">
        <v>910</v>
      </c>
    </row>
    <row r="229" spans="1:20">
      <c r="A229" s="9">
        <v>15</v>
      </c>
      <c r="B229" s="9" t="s">
        <v>911</v>
      </c>
      <c r="C229" s="9">
        <v>220</v>
      </c>
      <c r="D229" s="9">
        <f>+VLOOKUP(B229&amp;"_"&amp;C229,'DECRETOS PNCP'!A:F,5,0)</f>
        <v>51.460999999999999</v>
      </c>
      <c r="E229" s="9" t="s">
        <v>204</v>
      </c>
      <c r="F229" s="9">
        <v>23</v>
      </c>
      <c r="G229" s="9" t="str">
        <f>+'DECRETOS PNCP'!$B$2</f>
        <v>4T-2026</v>
      </c>
      <c r="H229" s="9">
        <v>0</v>
      </c>
      <c r="I229" s="14" t="str">
        <f>+'PMG(D) segun remuneracion'!$K$1</f>
        <v>01-09-2026</v>
      </c>
      <c r="J229" s="14" t="str">
        <f>+'PMG(D) segun remuneracion'!$K$2</f>
        <v>30-09-2026</v>
      </c>
      <c r="K229" s="9">
        <f>+'PMG(D) segun remuneracion'!$K$3</f>
        <v>2</v>
      </c>
      <c r="L229" s="9">
        <f>+'PMG(D) segun remuneracion'!$K$4</f>
        <v>1</v>
      </c>
      <c r="M229" s="9">
        <f t="shared" si="4"/>
        <v>1</v>
      </c>
      <c r="N229" s="9" t="str">
        <f>+Tabla3[[#This Row],[Barra Balance]]&amp;"_"&amp;Tabla3[[#This Row],[Tensión Balance]]</f>
        <v>CASASVIEJAS_23</v>
      </c>
      <c r="S229" t="s">
        <v>6652</v>
      </c>
      <c r="T229" t="s">
        <v>385</v>
      </c>
    </row>
    <row r="230" spans="1:20">
      <c r="A230" s="9">
        <v>15</v>
      </c>
      <c r="B230" s="9" t="s">
        <v>248</v>
      </c>
      <c r="C230" s="9">
        <v>220</v>
      </c>
      <c r="D230" s="9">
        <f>+VLOOKUP(B230&amp;"_"&amp;C230,'DECRETOS PNCP'!A:F,5,0)</f>
        <v>45.99</v>
      </c>
      <c r="E230" s="9" t="s">
        <v>1154</v>
      </c>
      <c r="F230" s="9">
        <v>33</v>
      </c>
      <c r="G230" s="9" t="str">
        <f>+'DECRETOS PNCP'!$B$2</f>
        <v>4T-2026</v>
      </c>
      <c r="H230" s="9">
        <v>0</v>
      </c>
      <c r="I230" s="14" t="str">
        <f>+'PMG(D) segun remuneracion'!$K$1</f>
        <v>01-09-2026</v>
      </c>
      <c r="J230" s="14" t="str">
        <f>+'PMG(D) segun remuneracion'!$K$2</f>
        <v>30-09-2026</v>
      </c>
      <c r="K230" s="9">
        <f>+'PMG(D) segun remuneracion'!$K$3</f>
        <v>2</v>
      </c>
      <c r="L230" s="9">
        <f>+'PMG(D) segun remuneracion'!$K$4</f>
        <v>1</v>
      </c>
      <c r="M230" s="9">
        <f t="shared" si="4"/>
        <v>1</v>
      </c>
      <c r="N230" s="9" t="str">
        <f>+Tabla3[[#This Row],[Barra Balance]]&amp;"_"&amp;Tabla3[[#This Row],[Tensión Balance]]</f>
        <v>QUILMO_33</v>
      </c>
      <c r="S230" t="s">
        <v>244</v>
      </c>
      <c r="T230" t="s">
        <v>1017</v>
      </c>
    </row>
    <row r="231" spans="1:20">
      <c r="A231" s="9">
        <v>15</v>
      </c>
      <c r="B231" s="9" t="s">
        <v>953</v>
      </c>
      <c r="C231" s="9">
        <v>220</v>
      </c>
      <c r="D231" s="9">
        <f>+VLOOKUP(B231&amp;"_"&amp;C231,'DECRETOS PNCP'!A:F,5,0)</f>
        <v>50.642000000000003</v>
      </c>
      <c r="E231" s="9" t="s">
        <v>981</v>
      </c>
      <c r="F231" s="9">
        <v>23</v>
      </c>
      <c r="G231" s="9" t="str">
        <f>+'DECRETOS PNCP'!$B$2</f>
        <v>4T-2026</v>
      </c>
      <c r="H231" s="9">
        <v>0</v>
      </c>
      <c r="I231" s="14" t="str">
        <f>+'PMG(D) segun remuneracion'!$K$1</f>
        <v>01-09-2026</v>
      </c>
      <c r="J231" s="14" t="str">
        <f>+'PMG(D) segun remuneracion'!$K$2</f>
        <v>30-09-2026</v>
      </c>
      <c r="K231" s="9">
        <f>+'PMG(D) segun remuneracion'!$K$3</f>
        <v>2</v>
      </c>
      <c r="L231" s="9">
        <f>+'PMG(D) segun remuneracion'!$K$4</f>
        <v>1</v>
      </c>
      <c r="M231" s="9">
        <f t="shared" si="4"/>
        <v>1</v>
      </c>
      <c r="N231" s="9" t="str">
        <f>+Tabla3[[#This Row],[Barra Balance]]&amp;"_"&amp;Tabla3[[#This Row],[Tensión Balance]]</f>
        <v>PAJONALES_23</v>
      </c>
      <c r="S231" t="s">
        <v>246</v>
      </c>
      <c r="T231" t="s">
        <v>1017</v>
      </c>
    </row>
    <row r="232" spans="1:20">
      <c r="A232" s="9">
        <v>15</v>
      </c>
      <c r="B232" s="9" t="s">
        <v>195</v>
      </c>
      <c r="C232" s="9">
        <v>220</v>
      </c>
      <c r="D232" s="9">
        <f>+VLOOKUP(B232&amp;"_"&amp;C232,'DECRETOS PNCP'!A:F,5,0)</f>
        <v>51.563000000000002</v>
      </c>
      <c r="E232" s="9" t="s">
        <v>174</v>
      </c>
      <c r="F232" s="9">
        <v>13</v>
      </c>
      <c r="G232" s="9" t="str">
        <f>+'DECRETOS PNCP'!$B$2</f>
        <v>4T-2026</v>
      </c>
      <c r="H232" s="9">
        <v>0</v>
      </c>
      <c r="I232" s="14" t="str">
        <f>+'PMG(D) segun remuneracion'!$K$1</f>
        <v>01-09-2026</v>
      </c>
      <c r="J232" s="14" t="str">
        <f>+'PMG(D) segun remuneracion'!$K$2</f>
        <v>30-09-2026</v>
      </c>
      <c r="K232" s="9">
        <f>+'PMG(D) segun remuneracion'!$K$3</f>
        <v>2</v>
      </c>
      <c r="L232" s="9">
        <f>+'PMG(D) segun remuneracion'!$K$4</f>
        <v>1</v>
      </c>
      <c r="M232" s="9">
        <f t="shared" si="4"/>
        <v>1</v>
      </c>
      <c r="N232" s="9" t="str">
        <f>+Tabla3[[#This Row],[Barra Balance]]&amp;"_"&amp;Tabla3[[#This Row],[Tensión Balance]]</f>
        <v>CALDERA_13</v>
      </c>
      <c r="S232" t="s">
        <v>247</v>
      </c>
      <c r="T232" t="s">
        <v>251</v>
      </c>
    </row>
    <row r="233" spans="1:20">
      <c r="A233" s="9">
        <v>15</v>
      </c>
      <c r="B233" s="9" t="s">
        <v>948</v>
      </c>
      <c r="C233" s="9">
        <v>220</v>
      </c>
      <c r="D233" s="9">
        <f>+VLOOKUP(B233&amp;"_"&amp;C233,'DECRETOS PNCP'!A:F,5,0)</f>
        <v>51.737000000000002</v>
      </c>
      <c r="E233" s="9" t="s">
        <v>707</v>
      </c>
      <c r="F233" s="9">
        <v>23</v>
      </c>
      <c r="G233" s="9" t="str">
        <f>+'DECRETOS PNCP'!$B$2</f>
        <v>4T-2026</v>
      </c>
      <c r="H233" s="9">
        <v>0</v>
      </c>
      <c r="I233" s="14" t="str">
        <f>+'PMG(D) segun remuneracion'!$K$1</f>
        <v>01-09-2026</v>
      </c>
      <c r="J233" s="14" t="str">
        <f>+'PMG(D) segun remuneracion'!$K$2</f>
        <v>30-09-2026</v>
      </c>
      <c r="K233" s="9">
        <f>+'PMG(D) segun remuneracion'!$K$3</f>
        <v>2</v>
      </c>
      <c r="L233" s="9">
        <f>+'PMG(D) segun remuneracion'!$K$4</f>
        <v>1</v>
      </c>
      <c r="M233" s="9">
        <f t="shared" si="4"/>
        <v>1</v>
      </c>
      <c r="N233" s="9" t="str">
        <f>+Tabla3[[#This Row],[Barra Balance]]&amp;"_"&amp;Tabla3[[#This Row],[Tensión Balance]]</f>
        <v>LLANBLANCOS_23</v>
      </c>
      <c r="S233" t="s">
        <v>249</v>
      </c>
      <c r="T233" t="s">
        <v>251</v>
      </c>
    </row>
    <row r="234" spans="1:20">
      <c r="A234" s="9">
        <v>15</v>
      </c>
      <c r="B234" s="9" t="s">
        <v>182</v>
      </c>
      <c r="C234" s="9">
        <v>220</v>
      </c>
      <c r="D234" s="9">
        <f>+VLOOKUP(B234&amp;"_"&amp;C234,'DECRETOS PNCP'!A:F,5,0)</f>
        <v>50.606000000000002</v>
      </c>
      <c r="E234" s="9" t="s">
        <v>656</v>
      </c>
      <c r="F234" s="9">
        <v>13</v>
      </c>
      <c r="G234" s="9" t="str">
        <f>+'DECRETOS PNCP'!$B$2</f>
        <v>4T-2026</v>
      </c>
      <c r="H234" s="9">
        <v>0</v>
      </c>
      <c r="I234" s="14" t="str">
        <f>+'PMG(D) segun remuneracion'!$K$1</f>
        <v>01-09-2026</v>
      </c>
      <c r="J234" s="14" t="str">
        <f>+'PMG(D) segun remuneracion'!$K$2</f>
        <v>30-09-2026</v>
      </c>
      <c r="K234" s="9">
        <f>+'PMG(D) segun remuneracion'!$K$3</f>
        <v>2</v>
      </c>
      <c r="L234" s="9">
        <f>+'PMG(D) segun remuneracion'!$K$4</f>
        <v>1</v>
      </c>
      <c r="M234" s="9">
        <f t="shared" si="4"/>
        <v>1</v>
      </c>
      <c r="N234" s="9" t="str">
        <f>+Tabla3[[#This Row],[Barra Balance]]&amp;"_"&amp;Tabla3[[#This Row],[Tensión Balance]]</f>
        <v>LARONDA_13</v>
      </c>
      <c r="S234" t="s">
        <v>250</v>
      </c>
      <c r="T234" t="s">
        <v>251</v>
      </c>
    </row>
    <row r="235" spans="1:20">
      <c r="A235" s="9">
        <v>15</v>
      </c>
      <c r="B235" s="9" t="s">
        <v>548</v>
      </c>
      <c r="C235" s="9">
        <v>220</v>
      </c>
      <c r="D235" s="9">
        <f>+VLOOKUP(B235&amp;"_"&amp;C235,'DECRETOS PNCP'!A:F,5,0)</f>
        <v>44.463999999999999</v>
      </c>
      <c r="E235" s="9" t="s">
        <v>829</v>
      </c>
      <c r="F235" s="9">
        <v>15</v>
      </c>
      <c r="G235" s="9" t="str">
        <f>+'DECRETOS PNCP'!$B$2</f>
        <v>4T-2026</v>
      </c>
      <c r="H235" s="9">
        <v>0</v>
      </c>
      <c r="I235" s="14" t="str">
        <f>+'PMG(D) segun remuneracion'!$K$1</f>
        <v>01-09-2026</v>
      </c>
      <c r="J235" s="14" t="str">
        <f>+'PMG(D) segun remuneracion'!$K$2</f>
        <v>30-09-2026</v>
      </c>
      <c r="K235" s="9">
        <f>+'PMG(D) segun remuneracion'!$K$3</f>
        <v>2</v>
      </c>
      <c r="L235" s="9">
        <f>+'PMG(D) segun remuneracion'!$K$4</f>
        <v>1</v>
      </c>
      <c r="M235" s="9">
        <f t="shared" si="4"/>
        <v>1</v>
      </c>
      <c r="N235" s="9" t="str">
        <f>+Tabla3[[#This Row],[Barra Balance]]&amp;"_"&amp;Tabla3[[#This Row],[Tensión Balance]]</f>
        <v>MAULE_15</v>
      </c>
      <c r="S235" t="s">
        <v>251</v>
      </c>
      <c r="T235" t="s">
        <v>251</v>
      </c>
    </row>
    <row r="236" spans="1:20">
      <c r="A236" s="9">
        <v>15</v>
      </c>
      <c r="B236" s="9" t="s">
        <v>182</v>
      </c>
      <c r="C236" s="9">
        <v>220</v>
      </c>
      <c r="D236" s="9">
        <f>+VLOOKUP(B236&amp;"_"&amp;C236,'DECRETOS PNCP'!A:F,5,0)</f>
        <v>50.606000000000002</v>
      </c>
      <c r="E236" s="9" t="s">
        <v>854</v>
      </c>
      <c r="F236" s="9">
        <v>110</v>
      </c>
      <c r="G236" s="9" t="str">
        <f>+'DECRETOS PNCP'!$B$2</f>
        <v>4T-2026</v>
      </c>
      <c r="H236" s="9">
        <v>0</v>
      </c>
      <c r="I236" s="14" t="str">
        <f>+'PMG(D) segun remuneracion'!$K$1</f>
        <v>01-09-2026</v>
      </c>
      <c r="J236" s="14" t="str">
        <f>+'PMG(D) segun remuneracion'!$K$2</f>
        <v>30-09-2026</v>
      </c>
      <c r="K236" s="9">
        <f>+'PMG(D) segun remuneracion'!$K$3</f>
        <v>2</v>
      </c>
      <c r="L236" s="9">
        <f>+'PMG(D) segun remuneracion'!$K$4</f>
        <v>1</v>
      </c>
      <c r="M236" s="9">
        <f t="shared" si="4"/>
        <v>1</v>
      </c>
      <c r="N236" s="9" t="str">
        <f>+Tabla3[[#This Row],[Barra Balance]]&amp;"_"&amp;Tabla3[[#This Row],[Tensión Balance]]</f>
        <v>MINERO_110</v>
      </c>
      <c r="S236" t="s">
        <v>252</v>
      </c>
      <c r="T236" t="s">
        <v>251</v>
      </c>
    </row>
    <row r="237" spans="1:20">
      <c r="A237" s="9">
        <v>15</v>
      </c>
      <c r="B237" s="9" t="s">
        <v>948</v>
      </c>
      <c r="C237" s="9">
        <v>220</v>
      </c>
      <c r="D237" s="9">
        <f>+VLOOKUP(B237&amp;"_"&amp;C237,'DECRETOS PNCP'!A:F,5,0)</f>
        <v>51.737000000000002</v>
      </c>
      <c r="E237" s="9" t="s">
        <v>144</v>
      </c>
      <c r="F237" s="9">
        <v>23</v>
      </c>
      <c r="G237" s="9" t="str">
        <f>+'DECRETOS PNCP'!$B$2</f>
        <v>4T-2026</v>
      </c>
      <c r="H237" s="9">
        <v>0</v>
      </c>
      <c r="I237" s="14" t="str">
        <f>+'PMG(D) segun remuneracion'!$K$1</f>
        <v>01-09-2026</v>
      </c>
      <c r="J237" s="14" t="str">
        <f>+'PMG(D) segun remuneracion'!$K$2</f>
        <v>30-09-2026</v>
      </c>
      <c r="K237" s="9">
        <f>+'PMG(D) segun remuneracion'!$K$3</f>
        <v>2</v>
      </c>
      <c r="L237" s="9">
        <f>+'PMG(D) segun remuneracion'!$K$4</f>
        <v>1</v>
      </c>
      <c r="M237" s="9">
        <f t="shared" si="4"/>
        <v>1</v>
      </c>
      <c r="N237" s="9" t="str">
        <f>+Tabla3[[#This Row],[Barra Balance]]&amp;"_"&amp;Tabla3[[#This Row],[Tensión Balance]]</f>
        <v>C.COMBARBALA_23</v>
      </c>
      <c r="S237" t="s">
        <v>1616</v>
      </c>
      <c r="T237" t="s">
        <v>313</v>
      </c>
    </row>
    <row r="238" spans="1:20">
      <c r="A238" s="9">
        <v>15</v>
      </c>
      <c r="B238" s="9" t="s">
        <v>248</v>
      </c>
      <c r="C238" s="9">
        <v>220</v>
      </c>
      <c r="D238" s="9">
        <f>+VLOOKUP(B238&amp;"_"&amp;C238,'DECRETOS PNCP'!A:F,5,0)</f>
        <v>45.99</v>
      </c>
      <c r="E238" s="9" t="s">
        <v>758</v>
      </c>
      <c r="F238" s="9">
        <v>23</v>
      </c>
      <c r="G238" s="9" t="str">
        <f>+'DECRETOS PNCP'!$B$2</f>
        <v>4T-2026</v>
      </c>
      <c r="H238" s="9">
        <v>0</v>
      </c>
      <c r="I238" s="14" t="str">
        <f>+'PMG(D) segun remuneracion'!$K$1</f>
        <v>01-09-2026</v>
      </c>
      <c r="J238" s="14" t="str">
        <f>+'PMG(D) segun remuneracion'!$K$2</f>
        <v>30-09-2026</v>
      </c>
      <c r="K238" s="9">
        <f>+'PMG(D) segun remuneracion'!$K$3</f>
        <v>2</v>
      </c>
      <c r="L238" s="9">
        <f>+'PMG(D) segun remuneracion'!$K$4</f>
        <v>1</v>
      </c>
      <c r="M238" s="9">
        <f t="shared" si="4"/>
        <v>1</v>
      </c>
      <c r="N238" s="9" t="str">
        <f>+Tabla3[[#This Row],[Barra Balance]]&amp;"_"&amp;Tabla3[[#This Row],[Tensión Balance]]</f>
        <v>LOS_SAUCES_23</v>
      </c>
      <c r="S238" t="s">
        <v>253</v>
      </c>
      <c r="T238" t="s">
        <v>1091</v>
      </c>
    </row>
    <row r="239" spans="1:20">
      <c r="A239" s="9">
        <v>15</v>
      </c>
      <c r="B239" s="9" t="s">
        <v>1016</v>
      </c>
      <c r="C239" s="9">
        <v>220</v>
      </c>
      <c r="D239" s="9">
        <f>+VLOOKUP(B239&amp;"_"&amp;C239,'DECRETOS PNCP'!A:F,5,0)</f>
        <v>50.25</v>
      </c>
      <c r="E239" s="9" t="s">
        <v>1109</v>
      </c>
      <c r="F239" s="9">
        <v>13</v>
      </c>
      <c r="G239" s="9" t="str">
        <f>+'DECRETOS PNCP'!$B$2</f>
        <v>4T-2026</v>
      </c>
      <c r="H239" s="9">
        <v>0</v>
      </c>
      <c r="I239" s="14" t="str">
        <f>+'PMG(D) segun remuneracion'!$K$1</f>
        <v>01-09-2026</v>
      </c>
      <c r="J239" s="14" t="str">
        <f>+'PMG(D) segun remuneracion'!$K$2</f>
        <v>30-09-2026</v>
      </c>
      <c r="K239" s="9">
        <f>+'PMG(D) segun remuneracion'!$K$3</f>
        <v>2</v>
      </c>
      <c r="L239" s="9">
        <f>+'PMG(D) segun remuneracion'!$K$4</f>
        <v>1</v>
      </c>
      <c r="M239" s="9">
        <f t="shared" si="4"/>
        <v>1</v>
      </c>
      <c r="N239" s="9" t="str">
        <f>+Tabla3[[#This Row],[Barra Balance]]&amp;"_"&amp;Tabla3[[#This Row],[Tensión Balance]]</f>
        <v>PUKARA_13</v>
      </c>
      <c r="S239" t="s">
        <v>254</v>
      </c>
      <c r="T239" t="s">
        <v>1091</v>
      </c>
    </row>
    <row r="240" spans="1:20">
      <c r="A240" s="9">
        <v>15</v>
      </c>
      <c r="B240" s="9" t="s">
        <v>195</v>
      </c>
      <c r="C240" s="9">
        <v>220</v>
      </c>
      <c r="D240" s="9">
        <f>+VLOOKUP(B240&amp;"_"&amp;C240,'DECRETOS PNCP'!A:F,5,0)</f>
        <v>51.563000000000002</v>
      </c>
      <c r="E240" s="9" t="s">
        <v>1085</v>
      </c>
      <c r="F240" s="9">
        <v>13</v>
      </c>
      <c r="G240" s="9" t="str">
        <f>+'DECRETOS PNCP'!$B$2</f>
        <v>4T-2026</v>
      </c>
      <c r="H240" s="9">
        <v>0</v>
      </c>
      <c r="I240" s="14" t="str">
        <f>+'PMG(D) segun remuneracion'!$K$1</f>
        <v>01-09-2026</v>
      </c>
      <c r="J240" s="14" t="str">
        <f>+'PMG(D) segun remuneracion'!$K$2</f>
        <v>30-09-2026</v>
      </c>
      <c r="K240" s="9">
        <f>+'PMG(D) segun remuneracion'!$K$3</f>
        <v>2</v>
      </c>
      <c r="L240" s="9">
        <f>+'PMG(D) segun remuneracion'!$K$4</f>
        <v>1</v>
      </c>
      <c r="M240" s="9">
        <f t="shared" si="4"/>
        <v>1</v>
      </c>
      <c r="N240" s="9" t="str">
        <f>+Tabla3[[#This Row],[Barra Balance]]&amp;"_"&amp;Tabla3[[#This Row],[Tensión Balance]]</f>
        <v>PLANTAS_13</v>
      </c>
      <c r="S240" t="s">
        <v>255</v>
      </c>
      <c r="T240" t="s">
        <v>636</v>
      </c>
    </row>
    <row r="241" spans="1:20">
      <c r="A241" s="9">
        <v>15</v>
      </c>
      <c r="B241" s="9" t="s">
        <v>1454</v>
      </c>
      <c r="C241" s="9">
        <v>220</v>
      </c>
      <c r="D241" s="9">
        <f>+VLOOKUP(B241&amp;"_"&amp;C241,'DECRETOS PNCP'!A:F,5,0)</f>
        <v>42.14</v>
      </c>
      <c r="E241" s="9" t="s">
        <v>735</v>
      </c>
      <c r="F241" s="9">
        <v>13</v>
      </c>
      <c r="G241" s="9" t="str">
        <f>+'DECRETOS PNCP'!$B$2</f>
        <v>4T-2026</v>
      </c>
      <c r="H241" s="9">
        <v>0</v>
      </c>
      <c r="I241" s="14" t="str">
        <f>+'PMG(D) segun remuneracion'!$K$1</f>
        <v>01-09-2026</v>
      </c>
      <c r="J241" s="14" t="str">
        <f>+'PMG(D) segun remuneracion'!$K$2</f>
        <v>30-09-2026</v>
      </c>
      <c r="K241" s="9">
        <f>+'PMG(D) segun remuneracion'!$K$3</f>
        <v>2</v>
      </c>
      <c r="L241" s="9">
        <f>+'PMG(D) segun remuneracion'!$K$4</f>
        <v>1</v>
      </c>
      <c r="M241" s="9">
        <f t="shared" si="4"/>
        <v>1</v>
      </c>
      <c r="N241" s="9" t="str">
        <f>+Tabla3[[#This Row],[Barra Balance]]&amp;"_"&amp;Tabla3[[#This Row],[Tensión Balance]]</f>
        <v>LONCOCHE_13</v>
      </c>
      <c r="S241" t="s">
        <v>256</v>
      </c>
      <c r="T241" t="s">
        <v>636</v>
      </c>
    </row>
    <row r="242" spans="1:20">
      <c r="A242" s="9">
        <v>15</v>
      </c>
      <c r="B242" s="9" t="s">
        <v>248</v>
      </c>
      <c r="C242" s="9">
        <v>220</v>
      </c>
      <c r="D242" s="9">
        <f>+VLOOKUP(B242&amp;"_"&amp;C242,'DECRETOS PNCP'!A:F,5,0)</f>
        <v>45.99</v>
      </c>
      <c r="E242" s="9" t="s">
        <v>659</v>
      </c>
      <c r="F242" s="9">
        <v>23</v>
      </c>
      <c r="G242" s="9" t="str">
        <f>+'DECRETOS PNCP'!$B$2</f>
        <v>4T-2026</v>
      </c>
      <c r="H242" s="9">
        <v>0</v>
      </c>
      <c r="I242" s="14" t="str">
        <f>+'PMG(D) segun remuneracion'!$K$1</f>
        <v>01-09-2026</v>
      </c>
      <c r="J242" s="14" t="str">
        <f>+'PMG(D) segun remuneracion'!$K$2</f>
        <v>30-09-2026</v>
      </c>
      <c r="K242" s="9">
        <f>+'PMG(D) segun remuneracion'!$K$3</f>
        <v>2</v>
      </c>
      <c r="L242" s="9">
        <f>+'PMG(D) segun remuneracion'!$K$4</f>
        <v>1</v>
      </c>
      <c r="M242" s="9">
        <f t="shared" si="4"/>
        <v>1</v>
      </c>
      <c r="N242" s="9" t="str">
        <f>+Tabla3[[#This Row],[Barra Balance]]&amp;"_"&amp;Tabla3[[#This Row],[Tensión Balance]]</f>
        <v>LARQUI_23</v>
      </c>
      <c r="S242" t="s">
        <v>257</v>
      </c>
      <c r="T242" t="s">
        <v>251</v>
      </c>
    </row>
    <row r="243" spans="1:20">
      <c r="A243" s="9">
        <v>15</v>
      </c>
      <c r="B243" s="9" t="s">
        <v>14</v>
      </c>
      <c r="C243" s="9">
        <v>220</v>
      </c>
      <c r="D243" s="9">
        <f>+VLOOKUP(B243&amp;"_"&amp;C243,'DECRETOS PNCP'!A:F,5,0)</f>
        <v>49.323999999999998</v>
      </c>
      <c r="E243" s="9" t="s">
        <v>843</v>
      </c>
      <c r="F243" s="9">
        <v>13</v>
      </c>
      <c r="G243" s="9" t="str">
        <f>+'DECRETOS PNCP'!$B$2</f>
        <v>4T-2026</v>
      </c>
      <c r="H243" s="9">
        <v>0</v>
      </c>
      <c r="I243" s="14" t="str">
        <f>+'PMG(D) segun remuneracion'!$K$1</f>
        <v>01-09-2026</v>
      </c>
      <c r="J243" s="14" t="str">
        <f>+'PMG(D) segun remuneracion'!$K$2</f>
        <v>30-09-2026</v>
      </c>
      <c r="K243" s="9">
        <f>+'PMG(D) segun remuneracion'!$K$3</f>
        <v>2</v>
      </c>
      <c r="L243" s="9">
        <f>+'PMG(D) segun remuneracion'!$K$4</f>
        <v>1</v>
      </c>
      <c r="M243" s="9">
        <f t="shared" si="4"/>
        <v>1</v>
      </c>
      <c r="N243" s="9" t="str">
        <f>+Tabla3[[#This Row],[Barra Balance]]&amp;"_"&amp;Tabla3[[#This Row],[Tensión Balance]]</f>
        <v>MELIPILLA_13</v>
      </c>
      <c r="S243" t="s">
        <v>259</v>
      </c>
      <c r="T243" t="s">
        <v>251</v>
      </c>
    </row>
    <row r="244" spans="1:20">
      <c r="A244" s="9">
        <v>15</v>
      </c>
      <c r="B244" s="9" t="s">
        <v>248</v>
      </c>
      <c r="C244" s="9">
        <v>220</v>
      </c>
      <c r="D244" s="9">
        <f>+VLOOKUP(B244&amp;"_"&amp;C244,'DECRETOS PNCP'!A:F,5,0)</f>
        <v>45.99</v>
      </c>
      <c r="E244" s="9" t="s">
        <v>769</v>
      </c>
      <c r="F244" s="9">
        <v>13</v>
      </c>
      <c r="G244" s="9" t="str">
        <f>+'DECRETOS PNCP'!$B$2</f>
        <v>4T-2026</v>
      </c>
      <c r="H244" s="9">
        <v>0</v>
      </c>
      <c r="I244" s="14" t="str">
        <f>+'PMG(D) segun remuneracion'!$K$1</f>
        <v>01-09-2026</v>
      </c>
      <c r="J244" s="14" t="str">
        <f>+'PMG(D) segun remuneracion'!$K$2</f>
        <v>30-09-2026</v>
      </c>
      <c r="K244" s="9">
        <f>+'PMG(D) segun remuneracion'!$K$3</f>
        <v>2</v>
      </c>
      <c r="L244" s="9">
        <f>+'PMG(D) segun remuneracion'!$K$4</f>
        <v>1</v>
      </c>
      <c r="M244" s="9">
        <f t="shared" si="4"/>
        <v>1</v>
      </c>
      <c r="N244" s="9" t="str">
        <f>+Tabla3[[#This Row],[Barra Balance]]&amp;"_"&amp;Tabla3[[#This Row],[Tensión Balance]]</f>
        <v>M.DEVELASCO_13</v>
      </c>
      <c r="S244" t="s">
        <v>260</v>
      </c>
      <c r="T244" t="s">
        <v>251</v>
      </c>
    </row>
    <row r="245" spans="1:20">
      <c r="A245" s="9">
        <v>15</v>
      </c>
      <c r="B245" s="9" t="s">
        <v>151</v>
      </c>
      <c r="C245" s="9">
        <v>220</v>
      </c>
      <c r="D245" s="9">
        <f>+VLOOKUP(B245&amp;"_"&amp;C245,'DECRETOS PNCP'!A:F,5,0)</f>
        <v>48.853000000000002</v>
      </c>
      <c r="E245" s="9" t="s">
        <v>714</v>
      </c>
      <c r="F245" s="9">
        <v>12</v>
      </c>
      <c r="G245" s="9" t="str">
        <f>+'DECRETOS PNCP'!$B$2</f>
        <v>4T-2026</v>
      </c>
      <c r="H245" s="9">
        <v>0</v>
      </c>
      <c r="I245" s="14" t="str">
        <f>+'PMG(D) segun remuneracion'!$K$1</f>
        <v>01-09-2026</v>
      </c>
      <c r="J245" s="14" t="str">
        <f>+'PMG(D) segun remuneracion'!$K$2</f>
        <v>30-09-2026</v>
      </c>
      <c r="K245" s="9">
        <f>+'PMG(D) segun remuneracion'!$K$3</f>
        <v>2</v>
      </c>
      <c r="L245" s="9">
        <f>+'PMG(D) segun remuneracion'!$K$4</f>
        <v>1</v>
      </c>
      <c r="M245" s="9">
        <f t="shared" ref="M245:M251" si="5">+COUNTIFS(E:E,E245,F:F,F245)</f>
        <v>1</v>
      </c>
      <c r="N245" s="9" t="str">
        <f>+Tabla3[[#This Row],[Barra Balance]]&amp;"_"&amp;Tabla3[[#This Row],[Tensión Balance]]</f>
        <v>LO_AGUIRRE_12</v>
      </c>
      <c r="S245" t="s">
        <v>261</v>
      </c>
      <c r="T245" t="s">
        <v>263</v>
      </c>
    </row>
    <row r="246" spans="1:20">
      <c r="A246" s="9">
        <v>15</v>
      </c>
      <c r="B246" s="9" t="s">
        <v>195</v>
      </c>
      <c r="C246" s="9">
        <v>220</v>
      </c>
      <c r="D246" s="9">
        <f>+VLOOKUP(B246&amp;"_"&amp;C246,'DECRETOS PNCP'!A:F,5,0)</f>
        <v>51.563000000000002</v>
      </c>
      <c r="E246" s="9" t="s">
        <v>3351</v>
      </c>
      <c r="F246" s="9">
        <v>220</v>
      </c>
      <c r="G246" s="9" t="str">
        <f>+'DECRETOS PNCP'!$B$2</f>
        <v>4T-2026</v>
      </c>
      <c r="H246" s="9">
        <v>0</v>
      </c>
      <c r="I246" s="14" t="str">
        <f>+'PMG(D) segun remuneracion'!$K$1</f>
        <v>01-09-2026</v>
      </c>
      <c r="J246" s="14" t="str">
        <f>+'PMG(D) segun remuneracion'!$K$2</f>
        <v>30-09-2026</v>
      </c>
      <c r="K246" s="9">
        <f>+'PMG(D) segun remuneracion'!$K$3</f>
        <v>2</v>
      </c>
      <c r="L246" s="9">
        <f>+'PMG(D) segun remuneracion'!$K$4</f>
        <v>1</v>
      </c>
      <c r="M246" s="9">
        <f t="shared" si="5"/>
        <v>1</v>
      </c>
      <c r="N246" s="9" t="str">
        <f>+Tabla3[[#This Row],[Barra Balance]]&amp;"_"&amp;Tabla3[[#This Row],[Tensión Balance]]</f>
        <v>TERMOPACIFIC_220</v>
      </c>
      <c r="S246" t="s">
        <v>263</v>
      </c>
      <c r="T246" t="s">
        <v>263</v>
      </c>
    </row>
    <row r="247" spans="1:20">
      <c r="A247" s="9">
        <v>15</v>
      </c>
      <c r="B247" s="9" t="s">
        <v>100</v>
      </c>
      <c r="C247" s="9">
        <v>220</v>
      </c>
      <c r="D247" s="9">
        <f>+VLOOKUP(B247&amp;"_"&amp;C247,'DECRETOS PNCP'!A:F,5,0)</f>
        <v>52.774000000000001</v>
      </c>
      <c r="E247" s="9" t="s">
        <v>900</v>
      </c>
      <c r="F247" s="9">
        <v>23</v>
      </c>
      <c r="G247" s="9" t="str">
        <f>+'DECRETOS PNCP'!$B$2</f>
        <v>4T-2026</v>
      </c>
      <c r="H247" s="9">
        <v>0</v>
      </c>
      <c r="I247" s="14" t="str">
        <f>+'PMG(D) segun remuneracion'!$K$1</f>
        <v>01-09-2026</v>
      </c>
      <c r="J247" s="14" t="str">
        <f>+'PMG(D) segun remuneracion'!$K$2</f>
        <v>30-09-2026</v>
      </c>
      <c r="K247" s="9">
        <f>+'PMG(D) segun remuneracion'!$K$3</f>
        <v>2</v>
      </c>
      <c r="L247" s="9">
        <f>+'PMG(D) segun remuneracion'!$K$4</f>
        <v>1</v>
      </c>
      <c r="M247" s="9">
        <f t="shared" si="5"/>
        <v>1</v>
      </c>
      <c r="N247" s="9" t="str">
        <f>+Tabla3[[#This Row],[Barra Balance]]&amp;"_"&amp;Tabla3[[#This Row],[Tensión Balance]]</f>
        <v>NEGRA_23</v>
      </c>
      <c r="S247" t="s">
        <v>264</v>
      </c>
      <c r="T247" t="s">
        <v>181</v>
      </c>
    </row>
    <row r="248" spans="1:20">
      <c r="A248" s="9">
        <v>15</v>
      </c>
      <c r="B248" s="9" t="s">
        <v>789</v>
      </c>
      <c r="C248" s="9">
        <v>220</v>
      </c>
      <c r="D248" s="9">
        <f>+VLOOKUP(B248&amp;"_"&amp;C248,'DECRETOS PNCP'!A:F,5,0)</f>
        <v>51.095999999999997</v>
      </c>
      <c r="E248" s="9" t="s">
        <v>3362</v>
      </c>
      <c r="F248" s="9">
        <v>44</v>
      </c>
      <c r="G248" s="9" t="str">
        <f>+'DECRETOS PNCP'!$B$2</f>
        <v>4T-2026</v>
      </c>
      <c r="H248" s="9">
        <v>0</v>
      </c>
      <c r="I248" s="14" t="str">
        <f>+'PMG(D) segun remuneracion'!$K$1</f>
        <v>01-09-2026</v>
      </c>
      <c r="J248" s="14" t="str">
        <f>+'PMG(D) segun remuneracion'!$K$2</f>
        <v>30-09-2026</v>
      </c>
      <c r="K248" s="9">
        <f>+'PMG(D) segun remuneracion'!$K$3</f>
        <v>2</v>
      </c>
      <c r="L248" s="9">
        <f>+'PMG(D) segun remuneracion'!$K$4</f>
        <v>1</v>
      </c>
      <c r="M248" s="9">
        <f t="shared" si="5"/>
        <v>1</v>
      </c>
      <c r="N248" s="9" t="str">
        <f>+Tabla3[[#This Row],[Barra Balance]]&amp;"_"&amp;Tabla3[[#This Row],[Tensión Balance]]</f>
        <v>CARENA_44</v>
      </c>
      <c r="S248" t="s">
        <v>266</v>
      </c>
      <c r="T248" t="s">
        <v>181</v>
      </c>
    </row>
    <row r="249" spans="1:20">
      <c r="A249" s="9">
        <v>15</v>
      </c>
      <c r="B249" s="9" t="s">
        <v>1466</v>
      </c>
      <c r="C249" s="9">
        <v>220</v>
      </c>
      <c r="D249" s="9">
        <f>+VLOOKUP(B249&amp;"_"&amp;C249,'DECRETOS PNCP'!A:F,5,0)</f>
        <v>51.674999999999997</v>
      </c>
      <c r="E249" s="9" t="s">
        <v>1466</v>
      </c>
      <c r="F249" s="9">
        <v>23</v>
      </c>
      <c r="G249" s="9" t="str">
        <f>+'DECRETOS PNCP'!$B$2</f>
        <v>4T-2026</v>
      </c>
      <c r="H249" s="9">
        <v>0</v>
      </c>
      <c r="I249" s="14" t="str">
        <f>+'PMG(D) segun remuneracion'!$K$1</f>
        <v>01-09-2026</v>
      </c>
      <c r="J249" s="14" t="str">
        <f>+'PMG(D) segun remuneracion'!$K$2</f>
        <v>30-09-2026</v>
      </c>
      <c r="K249" s="9">
        <f>+'PMG(D) segun remuneracion'!$K$3</f>
        <v>2</v>
      </c>
      <c r="L249" s="9">
        <f>+'PMG(D) segun remuneracion'!$K$4</f>
        <v>1</v>
      </c>
      <c r="M249" s="9">
        <f t="shared" si="5"/>
        <v>1</v>
      </c>
      <c r="N249" s="9" t="str">
        <f>+Tabla3[[#This Row],[Barra Balance]]&amp;"_"&amp;Tabla3[[#This Row],[Tensión Balance]]</f>
        <v>TESORO_23</v>
      </c>
      <c r="S249" t="s">
        <v>267</v>
      </c>
      <c r="T249" t="s">
        <v>924</v>
      </c>
    </row>
    <row r="250" spans="1:20">
      <c r="A250" s="9">
        <v>15</v>
      </c>
      <c r="B250" s="9" t="s">
        <v>338</v>
      </c>
      <c r="C250" s="9">
        <v>220</v>
      </c>
      <c r="D250" s="9">
        <f>+VLOOKUP(B250&amp;"_"&amp;C250,'DECRETOS PNCP'!A:F,5,0)</f>
        <v>49.093000000000004</v>
      </c>
      <c r="E250" s="9" t="s">
        <v>5976</v>
      </c>
      <c r="F250" s="9">
        <v>13</v>
      </c>
      <c r="G250" s="9" t="str">
        <f>+'DECRETOS PNCP'!$B$2</f>
        <v>4T-2026</v>
      </c>
      <c r="H250" s="9">
        <v>0</v>
      </c>
      <c r="I250" s="14" t="str">
        <f>+'PMG(D) segun remuneracion'!$K$1</f>
        <v>01-09-2026</v>
      </c>
      <c r="J250" s="14" t="str">
        <f>+'PMG(D) segun remuneracion'!$K$2</f>
        <v>30-09-2026</v>
      </c>
      <c r="K250" s="9">
        <f>+'PMG(D) segun remuneracion'!$K$3</f>
        <v>2</v>
      </c>
      <c r="L250" s="9">
        <f>+'PMG(D) segun remuneracion'!$K$4</f>
        <v>1</v>
      </c>
      <c r="M250" s="9">
        <f t="shared" si="5"/>
        <v>1</v>
      </c>
      <c r="N250" s="9" t="str">
        <f>+Tabla3[[#This Row],[Barra Balance]]&amp;"_"&amp;Tabla3[[#This Row],[Tensión Balance]]</f>
        <v>A.HOSPICIO_13</v>
      </c>
      <c r="S250" t="s">
        <v>268</v>
      </c>
      <c r="T250" t="s">
        <v>1017</v>
      </c>
    </row>
    <row r="251" spans="1:20">
      <c r="A251" s="9">
        <v>15</v>
      </c>
      <c r="B251" s="9" t="s">
        <v>182</v>
      </c>
      <c r="C251" s="9">
        <v>220</v>
      </c>
      <c r="D251" s="9">
        <f>+VLOOKUP(B251&amp;"_"&amp;C251,'DECRETOS PNCP'!A:F,5,0)</f>
        <v>50.606000000000002</v>
      </c>
      <c r="E251" s="9" t="s">
        <v>4375</v>
      </c>
      <c r="F251" s="9">
        <v>13</v>
      </c>
      <c r="G251" s="9" t="str">
        <f>+'DECRETOS PNCP'!$B$2</f>
        <v>4T-2026</v>
      </c>
      <c r="H251" s="9">
        <v>0</v>
      </c>
      <c r="I251" s="14" t="str">
        <f>+'PMG(D) segun remuneracion'!$K$1</f>
        <v>01-09-2026</v>
      </c>
      <c r="J251" s="14" t="str">
        <f>+'PMG(D) segun remuneracion'!$K$2</f>
        <v>30-09-2026</v>
      </c>
      <c r="K251" s="9">
        <f>+'PMG(D) segun remuneracion'!$K$3</f>
        <v>2</v>
      </c>
      <c r="L251" s="9">
        <f>+'PMG(D) segun remuneracion'!$K$4</f>
        <v>1</v>
      </c>
      <c r="M251" s="9">
        <f t="shared" si="5"/>
        <v>1</v>
      </c>
      <c r="N251" s="9" t="str">
        <f>+Tabla3[[#This Row],[Barra Balance]]&amp;"_"&amp;Tabla3[[#This Row],[Tensión Balance]]</f>
        <v>PUQUILLAY_13</v>
      </c>
      <c r="S251" t="s">
        <v>269</v>
      </c>
      <c r="T251" t="s">
        <v>1017</v>
      </c>
    </row>
    <row r="252" spans="1:20">
      <c r="A252" s="9">
        <v>15</v>
      </c>
      <c r="B252" s="9" t="s">
        <v>248</v>
      </c>
      <c r="C252" s="9">
        <v>220</v>
      </c>
      <c r="D252" s="9">
        <f>+VLOOKUP(B252&amp;"_"&amp;C252,'DECRETOS PNCP'!A:F,5,0)</f>
        <v>45.99</v>
      </c>
      <c r="E252" s="9" t="s">
        <v>5719</v>
      </c>
      <c r="F252" s="9">
        <v>13</v>
      </c>
      <c r="G252" s="9" t="str">
        <f>+'DECRETOS PNCP'!$B$2</f>
        <v>4T-2026</v>
      </c>
      <c r="H252" s="9">
        <v>0</v>
      </c>
      <c r="I252" s="14" t="str">
        <f>+'PMG(D) segun remuneracion'!$K$1</f>
        <v>01-09-2026</v>
      </c>
      <c r="J252" s="14" t="str">
        <f>+'PMG(D) segun remuneracion'!$K$2</f>
        <v>30-09-2026</v>
      </c>
      <c r="K252" s="9">
        <f>+'PMG(D) segun remuneracion'!$K$3</f>
        <v>2</v>
      </c>
      <c r="L252" s="9">
        <f>+'PMG(D) segun remuneracion'!$K$4</f>
        <v>1</v>
      </c>
      <c r="M252" s="9">
        <f t="shared" ref="M252:M257" si="6">+COUNTIFS(E:E,E252,F:F,F252)</f>
        <v>1</v>
      </c>
      <c r="N252" s="9" t="str">
        <f>+Tabla3[[#This Row],[Barra Balance]]&amp;"_"&amp;Tabla3[[#This Row],[Tensión Balance]]</f>
        <v>ANGOL_13</v>
      </c>
      <c r="S252" t="s">
        <v>270</v>
      </c>
      <c r="T252" t="s">
        <v>1186</v>
      </c>
    </row>
    <row r="253" spans="1:20">
      <c r="A253" s="9">
        <v>15</v>
      </c>
      <c r="B253" s="9" t="s">
        <v>182</v>
      </c>
      <c r="C253" s="9">
        <v>220</v>
      </c>
      <c r="D253" s="9">
        <f>+VLOOKUP(B253&amp;"_"&amp;C253,'DECRETOS PNCP'!A:F,5,0)</f>
        <v>50.606000000000002</v>
      </c>
      <c r="E253" s="9" t="s">
        <v>4993</v>
      </c>
      <c r="F253" s="9">
        <v>15</v>
      </c>
      <c r="G253" s="9" t="str">
        <f>+'DECRETOS PNCP'!$B$2</f>
        <v>4T-2026</v>
      </c>
      <c r="H253" s="9">
        <v>0</v>
      </c>
      <c r="I253" s="14" t="str">
        <f>+'PMG(D) segun remuneracion'!$K$1</f>
        <v>01-09-2026</v>
      </c>
      <c r="J253" s="14" t="str">
        <f>+'PMG(D) segun remuneracion'!$K$2</f>
        <v>30-09-2026</v>
      </c>
      <c r="K253" s="9">
        <f>+'PMG(D) segun remuneracion'!$K$3</f>
        <v>2</v>
      </c>
      <c r="L253" s="9">
        <f>+'PMG(D) segun remuneracion'!$K$4</f>
        <v>1</v>
      </c>
      <c r="M253" s="9">
        <f t="shared" si="6"/>
        <v>1</v>
      </c>
      <c r="N253" s="9" t="str">
        <f>+Tabla3[[#This Row],[Barra Balance]]&amp;"_"&amp;Tabla3[[#This Row],[Tensión Balance]]</f>
        <v>FUENTECILLA_15</v>
      </c>
      <c r="S253" t="s">
        <v>272</v>
      </c>
      <c r="T253" t="s">
        <v>1186</v>
      </c>
    </row>
    <row r="254" spans="1:20">
      <c r="A254" s="9">
        <v>15</v>
      </c>
      <c r="B254" s="9" t="s">
        <v>911</v>
      </c>
      <c r="C254" s="9">
        <v>220</v>
      </c>
      <c r="D254" s="9">
        <f>+VLOOKUP(B254&amp;"_"&amp;C254,'DECRETOS PNCP'!A:F,5,0)</f>
        <v>51.460999999999999</v>
      </c>
      <c r="E254" s="9" t="s">
        <v>5390</v>
      </c>
      <c r="F254" s="9">
        <v>110</v>
      </c>
      <c r="G254" s="9" t="str">
        <f>+'DECRETOS PNCP'!$B$2</f>
        <v>4T-2026</v>
      </c>
      <c r="H254" s="9">
        <v>0</v>
      </c>
      <c r="I254" s="14" t="str">
        <f>+'PMG(D) segun remuneracion'!$K$1</f>
        <v>01-09-2026</v>
      </c>
      <c r="J254" s="14" t="str">
        <f>+'PMG(D) segun remuneracion'!$K$2</f>
        <v>30-09-2026</v>
      </c>
      <c r="K254" s="9">
        <f>+'PMG(D) segun remuneracion'!$K$3</f>
        <v>2</v>
      </c>
      <c r="L254" s="9">
        <f>+'PMG(D) segun remuneracion'!$K$4</f>
        <v>1</v>
      </c>
      <c r="M254" s="9">
        <f t="shared" si="6"/>
        <v>1</v>
      </c>
      <c r="N254" s="9" t="str">
        <f>+Tabla3[[#This Row],[Barra Balance]]&amp;"_"&amp;Tabla3[[#This Row],[Tensión Balance]]</f>
        <v>LLAYLLAY_110</v>
      </c>
      <c r="S254" t="s">
        <v>274</v>
      </c>
      <c r="T254" t="s">
        <v>1457</v>
      </c>
    </row>
    <row r="255" spans="1:20">
      <c r="A255" s="9">
        <v>15</v>
      </c>
      <c r="B255" s="9" t="s">
        <v>1197</v>
      </c>
      <c r="C255" s="9">
        <v>220</v>
      </c>
      <c r="D255" s="9">
        <f>+VLOOKUP(B255&amp;"_"&amp;C255,'DECRETOS PNCP'!A:F,5,0)</f>
        <v>49.04</v>
      </c>
      <c r="E255" s="9" t="s">
        <v>4753</v>
      </c>
      <c r="F255" s="9">
        <v>13</v>
      </c>
      <c r="G255" s="9" t="str">
        <f>+'DECRETOS PNCP'!$B$2</f>
        <v>4T-2026</v>
      </c>
      <c r="H255" s="9">
        <v>0</v>
      </c>
      <c r="I255" s="14" t="str">
        <f>+'PMG(D) segun remuneracion'!$K$1</f>
        <v>01-09-2026</v>
      </c>
      <c r="J255" s="14" t="str">
        <f>+'PMG(D) segun remuneracion'!$K$2</f>
        <v>30-09-2026</v>
      </c>
      <c r="K255" s="9">
        <f>+'PMG(D) segun remuneracion'!$K$3</f>
        <v>2</v>
      </c>
      <c r="L255" s="9">
        <f>+'PMG(D) segun remuneracion'!$K$4</f>
        <v>1</v>
      </c>
      <c r="M255" s="9">
        <f t="shared" si="6"/>
        <v>1</v>
      </c>
      <c r="N255" s="9" t="str">
        <f>+Tabla3[[#This Row],[Barra Balance]]&amp;"_"&amp;Tabla3[[#This Row],[Tensión Balance]]</f>
        <v>SANTACRUZ_13</v>
      </c>
      <c r="S255" t="s">
        <v>275</v>
      </c>
      <c r="T255" t="s">
        <v>1457</v>
      </c>
    </row>
    <row r="256" spans="1:20">
      <c r="A256" s="9">
        <v>15</v>
      </c>
      <c r="B256" s="9" t="s">
        <v>911</v>
      </c>
      <c r="C256" s="9">
        <v>220</v>
      </c>
      <c r="D256" s="9">
        <f>+VLOOKUP(B256&amp;"_"&amp;C256,'DECRETOS PNCP'!A:F,5,0)</f>
        <v>51.460999999999999</v>
      </c>
      <c r="E256" s="9" t="s">
        <v>5555</v>
      </c>
      <c r="F256" s="9">
        <v>13</v>
      </c>
      <c r="G256" s="9" t="str">
        <f>+'DECRETOS PNCP'!$B$2</f>
        <v>4T-2026</v>
      </c>
      <c r="H256" s="9">
        <v>0</v>
      </c>
      <c r="I256" s="14" t="str">
        <f>+'PMG(D) segun remuneracion'!$K$1</f>
        <v>01-09-2026</v>
      </c>
      <c r="J256" s="14" t="str">
        <f>+'PMG(D) segun remuneracion'!$K$2</f>
        <v>30-09-2026</v>
      </c>
      <c r="K256" s="9">
        <f>+'PMG(D) segun remuneracion'!$K$3</f>
        <v>2</v>
      </c>
      <c r="L256" s="9">
        <f>+'PMG(D) segun remuneracion'!$K$4</f>
        <v>1</v>
      </c>
      <c r="M256" s="9">
        <f t="shared" si="6"/>
        <v>1</v>
      </c>
      <c r="N256" s="9" t="str">
        <f>+Tabla3[[#This Row],[Barra Balance]]&amp;"_"&amp;Tabla3[[#This Row],[Tensión Balance]]</f>
        <v>MARBELLA_13</v>
      </c>
      <c r="S256" t="s">
        <v>276</v>
      </c>
      <c r="T256" t="s">
        <v>605</v>
      </c>
    </row>
    <row r="257" spans="1:20">
      <c r="A257" s="9">
        <v>15</v>
      </c>
      <c r="B257" s="9" t="s">
        <v>847</v>
      </c>
      <c r="C257" s="9">
        <v>220</v>
      </c>
      <c r="D257" s="9">
        <f>+VLOOKUP(B257&amp;"_"&amp;C257,'DECRETOS PNCP'!A:F,5,0)</f>
        <v>48.301000000000002</v>
      </c>
      <c r="E257" s="9" t="s">
        <v>5620</v>
      </c>
      <c r="F257" s="9">
        <v>23</v>
      </c>
      <c r="G257" s="9" t="str">
        <f>+'DECRETOS PNCP'!$B$2</f>
        <v>4T-2026</v>
      </c>
      <c r="H257" s="9">
        <v>0</v>
      </c>
      <c r="I257" s="14" t="str">
        <f>+'PMG(D) segun remuneracion'!$K$1</f>
        <v>01-09-2026</v>
      </c>
      <c r="J257" s="14" t="str">
        <f>+'PMG(D) segun remuneracion'!$K$2</f>
        <v>30-09-2026</v>
      </c>
      <c r="K257" s="9">
        <f>+'PMG(D) segun remuneracion'!$K$3</f>
        <v>2</v>
      </c>
      <c r="L257" s="9">
        <f>+'PMG(D) segun remuneracion'!$K$4</f>
        <v>1</v>
      </c>
      <c r="M257" s="9">
        <f t="shared" si="6"/>
        <v>1</v>
      </c>
      <c r="N257" s="9" t="str">
        <f>+Tabla3[[#This Row],[Barra Balance]]&amp;"_"&amp;Tabla3[[#This Row],[Tensión Balance]]</f>
        <v>ALTO_BONITO_23</v>
      </c>
      <c r="S257" t="s">
        <v>277</v>
      </c>
      <c r="T257" t="s">
        <v>15</v>
      </c>
    </row>
    <row r="258" spans="1:20">
      <c r="S258" t="s">
        <v>279</v>
      </c>
      <c r="T258" t="s">
        <v>15</v>
      </c>
    </row>
    <row r="259" spans="1:20">
      <c r="S259" t="s">
        <v>280</v>
      </c>
      <c r="T259" t="s">
        <v>251</v>
      </c>
    </row>
    <row r="260" spans="1:20">
      <c r="S260" t="s">
        <v>282</v>
      </c>
      <c r="T260" t="s">
        <v>251</v>
      </c>
    </row>
    <row r="261" spans="1:20">
      <c r="S261" t="s">
        <v>283</v>
      </c>
      <c r="T261" t="s">
        <v>251</v>
      </c>
    </row>
    <row r="262" spans="1:20">
      <c r="S262" t="s">
        <v>1617</v>
      </c>
      <c r="T262" t="s">
        <v>850</v>
      </c>
    </row>
    <row r="263" spans="1:20">
      <c r="S263" t="s">
        <v>284</v>
      </c>
      <c r="T263" t="s">
        <v>263</v>
      </c>
    </row>
    <row r="264" spans="1:20">
      <c r="S264" t="s">
        <v>286</v>
      </c>
      <c r="T264" t="s">
        <v>263</v>
      </c>
    </row>
    <row r="265" spans="1:20">
      <c r="S265" t="s">
        <v>287</v>
      </c>
      <c r="T265" t="s">
        <v>181</v>
      </c>
    </row>
    <row r="266" spans="1:20">
      <c r="S266" t="s">
        <v>289</v>
      </c>
      <c r="T266" t="s">
        <v>181</v>
      </c>
    </row>
    <row r="267" spans="1:20">
      <c r="S267" t="s">
        <v>290</v>
      </c>
      <c r="T267" t="s">
        <v>1528</v>
      </c>
    </row>
    <row r="268" spans="1:20">
      <c r="S268" t="s">
        <v>291</v>
      </c>
      <c r="T268" t="s">
        <v>293</v>
      </c>
    </row>
    <row r="269" spans="1:20">
      <c r="S269" t="s">
        <v>293</v>
      </c>
      <c r="T269" t="s">
        <v>293</v>
      </c>
    </row>
    <row r="270" spans="1:20">
      <c r="S270" t="s">
        <v>294</v>
      </c>
      <c r="T270" t="s">
        <v>196</v>
      </c>
    </row>
    <row r="271" spans="1:20">
      <c r="S271" t="s">
        <v>1618</v>
      </c>
      <c r="T271" t="s">
        <v>551</v>
      </c>
    </row>
    <row r="272" spans="1:20">
      <c r="S272" t="s">
        <v>295</v>
      </c>
      <c r="T272" t="s">
        <v>551</v>
      </c>
    </row>
    <row r="273" spans="19:20">
      <c r="S273" t="s">
        <v>297</v>
      </c>
      <c r="T273" t="s">
        <v>297</v>
      </c>
    </row>
    <row r="274" spans="19:20">
      <c r="S274" t="s">
        <v>299</v>
      </c>
      <c r="T274" t="s">
        <v>143</v>
      </c>
    </row>
    <row r="275" spans="19:20">
      <c r="S275" t="s">
        <v>300</v>
      </c>
      <c r="T275" t="s">
        <v>143</v>
      </c>
    </row>
    <row r="276" spans="19:20">
      <c r="S276" t="s">
        <v>301</v>
      </c>
      <c r="T276" t="s">
        <v>385</v>
      </c>
    </row>
    <row r="277" spans="19:20">
      <c r="S277" t="s">
        <v>302</v>
      </c>
      <c r="T277" t="s">
        <v>385</v>
      </c>
    </row>
    <row r="278" spans="19:20">
      <c r="S278" t="s">
        <v>303</v>
      </c>
      <c r="T278" t="s">
        <v>251</v>
      </c>
    </row>
    <row r="279" spans="19:20">
      <c r="S279" t="s">
        <v>305</v>
      </c>
      <c r="T279" t="s">
        <v>251</v>
      </c>
    </row>
    <row r="280" spans="19:20">
      <c r="S280" t="s">
        <v>306</v>
      </c>
      <c r="T280" t="s">
        <v>251</v>
      </c>
    </row>
    <row r="281" spans="19:20">
      <c r="S281" t="s">
        <v>308</v>
      </c>
      <c r="T281" t="s">
        <v>461</v>
      </c>
    </row>
    <row r="282" spans="19:20">
      <c r="S282" t="s">
        <v>309</v>
      </c>
      <c r="T282" t="s">
        <v>850</v>
      </c>
    </row>
    <row r="283" spans="19:20">
      <c r="S283" t="s">
        <v>1619</v>
      </c>
      <c r="T283" t="s">
        <v>850</v>
      </c>
    </row>
    <row r="284" spans="19:20">
      <c r="S284" t="s">
        <v>310</v>
      </c>
      <c r="T284" t="s">
        <v>850</v>
      </c>
    </row>
    <row r="285" spans="19:20">
      <c r="S285" t="s">
        <v>311</v>
      </c>
      <c r="T285" t="s">
        <v>313</v>
      </c>
    </row>
    <row r="286" spans="19:20">
      <c r="S286" t="s">
        <v>1620</v>
      </c>
      <c r="T286" t="s">
        <v>313</v>
      </c>
    </row>
    <row r="287" spans="19:20">
      <c r="S287" t="s">
        <v>313</v>
      </c>
      <c r="T287" t="s">
        <v>313</v>
      </c>
    </row>
    <row r="288" spans="19:20">
      <c r="S288" t="s">
        <v>1621</v>
      </c>
      <c r="T288" t="s">
        <v>313</v>
      </c>
    </row>
    <row r="289" spans="19:20">
      <c r="S289" t="s">
        <v>6768</v>
      </c>
      <c r="T289" t="s">
        <v>313</v>
      </c>
    </row>
    <row r="290" spans="19:20">
      <c r="S290" t="s">
        <v>314</v>
      </c>
      <c r="T290" t="s">
        <v>181</v>
      </c>
    </row>
    <row r="291" spans="19:20">
      <c r="S291" t="s">
        <v>316</v>
      </c>
      <c r="T291" t="s">
        <v>181</v>
      </c>
    </row>
    <row r="292" spans="19:20">
      <c r="S292" t="s">
        <v>1622</v>
      </c>
      <c r="T292" t="s">
        <v>636</v>
      </c>
    </row>
    <row r="293" spans="19:20">
      <c r="S293" t="s">
        <v>317</v>
      </c>
      <c r="T293" t="s">
        <v>636</v>
      </c>
    </row>
    <row r="294" spans="19:20">
      <c r="S294" t="s">
        <v>318</v>
      </c>
      <c r="T294" t="s">
        <v>633</v>
      </c>
    </row>
    <row r="295" spans="19:20">
      <c r="S295" t="s">
        <v>319</v>
      </c>
      <c r="T295" t="s">
        <v>1457</v>
      </c>
    </row>
    <row r="296" spans="19:20">
      <c r="S296" t="s">
        <v>320</v>
      </c>
      <c r="T296" t="s">
        <v>1457</v>
      </c>
    </row>
    <row r="297" spans="19:20">
      <c r="S297" t="s">
        <v>321</v>
      </c>
      <c r="T297" t="s">
        <v>636</v>
      </c>
    </row>
    <row r="298" spans="19:20">
      <c r="S298" t="s">
        <v>322</v>
      </c>
      <c r="T298" t="s">
        <v>636</v>
      </c>
    </row>
    <row r="299" spans="19:20">
      <c r="S299" t="s">
        <v>323</v>
      </c>
      <c r="T299" t="s">
        <v>924</v>
      </c>
    </row>
    <row r="300" spans="19:20">
      <c r="S300" t="s">
        <v>1623</v>
      </c>
      <c r="T300" t="s">
        <v>1457</v>
      </c>
    </row>
    <row r="301" spans="19:20">
      <c r="S301" t="s">
        <v>324</v>
      </c>
      <c r="T301" t="s">
        <v>951</v>
      </c>
    </row>
    <row r="302" spans="19:20">
      <c r="S302" t="s">
        <v>326</v>
      </c>
      <c r="T302" t="s">
        <v>951</v>
      </c>
    </row>
    <row r="303" spans="19:20">
      <c r="S303" t="s">
        <v>6773</v>
      </c>
      <c r="T303" t="s">
        <v>951</v>
      </c>
    </row>
    <row r="304" spans="19:20">
      <c r="S304" t="s">
        <v>327</v>
      </c>
      <c r="T304" t="s">
        <v>951</v>
      </c>
    </row>
    <row r="305" spans="19:20">
      <c r="S305" t="s">
        <v>329</v>
      </c>
      <c r="T305" t="s">
        <v>951</v>
      </c>
    </row>
    <row r="306" spans="19:20">
      <c r="S306" t="s">
        <v>6770</v>
      </c>
      <c r="T306" t="s">
        <v>951</v>
      </c>
    </row>
    <row r="307" spans="19:20">
      <c r="S307" t="s">
        <v>1624</v>
      </c>
      <c r="T307" t="s">
        <v>522</v>
      </c>
    </row>
    <row r="308" spans="19:20">
      <c r="S308" t="s">
        <v>330</v>
      </c>
      <c r="T308" t="s">
        <v>636</v>
      </c>
    </row>
    <row r="309" spans="19:20">
      <c r="S309" t="s">
        <v>331</v>
      </c>
      <c r="T309" t="s">
        <v>522</v>
      </c>
    </row>
    <row r="310" spans="19:20">
      <c r="S310" t="s">
        <v>332</v>
      </c>
      <c r="T310" t="s">
        <v>251</v>
      </c>
    </row>
    <row r="311" spans="19:20">
      <c r="S311" t="s">
        <v>333</v>
      </c>
      <c r="T311" t="s">
        <v>358</v>
      </c>
    </row>
    <row r="312" spans="19:20">
      <c r="S312" t="s">
        <v>334</v>
      </c>
      <c r="T312" t="s">
        <v>1152</v>
      </c>
    </row>
    <row r="313" spans="19:20">
      <c r="S313" t="s">
        <v>336</v>
      </c>
      <c r="T313" t="s">
        <v>1152</v>
      </c>
    </row>
    <row r="314" spans="19:20">
      <c r="S314" t="s">
        <v>337</v>
      </c>
      <c r="T314" t="s">
        <v>339</v>
      </c>
    </row>
    <row r="315" spans="19:20">
      <c r="S315" t="s">
        <v>339</v>
      </c>
      <c r="T315" t="s">
        <v>339</v>
      </c>
    </row>
    <row r="316" spans="19:20">
      <c r="S316" t="s">
        <v>340</v>
      </c>
      <c r="T316" t="s">
        <v>551</v>
      </c>
    </row>
    <row r="317" spans="19:20">
      <c r="S317" t="s">
        <v>341</v>
      </c>
      <c r="T317" t="s">
        <v>551</v>
      </c>
    </row>
    <row r="318" spans="19:20">
      <c r="S318" t="s">
        <v>343</v>
      </c>
      <c r="T318" t="s">
        <v>551</v>
      </c>
    </row>
    <row r="319" spans="19:20">
      <c r="S319" t="s">
        <v>344</v>
      </c>
      <c r="T319" t="s">
        <v>551</v>
      </c>
    </row>
    <row r="320" spans="19:20">
      <c r="S320" t="s">
        <v>345</v>
      </c>
      <c r="T320" t="s">
        <v>196</v>
      </c>
    </row>
    <row r="321" spans="19:20">
      <c r="S321" t="s">
        <v>346</v>
      </c>
      <c r="T321" t="s">
        <v>196</v>
      </c>
    </row>
    <row r="322" spans="19:20">
      <c r="S322" t="s">
        <v>348</v>
      </c>
      <c r="T322" t="s">
        <v>196</v>
      </c>
    </row>
    <row r="323" spans="19:20">
      <c r="S323" t="s">
        <v>1625</v>
      </c>
      <c r="T323" t="s">
        <v>1186</v>
      </c>
    </row>
    <row r="324" spans="19:20">
      <c r="S324" t="s">
        <v>349</v>
      </c>
      <c r="T324" t="s">
        <v>1186</v>
      </c>
    </row>
    <row r="325" spans="19:20">
      <c r="S325" t="s">
        <v>350</v>
      </c>
      <c r="T325" t="s">
        <v>636</v>
      </c>
    </row>
    <row r="326" spans="19:20">
      <c r="S326" t="s">
        <v>351</v>
      </c>
      <c r="T326" t="s">
        <v>636</v>
      </c>
    </row>
    <row r="327" spans="19:20">
      <c r="S327" t="s">
        <v>352</v>
      </c>
      <c r="T327" t="s">
        <v>636</v>
      </c>
    </row>
    <row r="328" spans="19:20">
      <c r="S328" t="s">
        <v>353</v>
      </c>
      <c r="T328" t="s">
        <v>1528</v>
      </c>
    </row>
    <row r="329" spans="19:20">
      <c r="S329" t="s">
        <v>354</v>
      </c>
      <c r="T329" t="s">
        <v>1528</v>
      </c>
    </row>
    <row r="330" spans="19:20">
      <c r="S330" t="s">
        <v>356</v>
      </c>
      <c r="T330" t="s">
        <v>143</v>
      </c>
    </row>
    <row r="331" spans="19:20">
      <c r="S331" t="s">
        <v>357</v>
      </c>
      <c r="T331" t="s">
        <v>143</v>
      </c>
    </row>
    <row r="332" spans="19:20">
      <c r="S332" t="s">
        <v>358</v>
      </c>
      <c r="T332" t="s">
        <v>358</v>
      </c>
    </row>
    <row r="333" spans="19:20">
      <c r="S333" t="s">
        <v>1626</v>
      </c>
      <c r="T333" t="s">
        <v>358</v>
      </c>
    </row>
    <row r="334" spans="19:20">
      <c r="S334" t="s">
        <v>362</v>
      </c>
      <c r="T334" t="s">
        <v>385</v>
      </c>
    </row>
    <row r="335" spans="19:20">
      <c r="S335" t="s">
        <v>363</v>
      </c>
      <c r="T335" t="s">
        <v>385</v>
      </c>
    </row>
    <row r="336" spans="19:20">
      <c r="S336" t="s">
        <v>364</v>
      </c>
      <c r="T336" t="s">
        <v>217</v>
      </c>
    </row>
    <row r="337" spans="19:20">
      <c r="S337" t="s">
        <v>366</v>
      </c>
      <c r="T337" t="s">
        <v>217</v>
      </c>
    </row>
    <row r="338" spans="19:20">
      <c r="S338" t="s">
        <v>367</v>
      </c>
      <c r="T338" t="s">
        <v>1457</v>
      </c>
    </row>
    <row r="339" spans="19:20">
      <c r="S339" t="s">
        <v>369</v>
      </c>
      <c r="T339" t="s">
        <v>1457</v>
      </c>
    </row>
    <row r="340" spans="19:20">
      <c r="S340" t="s">
        <v>370</v>
      </c>
      <c r="T340" t="s">
        <v>152</v>
      </c>
    </row>
    <row r="341" spans="19:20">
      <c r="S341" t="s">
        <v>372</v>
      </c>
      <c r="T341" t="s">
        <v>152</v>
      </c>
    </row>
    <row r="342" spans="19:20">
      <c r="S342" t="s">
        <v>373</v>
      </c>
      <c r="T342" t="s">
        <v>636</v>
      </c>
    </row>
    <row r="343" spans="19:20">
      <c r="S343" t="s">
        <v>374</v>
      </c>
      <c r="T343" t="s">
        <v>636</v>
      </c>
    </row>
    <row r="344" spans="19:20">
      <c r="S344" t="s">
        <v>375</v>
      </c>
      <c r="T344" t="s">
        <v>636</v>
      </c>
    </row>
    <row r="345" spans="19:20">
      <c r="S345" t="s">
        <v>376</v>
      </c>
      <c r="T345" t="s">
        <v>551</v>
      </c>
    </row>
    <row r="346" spans="19:20">
      <c r="S346" t="s">
        <v>378</v>
      </c>
      <c r="T346" t="s">
        <v>551</v>
      </c>
    </row>
    <row r="347" spans="19:20">
      <c r="S347" t="s">
        <v>379</v>
      </c>
      <c r="T347" t="s">
        <v>551</v>
      </c>
    </row>
    <row r="348" spans="19:20">
      <c r="S348" t="s">
        <v>381</v>
      </c>
      <c r="T348" t="s">
        <v>551</v>
      </c>
    </row>
    <row r="349" spans="19:20">
      <c r="S349" t="s">
        <v>382</v>
      </c>
      <c r="T349" t="s">
        <v>385</v>
      </c>
    </row>
    <row r="350" spans="19:20">
      <c r="S350" t="s">
        <v>384</v>
      </c>
      <c r="T350" t="s">
        <v>385</v>
      </c>
    </row>
    <row r="351" spans="19:20">
      <c r="S351" t="s">
        <v>385</v>
      </c>
      <c r="T351" t="s">
        <v>385</v>
      </c>
    </row>
    <row r="352" spans="19:20">
      <c r="S352" t="s">
        <v>1627</v>
      </c>
      <c r="T352" t="s">
        <v>385</v>
      </c>
    </row>
    <row r="353" spans="19:20">
      <c r="S353" t="s">
        <v>386</v>
      </c>
      <c r="T353" t="s">
        <v>796</v>
      </c>
    </row>
    <row r="354" spans="19:20">
      <c r="S354" t="s">
        <v>387</v>
      </c>
      <c r="T354" t="s">
        <v>796</v>
      </c>
    </row>
    <row r="355" spans="19:20">
      <c r="S355" t="s">
        <v>388</v>
      </c>
      <c r="T355" t="s">
        <v>263</v>
      </c>
    </row>
    <row r="356" spans="19:20">
      <c r="S356" t="s">
        <v>389</v>
      </c>
      <c r="T356" t="s">
        <v>263</v>
      </c>
    </row>
    <row r="357" spans="19:20">
      <c r="S357" t="s">
        <v>390</v>
      </c>
      <c r="T357" t="s">
        <v>263</v>
      </c>
    </row>
    <row r="358" spans="19:20">
      <c r="S358" t="s">
        <v>391</v>
      </c>
      <c r="T358" t="s">
        <v>263</v>
      </c>
    </row>
    <row r="359" spans="19:20">
      <c r="S359" t="s">
        <v>392</v>
      </c>
      <c r="T359" t="s">
        <v>101</v>
      </c>
    </row>
    <row r="360" spans="19:20">
      <c r="S360" t="s">
        <v>393</v>
      </c>
      <c r="T360" t="s">
        <v>251</v>
      </c>
    </row>
    <row r="361" spans="19:20">
      <c r="S361" t="s">
        <v>394</v>
      </c>
      <c r="T361" t="s">
        <v>251</v>
      </c>
    </row>
    <row r="362" spans="19:20">
      <c r="S362" t="s">
        <v>395</v>
      </c>
      <c r="T362" t="s">
        <v>181</v>
      </c>
    </row>
    <row r="363" spans="19:20">
      <c r="S363" t="s">
        <v>396</v>
      </c>
      <c r="T363" t="s">
        <v>924</v>
      </c>
    </row>
    <row r="364" spans="19:20">
      <c r="S364" t="s">
        <v>397</v>
      </c>
      <c r="T364" t="s">
        <v>951</v>
      </c>
    </row>
    <row r="365" spans="19:20">
      <c r="S365" t="s">
        <v>398</v>
      </c>
      <c r="T365" t="s">
        <v>952</v>
      </c>
    </row>
    <row r="366" spans="19:20">
      <c r="S366" t="s">
        <v>6653</v>
      </c>
      <c r="T366" t="s">
        <v>952</v>
      </c>
    </row>
    <row r="367" spans="19:20">
      <c r="S367" t="s">
        <v>399</v>
      </c>
      <c r="T367" t="s">
        <v>910</v>
      </c>
    </row>
    <row r="368" spans="19:20">
      <c r="S368" t="s">
        <v>1628</v>
      </c>
      <c r="T368" t="s">
        <v>181</v>
      </c>
    </row>
    <row r="369" spans="19:20">
      <c r="S369" t="s">
        <v>400</v>
      </c>
      <c r="T369" t="s">
        <v>251</v>
      </c>
    </row>
    <row r="370" spans="19:20">
      <c r="S370" t="s">
        <v>402</v>
      </c>
      <c r="T370" t="s">
        <v>251</v>
      </c>
    </row>
    <row r="371" spans="19:20">
      <c r="S371" t="s">
        <v>403</v>
      </c>
      <c r="T371" t="s">
        <v>251</v>
      </c>
    </row>
    <row r="372" spans="19:20">
      <c r="S372" t="s">
        <v>404</v>
      </c>
      <c r="T372" t="s">
        <v>951</v>
      </c>
    </row>
    <row r="373" spans="19:20">
      <c r="S373" t="s">
        <v>406</v>
      </c>
      <c r="T373" t="s">
        <v>951</v>
      </c>
    </row>
    <row r="374" spans="19:20">
      <c r="S374" t="s">
        <v>407</v>
      </c>
      <c r="T374" t="s">
        <v>951</v>
      </c>
    </row>
    <row r="375" spans="19:20">
      <c r="S375" t="s">
        <v>408</v>
      </c>
      <c r="T375" t="s">
        <v>951</v>
      </c>
    </row>
    <row r="376" spans="19:20">
      <c r="S376" t="s">
        <v>409</v>
      </c>
      <c r="T376" t="s">
        <v>951</v>
      </c>
    </row>
    <row r="377" spans="19:20">
      <c r="S377" t="s">
        <v>410</v>
      </c>
      <c r="T377" t="s">
        <v>951</v>
      </c>
    </row>
    <row r="378" spans="19:20">
      <c r="S378" t="s">
        <v>411</v>
      </c>
      <c r="T378" t="s">
        <v>636</v>
      </c>
    </row>
    <row r="379" spans="19:20">
      <c r="S379" t="s">
        <v>412</v>
      </c>
      <c r="T379" t="s">
        <v>636</v>
      </c>
    </row>
    <row r="380" spans="19:20">
      <c r="S380" t="s">
        <v>413</v>
      </c>
      <c r="T380" t="s">
        <v>522</v>
      </c>
    </row>
    <row r="381" spans="19:20">
      <c r="S381" t="s">
        <v>414</v>
      </c>
      <c r="T381" t="s">
        <v>414</v>
      </c>
    </row>
    <row r="382" spans="19:20">
      <c r="S382" t="s">
        <v>416</v>
      </c>
      <c r="T382" t="s">
        <v>924</v>
      </c>
    </row>
    <row r="383" spans="19:20">
      <c r="S383" t="s">
        <v>417</v>
      </c>
      <c r="T383" t="s">
        <v>924</v>
      </c>
    </row>
    <row r="384" spans="19:20">
      <c r="S384" t="s">
        <v>418</v>
      </c>
      <c r="T384" t="s">
        <v>1091</v>
      </c>
    </row>
    <row r="385" spans="19:20">
      <c r="S385" t="s">
        <v>420</v>
      </c>
      <c r="T385" t="s">
        <v>1091</v>
      </c>
    </row>
    <row r="386" spans="19:20">
      <c r="S386" t="s">
        <v>421</v>
      </c>
      <c r="T386" t="s">
        <v>910</v>
      </c>
    </row>
    <row r="387" spans="19:20">
      <c r="S387" t="s">
        <v>423</v>
      </c>
      <c r="T387" t="s">
        <v>910</v>
      </c>
    </row>
    <row r="388" spans="19:20">
      <c r="S388" t="s">
        <v>424</v>
      </c>
      <c r="T388" t="s">
        <v>101</v>
      </c>
    </row>
    <row r="389" spans="19:20">
      <c r="S389" t="s">
        <v>425</v>
      </c>
      <c r="T389" t="s">
        <v>181</v>
      </c>
    </row>
    <row r="390" spans="19:20">
      <c r="S390" t="s">
        <v>1629</v>
      </c>
      <c r="T390" t="s">
        <v>551</v>
      </c>
    </row>
    <row r="391" spans="19:20">
      <c r="S391" t="s">
        <v>427</v>
      </c>
      <c r="T391" t="s">
        <v>152</v>
      </c>
    </row>
    <row r="392" spans="19:20">
      <c r="S392" t="s">
        <v>428</v>
      </c>
      <c r="T392" t="s">
        <v>1091</v>
      </c>
    </row>
    <row r="393" spans="19:20">
      <c r="S393" t="s">
        <v>429</v>
      </c>
      <c r="T393" t="s">
        <v>251</v>
      </c>
    </row>
    <row r="394" spans="19:20">
      <c r="S394" t="s">
        <v>430</v>
      </c>
      <c r="T394" t="s">
        <v>358</v>
      </c>
    </row>
    <row r="395" spans="19:20">
      <c r="S395" t="s">
        <v>431</v>
      </c>
      <c r="T395" t="s">
        <v>251</v>
      </c>
    </row>
    <row r="396" spans="19:20">
      <c r="S396" t="s">
        <v>433</v>
      </c>
      <c r="T396" t="s">
        <v>251</v>
      </c>
    </row>
    <row r="397" spans="19:20">
      <c r="S397" t="s">
        <v>434</v>
      </c>
      <c r="T397" t="s">
        <v>434</v>
      </c>
    </row>
    <row r="398" spans="19:20">
      <c r="S398" t="s">
        <v>436</v>
      </c>
      <c r="T398" t="s">
        <v>1528</v>
      </c>
    </row>
    <row r="399" spans="19:20">
      <c r="S399" t="s">
        <v>437</v>
      </c>
      <c r="T399" t="s">
        <v>15</v>
      </c>
    </row>
    <row r="400" spans="19:20">
      <c r="S400" t="s">
        <v>439</v>
      </c>
      <c r="T400" t="s">
        <v>15</v>
      </c>
    </row>
    <row r="401" spans="19:20">
      <c r="S401" t="s">
        <v>440</v>
      </c>
      <c r="T401" t="s">
        <v>181</v>
      </c>
    </row>
    <row r="402" spans="19:20">
      <c r="S402" t="s">
        <v>442</v>
      </c>
      <c r="T402" t="s">
        <v>181</v>
      </c>
    </row>
    <row r="403" spans="19:20">
      <c r="S403" t="s">
        <v>443</v>
      </c>
      <c r="T403" t="s">
        <v>15</v>
      </c>
    </row>
    <row r="404" spans="19:20">
      <c r="S404" t="s">
        <v>445</v>
      </c>
      <c r="T404" t="s">
        <v>15</v>
      </c>
    </row>
    <row r="405" spans="19:20">
      <c r="S405" t="s">
        <v>446</v>
      </c>
      <c r="T405" t="s">
        <v>15</v>
      </c>
    </row>
    <row r="406" spans="19:20">
      <c r="S406" t="s">
        <v>448</v>
      </c>
      <c r="T406" t="s">
        <v>15</v>
      </c>
    </row>
    <row r="407" spans="19:20">
      <c r="S407" t="s">
        <v>449</v>
      </c>
      <c r="T407" t="s">
        <v>1198</v>
      </c>
    </row>
    <row r="408" spans="19:20">
      <c r="S408" t="s">
        <v>451</v>
      </c>
      <c r="T408" t="s">
        <v>1198</v>
      </c>
    </row>
    <row r="409" spans="19:20">
      <c r="S409" t="s">
        <v>1630</v>
      </c>
      <c r="T409" t="s">
        <v>12</v>
      </c>
    </row>
    <row r="410" spans="19:20">
      <c r="S410" t="s">
        <v>452</v>
      </c>
      <c r="T410" t="s">
        <v>385</v>
      </c>
    </row>
    <row r="411" spans="19:20">
      <c r="S411" t="s">
        <v>454</v>
      </c>
      <c r="T411" t="s">
        <v>385</v>
      </c>
    </row>
    <row r="412" spans="19:20">
      <c r="S412" t="s">
        <v>455</v>
      </c>
      <c r="T412" t="s">
        <v>385</v>
      </c>
    </row>
    <row r="413" spans="19:20">
      <c r="S413" t="s">
        <v>457</v>
      </c>
      <c r="T413" t="s">
        <v>385</v>
      </c>
    </row>
    <row r="414" spans="19:20">
      <c r="S414" t="s">
        <v>711</v>
      </c>
      <c r="T414" t="s">
        <v>385</v>
      </c>
    </row>
    <row r="415" spans="19:20">
      <c r="S415" t="s">
        <v>1220</v>
      </c>
      <c r="T415" t="s">
        <v>385</v>
      </c>
    </row>
    <row r="416" spans="19:20">
      <c r="S416" t="s">
        <v>1631</v>
      </c>
      <c r="T416" t="s">
        <v>385</v>
      </c>
    </row>
    <row r="417" spans="19:20">
      <c r="S417" t="s">
        <v>1632</v>
      </c>
      <c r="T417" t="s">
        <v>385</v>
      </c>
    </row>
    <row r="418" spans="19:20">
      <c r="S418" t="s">
        <v>458</v>
      </c>
      <c r="T418" t="s">
        <v>850</v>
      </c>
    </row>
    <row r="419" spans="19:20">
      <c r="S419" t="s">
        <v>459</v>
      </c>
      <c r="T419" t="s">
        <v>850</v>
      </c>
    </row>
    <row r="420" spans="19:20">
      <c r="S420" t="s">
        <v>1633</v>
      </c>
      <c r="T420" t="s">
        <v>636</v>
      </c>
    </row>
    <row r="421" spans="19:20">
      <c r="S421" t="s">
        <v>460</v>
      </c>
      <c r="T421" t="s">
        <v>636</v>
      </c>
    </row>
    <row r="422" spans="19:20">
      <c r="S422" t="s">
        <v>1634</v>
      </c>
      <c r="T422" t="s">
        <v>924</v>
      </c>
    </row>
    <row r="423" spans="19:20">
      <c r="S423" t="s">
        <v>461</v>
      </c>
      <c r="T423" t="s">
        <v>461</v>
      </c>
    </row>
    <row r="424" spans="19:20">
      <c r="S424" t="s">
        <v>985</v>
      </c>
      <c r="T424" t="s">
        <v>461</v>
      </c>
    </row>
    <row r="425" spans="19:20">
      <c r="S425" t="s">
        <v>463</v>
      </c>
      <c r="T425" t="s">
        <v>1152</v>
      </c>
    </row>
    <row r="426" spans="19:20">
      <c r="S426" t="s">
        <v>464</v>
      </c>
      <c r="T426" t="s">
        <v>251</v>
      </c>
    </row>
    <row r="427" spans="19:20">
      <c r="S427" t="s">
        <v>465</v>
      </c>
      <c r="T427" t="s">
        <v>461</v>
      </c>
    </row>
    <row r="428" spans="19:20">
      <c r="S428" t="s">
        <v>466</v>
      </c>
      <c r="T428" t="s">
        <v>251</v>
      </c>
    </row>
    <row r="429" spans="19:20">
      <c r="S429" t="s">
        <v>467</v>
      </c>
      <c r="T429" t="s">
        <v>251</v>
      </c>
    </row>
    <row r="430" spans="19:20">
      <c r="S430" t="s">
        <v>468</v>
      </c>
      <c r="T430" t="s">
        <v>924</v>
      </c>
    </row>
    <row r="431" spans="19:20">
      <c r="S431" t="s">
        <v>469</v>
      </c>
      <c r="T431" t="s">
        <v>636</v>
      </c>
    </row>
    <row r="432" spans="19:20">
      <c r="S432" t="s">
        <v>470</v>
      </c>
      <c r="T432" t="s">
        <v>636</v>
      </c>
    </row>
    <row r="433" spans="19:20">
      <c r="S433" t="s">
        <v>471</v>
      </c>
      <c r="T433" t="s">
        <v>101</v>
      </c>
    </row>
    <row r="434" spans="19:20">
      <c r="S434" t="s">
        <v>472</v>
      </c>
      <c r="T434" t="s">
        <v>101</v>
      </c>
    </row>
    <row r="435" spans="19:20">
      <c r="S435" t="s">
        <v>473</v>
      </c>
      <c r="T435" t="s">
        <v>1198</v>
      </c>
    </row>
    <row r="436" spans="19:20">
      <c r="S436" t="s">
        <v>475</v>
      </c>
      <c r="T436" t="s">
        <v>910</v>
      </c>
    </row>
    <row r="437" spans="19:20">
      <c r="S437" t="s">
        <v>476</v>
      </c>
      <c r="T437" t="s">
        <v>1198</v>
      </c>
    </row>
    <row r="438" spans="19:20">
      <c r="S438" t="s">
        <v>477</v>
      </c>
      <c r="T438" t="s">
        <v>910</v>
      </c>
    </row>
    <row r="439" spans="19:20">
      <c r="S439" t="s">
        <v>1635</v>
      </c>
      <c r="T439" t="s">
        <v>478</v>
      </c>
    </row>
    <row r="440" spans="19:20">
      <c r="S440" t="s">
        <v>478</v>
      </c>
      <c r="T440" t="s">
        <v>478</v>
      </c>
    </row>
    <row r="441" spans="19:20">
      <c r="S441" t="s">
        <v>481</v>
      </c>
      <c r="T441" t="s">
        <v>605</v>
      </c>
    </row>
    <row r="442" spans="19:20">
      <c r="S442" t="s">
        <v>482</v>
      </c>
      <c r="T442" t="s">
        <v>1017</v>
      </c>
    </row>
    <row r="443" spans="19:20">
      <c r="S443" t="s">
        <v>1636</v>
      </c>
      <c r="T443" t="s">
        <v>551</v>
      </c>
    </row>
    <row r="444" spans="19:20">
      <c r="S444" t="s">
        <v>483</v>
      </c>
      <c r="T444" t="s">
        <v>924</v>
      </c>
    </row>
    <row r="445" spans="19:20">
      <c r="S445" t="s">
        <v>484</v>
      </c>
      <c r="T445" t="s">
        <v>12</v>
      </c>
    </row>
    <row r="446" spans="19:20">
      <c r="S446" t="s">
        <v>486</v>
      </c>
      <c r="T446" t="s">
        <v>12</v>
      </c>
    </row>
    <row r="447" spans="19:20">
      <c r="S447" t="s">
        <v>487</v>
      </c>
      <c r="T447" t="s">
        <v>12</v>
      </c>
    </row>
    <row r="448" spans="19:20">
      <c r="S448" t="s">
        <v>488</v>
      </c>
      <c r="T448" t="s">
        <v>12</v>
      </c>
    </row>
    <row r="449" spans="19:20">
      <c r="S449" t="s">
        <v>489</v>
      </c>
      <c r="T449" t="s">
        <v>12</v>
      </c>
    </row>
    <row r="450" spans="19:20">
      <c r="S450" t="s">
        <v>490</v>
      </c>
      <c r="T450" t="s">
        <v>143</v>
      </c>
    </row>
    <row r="451" spans="19:20">
      <c r="S451" t="s">
        <v>491</v>
      </c>
      <c r="T451" t="s">
        <v>251</v>
      </c>
    </row>
    <row r="452" spans="19:20">
      <c r="S452" t="s">
        <v>492</v>
      </c>
      <c r="T452" t="s">
        <v>143</v>
      </c>
    </row>
    <row r="453" spans="19:20">
      <c r="S453" t="s">
        <v>494</v>
      </c>
      <c r="T453" t="s">
        <v>143</v>
      </c>
    </row>
    <row r="454" spans="19:20">
      <c r="S454" t="s">
        <v>495</v>
      </c>
      <c r="T454" t="s">
        <v>636</v>
      </c>
    </row>
    <row r="455" spans="19:20">
      <c r="S455" t="s">
        <v>1637</v>
      </c>
      <c r="T455" t="s">
        <v>636</v>
      </c>
    </row>
    <row r="456" spans="19:20">
      <c r="S456" t="s">
        <v>496</v>
      </c>
      <c r="T456" t="s">
        <v>636</v>
      </c>
    </row>
    <row r="457" spans="19:20">
      <c r="S457" t="s">
        <v>1638</v>
      </c>
      <c r="T457" t="s">
        <v>628</v>
      </c>
    </row>
    <row r="458" spans="19:20">
      <c r="S458" t="s">
        <v>497</v>
      </c>
      <c r="T458" t="s">
        <v>358</v>
      </c>
    </row>
    <row r="459" spans="19:20">
      <c r="S459" t="s">
        <v>6654</v>
      </c>
      <c r="T459" t="s">
        <v>1186</v>
      </c>
    </row>
    <row r="460" spans="19:20">
      <c r="S460" t="s">
        <v>498</v>
      </c>
      <c r="T460" t="s">
        <v>1186</v>
      </c>
    </row>
    <row r="461" spans="19:20">
      <c r="S461" t="s">
        <v>499</v>
      </c>
      <c r="T461" t="s">
        <v>1186</v>
      </c>
    </row>
    <row r="462" spans="19:20">
      <c r="S462" t="s">
        <v>1639</v>
      </c>
      <c r="T462" t="s">
        <v>434</v>
      </c>
    </row>
    <row r="463" spans="19:20">
      <c r="S463" t="s">
        <v>500</v>
      </c>
      <c r="T463" t="s">
        <v>196</v>
      </c>
    </row>
    <row r="464" spans="19:20">
      <c r="S464" t="s">
        <v>501</v>
      </c>
      <c r="T464" t="s">
        <v>1457</v>
      </c>
    </row>
    <row r="465" spans="19:20">
      <c r="S465" t="s">
        <v>502</v>
      </c>
      <c r="T465" t="s">
        <v>1457</v>
      </c>
    </row>
    <row r="466" spans="19:20">
      <c r="S466" t="s">
        <v>503</v>
      </c>
      <c r="T466" t="s">
        <v>12</v>
      </c>
    </row>
    <row r="467" spans="19:20">
      <c r="S467" t="s">
        <v>505</v>
      </c>
      <c r="T467" t="s">
        <v>12</v>
      </c>
    </row>
    <row r="468" spans="19:20">
      <c r="S468" t="s">
        <v>506</v>
      </c>
      <c r="T468" t="s">
        <v>796</v>
      </c>
    </row>
    <row r="469" spans="19:20">
      <c r="S469" t="s">
        <v>508</v>
      </c>
      <c r="T469" t="s">
        <v>951</v>
      </c>
    </row>
    <row r="470" spans="19:20">
      <c r="S470" t="s">
        <v>509</v>
      </c>
      <c r="T470" t="s">
        <v>951</v>
      </c>
    </row>
    <row r="471" spans="19:20">
      <c r="S471" t="s">
        <v>510</v>
      </c>
      <c r="T471" t="s">
        <v>196</v>
      </c>
    </row>
    <row r="472" spans="19:20">
      <c r="S472" t="s">
        <v>512</v>
      </c>
      <c r="T472" t="s">
        <v>196</v>
      </c>
    </row>
    <row r="473" spans="19:20">
      <c r="S473" t="s">
        <v>513</v>
      </c>
      <c r="T473" t="s">
        <v>636</v>
      </c>
    </row>
    <row r="474" spans="19:20">
      <c r="S474" t="s">
        <v>514</v>
      </c>
      <c r="T474" t="s">
        <v>12</v>
      </c>
    </row>
    <row r="475" spans="19:20">
      <c r="S475" t="s">
        <v>516</v>
      </c>
      <c r="T475" t="s">
        <v>12</v>
      </c>
    </row>
    <row r="476" spans="19:20">
      <c r="S476" t="s">
        <v>517</v>
      </c>
      <c r="T476" t="s">
        <v>551</v>
      </c>
    </row>
    <row r="477" spans="19:20">
      <c r="S477" t="s">
        <v>519</v>
      </c>
      <c r="T477" t="s">
        <v>551</v>
      </c>
    </row>
    <row r="478" spans="19:20">
      <c r="S478" t="s">
        <v>520</v>
      </c>
      <c r="T478" t="s">
        <v>522</v>
      </c>
    </row>
    <row r="479" spans="19:20">
      <c r="S479" t="s">
        <v>522</v>
      </c>
      <c r="T479" t="s">
        <v>522</v>
      </c>
    </row>
    <row r="480" spans="19:20">
      <c r="S480" t="s">
        <v>524</v>
      </c>
      <c r="T480" t="s">
        <v>251</v>
      </c>
    </row>
    <row r="481" spans="19:20">
      <c r="S481" t="s">
        <v>526</v>
      </c>
      <c r="T481" t="s">
        <v>251</v>
      </c>
    </row>
    <row r="482" spans="19:20">
      <c r="S482" t="s">
        <v>527</v>
      </c>
      <c r="T482" t="s">
        <v>251</v>
      </c>
    </row>
    <row r="483" spans="19:20">
      <c r="S483" t="s">
        <v>528</v>
      </c>
      <c r="T483" t="s">
        <v>796</v>
      </c>
    </row>
    <row r="484" spans="19:20">
      <c r="S484" t="s">
        <v>529</v>
      </c>
      <c r="T484" t="s">
        <v>796</v>
      </c>
    </row>
    <row r="485" spans="19:20">
      <c r="S485" t="s">
        <v>530</v>
      </c>
      <c r="T485" t="s">
        <v>385</v>
      </c>
    </row>
    <row r="486" spans="19:20">
      <c r="S486" t="s">
        <v>531</v>
      </c>
      <c r="T486" t="s">
        <v>605</v>
      </c>
    </row>
    <row r="487" spans="19:20">
      <c r="S487" t="s">
        <v>533</v>
      </c>
      <c r="T487" t="s">
        <v>605</v>
      </c>
    </row>
    <row r="488" spans="19:20">
      <c r="S488" t="s">
        <v>534</v>
      </c>
      <c r="T488" t="s">
        <v>605</v>
      </c>
    </row>
    <row r="489" spans="19:20">
      <c r="S489" t="s">
        <v>535</v>
      </c>
      <c r="T489" t="s">
        <v>1457</v>
      </c>
    </row>
    <row r="490" spans="19:20">
      <c r="S490" t="s">
        <v>536</v>
      </c>
      <c r="T490" t="s">
        <v>1457</v>
      </c>
    </row>
    <row r="491" spans="19:20">
      <c r="S491" t="s">
        <v>537</v>
      </c>
      <c r="T491" t="s">
        <v>101</v>
      </c>
    </row>
    <row r="492" spans="19:20">
      <c r="S492" t="s">
        <v>538</v>
      </c>
      <c r="T492" t="s">
        <v>796</v>
      </c>
    </row>
    <row r="493" spans="19:20">
      <c r="S493" t="s">
        <v>540</v>
      </c>
      <c r="T493" t="s">
        <v>796</v>
      </c>
    </row>
    <row r="494" spans="19:20">
      <c r="S494" t="s">
        <v>541</v>
      </c>
      <c r="T494" t="s">
        <v>181</v>
      </c>
    </row>
    <row r="495" spans="19:20">
      <c r="S495" t="s">
        <v>1640</v>
      </c>
      <c r="T495" t="s">
        <v>938</v>
      </c>
    </row>
    <row r="496" spans="19:20">
      <c r="S496" t="s">
        <v>1641</v>
      </c>
      <c r="T496" t="s">
        <v>938</v>
      </c>
    </row>
    <row r="497" spans="19:20">
      <c r="S497" t="s">
        <v>542</v>
      </c>
      <c r="T497" t="s">
        <v>551</v>
      </c>
    </row>
    <row r="498" spans="19:20">
      <c r="S498" t="s">
        <v>543</v>
      </c>
      <c r="T498" t="s">
        <v>551</v>
      </c>
    </row>
    <row r="499" spans="19:20">
      <c r="S499" t="s">
        <v>544</v>
      </c>
      <c r="T499" t="s">
        <v>12</v>
      </c>
    </row>
    <row r="500" spans="19:20">
      <c r="S500" t="s">
        <v>546</v>
      </c>
      <c r="T500" t="s">
        <v>12</v>
      </c>
    </row>
    <row r="501" spans="19:20">
      <c r="S501" t="s">
        <v>547</v>
      </c>
      <c r="T501" t="s">
        <v>551</v>
      </c>
    </row>
    <row r="502" spans="19:20">
      <c r="S502" t="s">
        <v>549</v>
      </c>
      <c r="T502" t="s">
        <v>551</v>
      </c>
    </row>
    <row r="503" spans="19:20">
      <c r="S503" t="s">
        <v>550</v>
      </c>
      <c r="T503" t="s">
        <v>551</v>
      </c>
    </row>
    <row r="504" spans="19:20">
      <c r="S504" t="s">
        <v>551</v>
      </c>
      <c r="T504" t="s">
        <v>551</v>
      </c>
    </row>
    <row r="505" spans="19:20">
      <c r="S505" t="s">
        <v>552</v>
      </c>
      <c r="T505" t="s">
        <v>385</v>
      </c>
    </row>
    <row r="506" spans="19:20">
      <c r="S506" t="s">
        <v>553</v>
      </c>
      <c r="T506" t="s">
        <v>590</v>
      </c>
    </row>
    <row r="507" spans="19:20">
      <c r="S507" t="s">
        <v>554</v>
      </c>
      <c r="T507" t="s">
        <v>590</v>
      </c>
    </row>
    <row r="508" spans="19:20">
      <c r="S508" t="s">
        <v>555</v>
      </c>
      <c r="T508" t="s">
        <v>924</v>
      </c>
    </row>
    <row r="509" spans="19:20">
      <c r="S509" t="s">
        <v>556</v>
      </c>
      <c r="T509" t="s">
        <v>924</v>
      </c>
    </row>
    <row r="510" spans="19:20">
      <c r="S510" t="s">
        <v>557</v>
      </c>
      <c r="T510" t="s">
        <v>358</v>
      </c>
    </row>
    <row r="511" spans="19:20">
      <c r="S511" t="s">
        <v>558</v>
      </c>
      <c r="T511" t="s">
        <v>358</v>
      </c>
    </row>
    <row r="512" spans="19:20">
      <c r="S512" t="s">
        <v>559</v>
      </c>
      <c r="T512" t="s">
        <v>293</v>
      </c>
    </row>
    <row r="513" spans="19:20">
      <c r="S513" t="s">
        <v>560</v>
      </c>
      <c r="T513" t="s">
        <v>152</v>
      </c>
    </row>
    <row r="514" spans="19:20">
      <c r="S514" t="s">
        <v>561</v>
      </c>
      <c r="T514" t="s">
        <v>12</v>
      </c>
    </row>
    <row r="515" spans="19:20">
      <c r="S515" t="s">
        <v>562</v>
      </c>
      <c r="T515" t="s">
        <v>251</v>
      </c>
    </row>
    <row r="516" spans="19:20">
      <c r="S516" t="s">
        <v>564</v>
      </c>
      <c r="T516" t="s">
        <v>251</v>
      </c>
    </row>
    <row r="517" spans="19:20">
      <c r="S517" t="s">
        <v>565</v>
      </c>
      <c r="T517" t="s">
        <v>251</v>
      </c>
    </row>
    <row r="518" spans="19:20">
      <c r="S518" t="s">
        <v>1642</v>
      </c>
      <c r="T518" t="s">
        <v>628</v>
      </c>
    </row>
    <row r="519" spans="19:20">
      <c r="S519" t="s">
        <v>566</v>
      </c>
      <c r="T519" t="s">
        <v>181</v>
      </c>
    </row>
    <row r="520" spans="19:20">
      <c r="S520" t="s">
        <v>568</v>
      </c>
      <c r="T520" t="s">
        <v>181</v>
      </c>
    </row>
    <row r="521" spans="19:20">
      <c r="S521" t="s">
        <v>569</v>
      </c>
      <c r="T521" t="s">
        <v>924</v>
      </c>
    </row>
    <row r="522" spans="19:20">
      <c r="S522" t="s">
        <v>570</v>
      </c>
      <c r="T522" t="s">
        <v>924</v>
      </c>
    </row>
    <row r="523" spans="19:20">
      <c r="S523" t="s">
        <v>571</v>
      </c>
      <c r="T523" t="s">
        <v>796</v>
      </c>
    </row>
    <row r="524" spans="19:20">
      <c r="S524" t="s">
        <v>572</v>
      </c>
      <c r="T524" t="s">
        <v>636</v>
      </c>
    </row>
    <row r="525" spans="19:20">
      <c r="S525" t="s">
        <v>573</v>
      </c>
      <c r="T525" t="s">
        <v>636</v>
      </c>
    </row>
    <row r="526" spans="19:20">
      <c r="S526" t="s">
        <v>1643</v>
      </c>
      <c r="T526" t="s">
        <v>551</v>
      </c>
    </row>
    <row r="527" spans="19:20">
      <c r="S527" t="s">
        <v>576</v>
      </c>
      <c r="T527" t="s">
        <v>12</v>
      </c>
    </row>
    <row r="528" spans="19:20">
      <c r="S528" t="s">
        <v>1644</v>
      </c>
      <c r="T528" t="s">
        <v>551</v>
      </c>
    </row>
    <row r="529" spans="19:20">
      <c r="S529" t="s">
        <v>578</v>
      </c>
      <c r="T529" t="s">
        <v>636</v>
      </c>
    </row>
    <row r="530" spans="19:20">
      <c r="S530" t="s">
        <v>579</v>
      </c>
      <c r="T530" t="s">
        <v>1528</v>
      </c>
    </row>
    <row r="531" spans="19:20">
      <c r="S531" t="s">
        <v>580</v>
      </c>
      <c r="T531" t="s">
        <v>1528</v>
      </c>
    </row>
    <row r="532" spans="19:20">
      <c r="S532" t="s">
        <v>581</v>
      </c>
      <c r="T532" t="s">
        <v>143</v>
      </c>
    </row>
    <row r="533" spans="19:20">
      <c r="S533" t="s">
        <v>1645</v>
      </c>
      <c r="T533" t="s">
        <v>12</v>
      </c>
    </row>
    <row r="534" spans="19:20">
      <c r="S534" t="s">
        <v>1646</v>
      </c>
      <c r="T534" t="s">
        <v>12</v>
      </c>
    </row>
    <row r="535" spans="19:20">
      <c r="S535" t="s">
        <v>582</v>
      </c>
      <c r="T535" t="s">
        <v>251</v>
      </c>
    </row>
    <row r="536" spans="19:20">
      <c r="S536" t="s">
        <v>583</v>
      </c>
      <c r="T536" t="s">
        <v>181</v>
      </c>
    </row>
    <row r="537" spans="19:20">
      <c r="S537" t="s">
        <v>584</v>
      </c>
      <c r="T537" t="s">
        <v>196</v>
      </c>
    </row>
    <row r="538" spans="19:20">
      <c r="S538" t="s">
        <v>586</v>
      </c>
      <c r="T538" t="s">
        <v>196</v>
      </c>
    </row>
    <row r="539" spans="19:20">
      <c r="S539" t="s">
        <v>587</v>
      </c>
      <c r="T539" t="s">
        <v>385</v>
      </c>
    </row>
    <row r="540" spans="19:20">
      <c r="S540" t="s">
        <v>1647</v>
      </c>
      <c r="T540" t="s">
        <v>551</v>
      </c>
    </row>
    <row r="541" spans="19:20">
      <c r="S541" t="s">
        <v>588</v>
      </c>
      <c r="T541" t="s">
        <v>590</v>
      </c>
    </row>
    <row r="542" spans="19:20">
      <c r="S542" t="s">
        <v>590</v>
      </c>
      <c r="T542" t="s">
        <v>590</v>
      </c>
    </row>
    <row r="543" spans="19:20">
      <c r="S543" t="s">
        <v>1648</v>
      </c>
      <c r="T543" t="s">
        <v>1186</v>
      </c>
    </row>
    <row r="544" spans="19:20">
      <c r="S544" t="s">
        <v>1649</v>
      </c>
      <c r="T544" t="s">
        <v>1186</v>
      </c>
    </row>
    <row r="545" spans="19:20">
      <c r="S545" t="s">
        <v>591</v>
      </c>
      <c r="T545" t="s">
        <v>1186</v>
      </c>
    </row>
    <row r="546" spans="19:20">
      <c r="S546" t="s">
        <v>592</v>
      </c>
      <c r="T546" t="s">
        <v>1186</v>
      </c>
    </row>
    <row r="547" spans="19:20">
      <c r="S547" t="s">
        <v>593</v>
      </c>
      <c r="T547" t="s">
        <v>605</v>
      </c>
    </row>
    <row r="548" spans="19:20">
      <c r="S548" t="s">
        <v>594</v>
      </c>
      <c r="T548" t="s">
        <v>590</v>
      </c>
    </row>
    <row r="549" spans="19:20">
      <c r="S549" t="s">
        <v>595</v>
      </c>
      <c r="T549" t="s">
        <v>590</v>
      </c>
    </row>
    <row r="550" spans="19:20">
      <c r="S550" t="s">
        <v>596</v>
      </c>
      <c r="T550" t="s">
        <v>1186</v>
      </c>
    </row>
    <row r="551" spans="19:20">
      <c r="S551" t="s">
        <v>597</v>
      </c>
      <c r="T551" t="s">
        <v>1186</v>
      </c>
    </row>
    <row r="552" spans="19:20">
      <c r="S552" t="s">
        <v>598</v>
      </c>
      <c r="T552" t="s">
        <v>910</v>
      </c>
    </row>
    <row r="553" spans="19:20">
      <c r="S553" t="s">
        <v>600</v>
      </c>
      <c r="T553" t="s">
        <v>910</v>
      </c>
    </row>
    <row r="554" spans="19:20">
      <c r="S554" t="s">
        <v>601</v>
      </c>
      <c r="T554" t="s">
        <v>910</v>
      </c>
    </row>
    <row r="555" spans="19:20">
      <c r="S555" t="s">
        <v>602</v>
      </c>
      <c r="T555" t="s">
        <v>1152</v>
      </c>
    </row>
    <row r="556" spans="19:20">
      <c r="S556" t="s">
        <v>603</v>
      </c>
      <c r="T556" t="s">
        <v>1152</v>
      </c>
    </row>
    <row r="557" spans="19:20">
      <c r="S557" t="s">
        <v>604</v>
      </c>
      <c r="T557" t="s">
        <v>1152</v>
      </c>
    </row>
    <row r="558" spans="19:20">
      <c r="S558" t="s">
        <v>1650</v>
      </c>
      <c r="T558" t="s">
        <v>605</v>
      </c>
    </row>
    <row r="559" spans="19:20">
      <c r="S559" t="s">
        <v>605</v>
      </c>
      <c r="T559" t="s">
        <v>605</v>
      </c>
    </row>
    <row r="560" spans="19:20">
      <c r="S560" t="s">
        <v>6655</v>
      </c>
      <c r="T560" t="s">
        <v>605</v>
      </c>
    </row>
    <row r="561" spans="19:20">
      <c r="S561" t="s">
        <v>6767</v>
      </c>
      <c r="T561" t="s">
        <v>605</v>
      </c>
    </row>
    <row r="562" spans="19:20">
      <c r="S562" t="s">
        <v>607</v>
      </c>
      <c r="T562" t="s">
        <v>143</v>
      </c>
    </row>
    <row r="563" spans="19:20">
      <c r="S563" t="s">
        <v>647</v>
      </c>
      <c r="T563" t="s">
        <v>1186</v>
      </c>
    </row>
    <row r="564" spans="19:20">
      <c r="S564" t="s">
        <v>608</v>
      </c>
      <c r="T564" t="s">
        <v>910</v>
      </c>
    </row>
    <row r="565" spans="19:20">
      <c r="S565" t="s">
        <v>610</v>
      </c>
      <c r="T565" t="s">
        <v>910</v>
      </c>
    </row>
    <row r="566" spans="19:20">
      <c r="S566" t="s">
        <v>611</v>
      </c>
      <c r="T566" t="s">
        <v>910</v>
      </c>
    </row>
    <row r="567" spans="19:20">
      <c r="S567" t="s">
        <v>612</v>
      </c>
      <c r="T567" t="s">
        <v>605</v>
      </c>
    </row>
    <row r="568" spans="19:20">
      <c r="S568" t="s">
        <v>613</v>
      </c>
      <c r="T568" t="s">
        <v>143</v>
      </c>
    </row>
    <row r="569" spans="19:20">
      <c r="S569" t="s">
        <v>614</v>
      </c>
      <c r="T569" t="s">
        <v>143</v>
      </c>
    </row>
    <row r="570" spans="19:20">
      <c r="S570" t="s">
        <v>615</v>
      </c>
      <c r="T570" t="s">
        <v>152</v>
      </c>
    </row>
    <row r="571" spans="19:20">
      <c r="S571" t="s">
        <v>616</v>
      </c>
      <c r="T571" t="s">
        <v>152</v>
      </c>
    </row>
    <row r="572" spans="19:20">
      <c r="S572" t="s">
        <v>617</v>
      </c>
      <c r="T572" t="s">
        <v>152</v>
      </c>
    </row>
    <row r="573" spans="19:20">
      <c r="S573" t="s">
        <v>618</v>
      </c>
      <c r="T573" t="s">
        <v>1198</v>
      </c>
    </row>
    <row r="574" spans="19:20">
      <c r="S574" t="s">
        <v>619</v>
      </c>
      <c r="T574" t="s">
        <v>61</v>
      </c>
    </row>
    <row r="575" spans="19:20">
      <c r="S575" t="s">
        <v>620</v>
      </c>
      <c r="T575" t="s">
        <v>12</v>
      </c>
    </row>
    <row r="576" spans="19:20">
      <c r="S576" t="s">
        <v>622</v>
      </c>
      <c r="T576" t="s">
        <v>12</v>
      </c>
    </row>
    <row r="577" spans="19:20">
      <c r="S577" t="s">
        <v>623</v>
      </c>
      <c r="T577" t="s">
        <v>12</v>
      </c>
    </row>
    <row r="578" spans="19:20">
      <c r="S578" t="s">
        <v>626</v>
      </c>
      <c r="T578" t="s">
        <v>143</v>
      </c>
    </row>
    <row r="579" spans="19:20">
      <c r="S579" t="s">
        <v>627</v>
      </c>
      <c r="T579" t="s">
        <v>143</v>
      </c>
    </row>
    <row r="580" spans="19:20">
      <c r="S580" t="s">
        <v>628</v>
      </c>
      <c r="T580" t="s">
        <v>628</v>
      </c>
    </row>
    <row r="581" spans="19:20">
      <c r="S581" t="s">
        <v>630</v>
      </c>
      <c r="T581" t="s">
        <v>358</v>
      </c>
    </row>
    <row r="582" spans="19:20">
      <c r="S582" t="s">
        <v>631</v>
      </c>
      <c r="T582" t="s">
        <v>633</v>
      </c>
    </row>
    <row r="583" spans="19:20">
      <c r="S583" t="s">
        <v>633</v>
      </c>
      <c r="T583" t="s">
        <v>633</v>
      </c>
    </row>
    <row r="584" spans="19:20">
      <c r="S584" t="s">
        <v>634</v>
      </c>
      <c r="T584" t="s">
        <v>636</v>
      </c>
    </row>
    <row r="585" spans="19:20">
      <c r="S585" t="s">
        <v>636</v>
      </c>
      <c r="T585" t="s">
        <v>636</v>
      </c>
    </row>
    <row r="586" spans="19:20">
      <c r="S586" t="s">
        <v>917</v>
      </c>
      <c r="T586" t="s">
        <v>522</v>
      </c>
    </row>
    <row r="587" spans="19:20">
      <c r="S587" t="s">
        <v>916</v>
      </c>
      <c r="T587" t="s">
        <v>636</v>
      </c>
    </row>
    <row r="588" spans="19:20">
      <c r="S588" t="s">
        <v>1651</v>
      </c>
      <c r="T588" t="s">
        <v>938</v>
      </c>
    </row>
    <row r="589" spans="19:20">
      <c r="S589" t="s">
        <v>637</v>
      </c>
      <c r="T589" t="s">
        <v>938</v>
      </c>
    </row>
    <row r="590" spans="19:20">
      <c r="S590" t="s">
        <v>638</v>
      </c>
      <c r="T590" t="s">
        <v>251</v>
      </c>
    </row>
    <row r="591" spans="19:20">
      <c r="S591" t="s">
        <v>640</v>
      </c>
      <c r="T591" t="s">
        <v>251</v>
      </c>
    </row>
    <row r="592" spans="19:20">
      <c r="S592" t="s">
        <v>641</v>
      </c>
      <c r="T592" t="s">
        <v>251</v>
      </c>
    </row>
    <row r="593" spans="19:20">
      <c r="S593" t="s">
        <v>1652</v>
      </c>
      <c r="T593" t="s">
        <v>251</v>
      </c>
    </row>
    <row r="594" spans="19:20">
      <c r="S594" t="s">
        <v>642</v>
      </c>
      <c r="T594" t="s">
        <v>385</v>
      </c>
    </row>
    <row r="595" spans="19:20">
      <c r="S595" t="s">
        <v>643</v>
      </c>
      <c r="T595" t="s">
        <v>1198</v>
      </c>
    </row>
    <row r="596" spans="19:20">
      <c r="S596" t="s">
        <v>645</v>
      </c>
      <c r="T596" t="s">
        <v>1198</v>
      </c>
    </row>
    <row r="597" spans="19:20">
      <c r="S597" t="s">
        <v>648</v>
      </c>
      <c r="T597" t="s">
        <v>648</v>
      </c>
    </row>
    <row r="598" spans="19:20">
      <c r="S598" t="s">
        <v>1653</v>
      </c>
      <c r="T598" t="s">
        <v>1152</v>
      </c>
    </row>
    <row r="599" spans="19:20">
      <c r="S599" t="s">
        <v>1654</v>
      </c>
      <c r="T599" t="s">
        <v>1152</v>
      </c>
    </row>
    <row r="600" spans="19:20">
      <c r="S600" t="s">
        <v>650</v>
      </c>
      <c r="T600" t="s">
        <v>551</v>
      </c>
    </row>
    <row r="601" spans="19:20">
      <c r="S601" t="s">
        <v>652</v>
      </c>
      <c r="T601" t="s">
        <v>551</v>
      </c>
    </row>
    <row r="602" spans="19:20">
      <c r="S602" t="s">
        <v>653</v>
      </c>
      <c r="T602" t="s">
        <v>101</v>
      </c>
    </row>
    <row r="603" spans="19:20">
      <c r="S603" t="s">
        <v>654</v>
      </c>
      <c r="T603" t="s">
        <v>101</v>
      </c>
    </row>
    <row r="604" spans="19:20">
      <c r="S604" t="s">
        <v>655</v>
      </c>
      <c r="T604" t="s">
        <v>181</v>
      </c>
    </row>
    <row r="605" spans="19:20">
      <c r="S605" t="s">
        <v>657</v>
      </c>
      <c r="T605" t="s">
        <v>181</v>
      </c>
    </row>
    <row r="606" spans="19:20">
      <c r="S606" t="s">
        <v>661</v>
      </c>
      <c r="T606" t="s">
        <v>143</v>
      </c>
    </row>
    <row r="607" spans="19:20">
      <c r="S607" t="s">
        <v>662</v>
      </c>
      <c r="T607" t="s">
        <v>143</v>
      </c>
    </row>
    <row r="608" spans="19:20">
      <c r="S608" t="s">
        <v>664</v>
      </c>
      <c r="T608" t="s">
        <v>170</v>
      </c>
    </row>
    <row r="609" spans="19:20">
      <c r="S609" t="s">
        <v>665</v>
      </c>
      <c r="T609" t="s">
        <v>1198</v>
      </c>
    </row>
    <row r="610" spans="19:20">
      <c r="S610" t="s">
        <v>667</v>
      </c>
      <c r="T610" t="s">
        <v>1198</v>
      </c>
    </row>
    <row r="611" spans="19:20">
      <c r="S611" t="s">
        <v>668</v>
      </c>
      <c r="T611" t="s">
        <v>1198</v>
      </c>
    </row>
    <row r="612" spans="19:20">
      <c r="S612" t="s">
        <v>669</v>
      </c>
      <c r="T612" t="s">
        <v>1457</v>
      </c>
    </row>
    <row r="613" spans="19:20">
      <c r="S613" t="s">
        <v>670</v>
      </c>
      <c r="T613" t="s">
        <v>1457</v>
      </c>
    </row>
    <row r="614" spans="19:20">
      <c r="S614" t="s">
        <v>673</v>
      </c>
      <c r="T614" t="s">
        <v>522</v>
      </c>
    </row>
    <row r="615" spans="19:20">
      <c r="S615" t="s">
        <v>674</v>
      </c>
      <c r="T615" t="s">
        <v>522</v>
      </c>
    </row>
    <row r="616" spans="19:20">
      <c r="S616" t="s">
        <v>675</v>
      </c>
      <c r="T616" t="s">
        <v>1457</v>
      </c>
    </row>
    <row r="617" spans="19:20">
      <c r="S617" t="s">
        <v>677</v>
      </c>
      <c r="T617" t="s">
        <v>1457</v>
      </c>
    </row>
    <row r="618" spans="19:20">
      <c r="S618" t="s">
        <v>678</v>
      </c>
      <c r="T618" t="s">
        <v>1457</v>
      </c>
    </row>
    <row r="619" spans="19:20">
      <c r="S619" t="s">
        <v>679</v>
      </c>
      <c r="T619" t="s">
        <v>61</v>
      </c>
    </row>
    <row r="620" spans="19:20">
      <c r="S620" t="s">
        <v>681</v>
      </c>
      <c r="T620" t="s">
        <v>61</v>
      </c>
    </row>
    <row r="621" spans="19:20">
      <c r="S621" t="s">
        <v>1655</v>
      </c>
      <c r="T621" t="s">
        <v>152</v>
      </c>
    </row>
    <row r="622" spans="19:20">
      <c r="S622" t="s">
        <v>1656</v>
      </c>
      <c r="T622" t="s">
        <v>152</v>
      </c>
    </row>
    <row r="623" spans="19:20">
      <c r="S623" t="s">
        <v>682</v>
      </c>
      <c r="T623" t="s">
        <v>636</v>
      </c>
    </row>
    <row r="624" spans="19:20">
      <c r="S624" t="s">
        <v>684</v>
      </c>
      <c r="T624" t="s">
        <v>636</v>
      </c>
    </row>
    <row r="625" spans="19:20">
      <c r="S625" t="s">
        <v>685</v>
      </c>
      <c r="T625" t="s">
        <v>636</v>
      </c>
    </row>
    <row r="626" spans="19:20">
      <c r="S626" t="s">
        <v>686</v>
      </c>
      <c r="T626" t="s">
        <v>15</v>
      </c>
    </row>
    <row r="627" spans="19:20">
      <c r="S627" t="s">
        <v>688</v>
      </c>
      <c r="T627" t="s">
        <v>15</v>
      </c>
    </row>
    <row r="628" spans="19:20">
      <c r="S628" t="s">
        <v>689</v>
      </c>
      <c r="T628" t="s">
        <v>1457</v>
      </c>
    </row>
    <row r="629" spans="19:20">
      <c r="S629" t="s">
        <v>691</v>
      </c>
      <c r="T629" t="s">
        <v>1457</v>
      </c>
    </row>
    <row r="630" spans="19:20">
      <c r="S630" t="s">
        <v>692</v>
      </c>
      <c r="T630" t="s">
        <v>551</v>
      </c>
    </row>
    <row r="631" spans="19:20">
      <c r="S631" t="s">
        <v>694</v>
      </c>
      <c r="T631" t="s">
        <v>551</v>
      </c>
    </row>
    <row r="632" spans="19:20">
      <c r="S632" t="s">
        <v>695</v>
      </c>
      <c r="T632" t="s">
        <v>1198</v>
      </c>
    </row>
    <row r="633" spans="19:20">
      <c r="S633" t="s">
        <v>697</v>
      </c>
      <c r="T633" t="s">
        <v>1198</v>
      </c>
    </row>
    <row r="634" spans="19:20">
      <c r="S634" t="s">
        <v>698</v>
      </c>
      <c r="T634" t="s">
        <v>551</v>
      </c>
    </row>
    <row r="635" spans="19:20">
      <c r="S635" t="s">
        <v>700</v>
      </c>
      <c r="T635" t="s">
        <v>551</v>
      </c>
    </row>
    <row r="636" spans="19:20">
      <c r="S636" t="s">
        <v>701</v>
      </c>
      <c r="T636" t="s">
        <v>551</v>
      </c>
    </row>
    <row r="637" spans="19:20">
      <c r="S637" t="s">
        <v>702</v>
      </c>
      <c r="T637" t="s">
        <v>551</v>
      </c>
    </row>
    <row r="638" spans="19:20">
      <c r="S638" t="s">
        <v>1657</v>
      </c>
      <c r="T638" t="s">
        <v>551</v>
      </c>
    </row>
    <row r="639" spans="19:20">
      <c r="S639" t="s">
        <v>703</v>
      </c>
      <c r="T639" t="s">
        <v>636</v>
      </c>
    </row>
    <row r="640" spans="19:20">
      <c r="S640" t="s">
        <v>704</v>
      </c>
      <c r="T640" t="s">
        <v>636</v>
      </c>
    </row>
    <row r="641" spans="19:20">
      <c r="S641" t="s">
        <v>708</v>
      </c>
      <c r="T641" t="s">
        <v>196</v>
      </c>
    </row>
    <row r="642" spans="19:20">
      <c r="S642" t="s">
        <v>712</v>
      </c>
      <c r="T642" t="s">
        <v>910</v>
      </c>
    </row>
    <row r="643" spans="19:20">
      <c r="S643" t="s">
        <v>1658</v>
      </c>
      <c r="T643" t="s">
        <v>1528</v>
      </c>
    </row>
    <row r="644" spans="19:20">
      <c r="S644" t="s">
        <v>713</v>
      </c>
      <c r="T644" t="s">
        <v>152</v>
      </c>
    </row>
    <row r="645" spans="19:20">
      <c r="S645" t="s">
        <v>715</v>
      </c>
      <c r="T645" t="s">
        <v>152</v>
      </c>
    </row>
    <row r="646" spans="19:20">
      <c r="S646" t="s">
        <v>716</v>
      </c>
      <c r="T646" t="s">
        <v>12</v>
      </c>
    </row>
    <row r="647" spans="19:20">
      <c r="S647" t="s">
        <v>717</v>
      </c>
      <c r="T647" t="s">
        <v>152</v>
      </c>
    </row>
    <row r="648" spans="19:20">
      <c r="S648" t="s">
        <v>718</v>
      </c>
      <c r="T648" t="s">
        <v>152</v>
      </c>
    </row>
    <row r="649" spans="19:20">
      <c r="S649" t="s">
        <v>720</v>
      </c>
      <c r="T649" t="s">
        <v>152</v>
      </c>
    </row>
    <row r="650" spans="19:20">
      <c r="S650" t="s">
        <v>721</v>
      </c>
      <c r="T650" t="s">
        <v>152</v>
      </c>
    </row>
    <row r="651" spans="19:20">
      <c r="S651" t="s">
        <v>722</v>
      </c>
      <c r="T651" t="s">
        <v>143</v>
      </c>
    </row>
    <row r="652" spans="19:20">
      <c r="S652" t="s">
        <v>723</v>
      </c>
      <c r="T652" t="s">
        <v>152</v>
      </c>
    </row>
    <row r="653" spans="19:20">
      <c r="S653" t="s">
        <v>724</v>
      </c>
      <c r="T653" t="s">
        <v>152</v>
      </c>
    </row>
    <row r="654" spans="19:20">
      <c r="S654" t="s">
        <v>725</v>
      </c>
      <c r="T654" t="s">
        <v>152</v>
      </c>
    </row>
    <row r="655" spans="19:20">
      <c r="S655" t="s">
        <v>726</v>
      </c>
      <c r="T655" t="s">
        <v>143</v>
      </c>
    </row>
    <row r="656" spans="19:20">
      <c r="S656" t="s">
        <v>727</v>
      </c>
      <c r="T656" t="s">
        <v>143</v>
      </c>
    </row>
    <row r="657" spans="19:20">
      <c r="S657" t="s">
        <v>1659</v>
      </c>
      <c r="T657" t="s">
        <v>358</v>
      </c>
    </row>
    <row r="658" spans="19:20">
      <c r="S658" t="s">
        <v>728</v>
      </c>
      <c r="T658" t="s">
        <v>358</v>
      </c>
    </row>
    <row r="659" spans="19:20">
      <c r="S659" t="s">
        <v>729</v>
      </c>
      <c r="T659" t="s">
        <v>61</v>
      </c>
    </row>
    <row r="660" spans="19:20">
      <c r="S660" t="s">
        <v>730</v>
      </c>
      <c r="T660" t="s">
        <v>61</v>
      </c>
    </row>
    <row r="661" spans="19:20">
      <c r="S661" t="s">
        <v>731</v>
      </c>
      <c r="T661" t="s">
        <v>181</v>
      </c>
    </row>
    <row r="662" spans="19:20">
      <c r="S662" t="s">
        <v>733</v>
      </c>
      <c r="T662" t="s">
        <v>181</v>
      </c>
    </row>
    <row r="663" spans="19:20">
      <c r="S663" t="s">
        <v>734</v>
      </c>
      <c r="T663" t="s">
        <v>1457</v>
      </c>
    </row>
    <row r="664" spans="19:20">
      <c r="S664" t="s">
        <v>736</v>
      </c>
      <c r="T664" t="s">
        <v>1457</v>
      </c>
    </row>
    <row r="665" spans="19:20">
      <c r="S665" t="s">
        <v>737</v>
      </c>
      <c r="T665" t="s">
        <v>1457</v>
      </c>
    </row>
    <row r="666" spans="19:20">
      <c r="S666" t="s">
        <v>738</v>
      </c>
      <c r="T666" t="s">
        <v>551</v>
      </c>
    </row>
    <row r="667" spans="19:20">
      <c r="S667" t="s">
        <v>740</v>
      </c>
      <c r="T667" t="s">
        <v>551</v>
      </c>
    </row>
    <row r="668" spans="19:20">
      <c r="S668" t="s">
        <v>741</v>
      </c>
      <c r="T668" t="s">
        <v>152</v>
      </c>
    </row>
    <row r="669" spans="19:20">
      <c r="S669" t="s">
        <v>742</v>
      </c>
      <c r="T669" t="s">
        <v>181</v>
      </c>
    </row>
    <row r="670" spans="19:20">
      <c r="S670" t="s">
        <v>744</v>
      </c>
      <c r="T670" t="s">
        <v>181</v>
      </c>
    </row>
    <row r="671" spans="19:20">
      <c r="S671" t="s">
        <v>745</v>
      </c>
      <c r="T671" t="s">
        <v>590</v>
      </c>
    </row>
    <row r="672" spans="19:20">
      <c r="S672" t="s">
        <v>746</v>
      </c>
      <c r="T672" t="s">
        <v>152</v>
      </c>
    </row>
    <row r="673" spans="19:20">
      <c r="S673" t="s">
        <v>748</v>
      </c>
      <c r="T673" t="s">
        <v>152</v>
      </c>
    </row>
    <row r="674" spans="19:20">
      <c r="S674" t="s">
        <v>750</v>
      </c>
      <c r="T674" t="s">
        <v>61</v>
      </c>
    </row>
    <row r="675" spans="19:20">
      <c r="S675" t="s">
        <v>751</v>
      </c>
      <c r="T675" t="s">
        <v>61</v>
      </c>
    </row>
    <row r="676" spans="19:20">
      <c r="S676" t="s">
        <v>752</v>
      </c>
      <c r="T676" t="s">
        <v>61</v>
      </c>
    </row>
    <row r="677" spans="19:20">
      <c r="S677" t="s">
        <v>755</v>
      </c>
      <c r="T677" t="s">
        <v>1457</v>
      </c>
    </row>
    <row r="678" spans="19:20">
      <c r="S678" t="s">
        <v>756</v>
      </c>
      <c r="T678" t="s">
        <v>1457</v>
      </c>
    </row>
    <row r="679" spans="19:20">
      <c r="S679" t="s">
        <v>757</v>
      </c>
      <c r="T679" t="s">
        <v>251</v>
      </c>
    </row>
    <row r="680" spans="19:20">
      <c r="S680" t="s">
        <v>759</v>
      </c>
      <c r="T680" t="s">
        <v>251</v>
      </c>
    </row>
    <row r="681" spans="19:20">
      <c r="S681" t="s">
        <v>760</v>
      </c>
      <c r="T681" t="s">
        <v>1186</v>
      </c>
    </row>
    <row r="682" spans="19:20">
      <c r="S682" t="s">
        <v>761</v>
      </c>
      <c r="T682" t="s">
        <v>1186</v>
      </c>
    </row>
    <row r="683" spans="19:20">
      <c r="S683" t="s">
        <v>762</v>
      </c>
      <c r="T683" t="s">
        <v>636</v>
      </c>
    </row>
    <row r="684" spans="19:20">
      <c r="S684" t="s">
        <v>763</v>
      </c>
      <c r="T684" t="s">
        <v>636</v>
      </c>
    </row>
    <row r="685" spans="19:20">
      <c r="S685" t="s">
        <v>1660</v>
      </c>
      <c r="T685" t="s">
        <v>924</v>
      </c>
    </row>
    <row r="686" spans="19:20">
      <c r="S686" t="s">
        <v>1471</v>
      </c>
      <c r="T686" t="s">
        <v>251</v>
      </c>
    </row>
    <row r="687" spans="19:20">
      <c r="S687" t="s">
        <v>1473</v>
      </c>
      <c r="T687" t="s">
        <v>251</v>
      </c>
    </row>
    <row r="688" spans="19:20">
      <c r="S688" t="s">
        <v>765</v>
      </c>
      <c r="T688" t="s">
        <v>628</v>
      </c>
    </row>
    <row r="689" spans="19:20">
      <c r="S689" t="s">
        <v>767</v>
      </c>
      <c r="T689" t="s">
        <v>628</v>
      </c>
    </row>
    <row r="690" spans="19:20">
      <c r="S690" t="s">
        <v>768</v>
      </c>
      <c r="T690" t="s">
        <v>251</v>
      </c>
    </row>
    <row r="691" spans="19:20">
      <c r="S691" t="s">
        <v>770</v>
      </c>
      <c r="T691" t="s">
        <v>251</v>
      </c>
    </row>
    <row r="692" spans="19:20">
      <c r="S692" t="s">
        <v>771</v>
      </c>
      <c r="T692" t="s">
        <v>251</v>
      </c>
    </row>
    <row r="693" spans="19:20">
      <c r="S693" t="s">
        <v>1661</v>
      </c>
      <c r="T693" t="s">
        <v>358</v>
      </c>
    </row>
    <row r="694" spans="19:20">
      <c r="S694" t="s">
        <v>772</v>
      </c>
      <c r="T694" t="s">
        <v>358</v>
      </c>
    </row>
    <row r="695" spans="19:20">
      <c r="S695" t="s">
        <v>773</v>
      </c>
      <c r="T695" t="s">
        <v>551</v>
      </c>
    </row>
    <row r="696" spans="19:20">
      <c r="S696" t="s">
        <v>774</v>
      </c>
      <c r="T696" t="s">
        <v>951</v>
      </c>
    </row>
    <row r="697" spans="19:20">
      <c r="S697" t="s">
        <v>1662</v>
      </c>
      <c r="T697" t="s">
        <v>951</v>
      </c>
    </row>
    <row r="698" spans="19:20">
      <c r="S698" t="s">
        <v>776</v>
      </c>
      <c r="T698" t="s">
        <v>951</v>
      </c>
    </row>
    <row r="699" spans="19:20">
      <c r="S699" t="s">
        <v>1663</v>
      </c>
      <c r="T699" t="s">
        <v>12</v>
      </c>
    </row>
    <row r="700" spans="19:20">
      <c r="S700" t="s">
        <v>777</v>
      </c>
      <c r="T700" t="s">
        <v>12</v>
      </c>
    </row>
    <row r="701" spans="19:20">
      <c r="S701" t="s">
        <v>778</v>
      </c>
      <c r="T701" t="s">
        <v>181</v>
      </c>
    </row>
    <row r="702" spans="19:20">
      <c r="S702" t="s">
        <v>780</v>
      </c>
      <c r="T702" t="s">
        <v>181</v>
      </c>
    </row>
    <row r="703" spans="19:20">
      <c r="S703" t="s">
        <v>781</v>
      </c>
      <c r="T703" t="s">
        <v>143</v>
      </c>
    </row>
    <row r="704" spans="19:20">
      <c r="S704" t="s">
        <v>782</v>
      </c>
      <c r="T704" t="s">
        <v>143</v>
      </c>
    </row>
    <row r="705" spans="19:20">
      <c r="S705" t="s">
        <v>783</v>
      </c>
      <c r="T705" t="s">
        <v>143</v>
      </c>
    </row>
    <row r="706" spans="19:20">
      <c r="S706" t="s">
        <v>784</v>
      </c>
      <c r="T706" t="s">
        <v>181</v>
      </c>
    </row>
    <row r="707" spans="19:20">
      <c r="S707" t="s">
        <v>785</v>
      </c>
      <c r="T707" t="s">
        <v>181</v>
      </c>
    </row>
    <row r="708" spans="19:20">
      <c r="S708" t="s">
        <v>786</v>
      </c>
      <c r="T708" t="s">
        <v>636</v>
      </c>
    </row>
    <row r="709" spans="19:20">
      <c r="S709" t="s">
        <v>787</v>
      </c>
      <c r="T709" t="s">
        <v>636</v>
      </c>
    </row>
    <row r="710" spans="19:20">
      <c r="S710" t="s">
        <v>788</v>
      </c>
      <c r="T710" t="s">
        <v>790</v>
      </c>
    </row>
    <row r="711" spans="19:20">
      <c r="S711" t="s">
        <v>790</v>
      </c>
      <c r="T711" t="s">
        <v>790</v>
      </c>
    </row>
    <row r="712" spans="19:20">
      <c r="S712" t="s">
        <v>791</v>
      </c>
      <c r="T712" t="s">
        <v>143</v>
      </c>
    </row>
    <row r="713" spans="19:20">
      <c r="S713" t="s">
        <v>793</v>
      </c>
      <c r="T713" t="s">
        <v>143</v>
      </c>
    </row>
    <row r="714" spans="19:20">
      <c r="S714" t="s">
        <v>794</v>
      </c>
      <c r="T714" t="s">
        <v>796</v>
      </c>
    </row>
    <row r="715" spans="19:20">
      <c r="S715" t="s">
        <v>796</v>
      </c>
      <c r="T715" t="s">
        <v>796</v>
      </c>
    </row>
    <row r="716" spans="19:20">
      <c r="S716" t="s">
        <v>6656</v>
      </c>
      <c r="T716" t="s">
        <v>796</v>
      </c>
    </row>
    <row r="717" spans="19:20">
      <c r="S717" t="s">
        <v>45</v>
      </c>
      <c r="T717" t="s">
        <v>796</v>
      </c>
    </row>
    <row r="718" spans="19:20">
      <c r="S718" t="s">
        <v>797</v>
      </c>
      <c r="T718" t="s">
        <v>143</v>
      </c>
    </row>
    <row r="719" spans="19:20">
      <c r="S719" t="s">
        <v>798</v>
      </c>
      <c r="T719" t="s">
        <v>385</v>
      </c>
    </row>
    <row r="720" spans="19:20">
      <c r="S720" t="s">
        <v>799</v>
      </c>
      <c r="T720" t="s">
        <v>181</v>
      </c>
    </row>
    <row r="721" spans="19:20">
      <c r="S721" t="s">
        <v>801</v>
      </c>
      <c r="T721" t="s">
        <v>181</v>
      </c>
    </row>
    <row r="722" spans="19:20">
      <c r="S722" t="s">
        <v>802</v>
      </c>
      <c r="T722" t="s">
        <v>181</v>
      </c>
    </row>
    <row r="723" spans="19:20">
      <c r="S723" t="s">
        <v>803</v>
      </c>
      <c r="T723" t="s">
        <v>143</v>
      </c>
    </row>
    <row r="724" spans="19:20">
      <c r="S724" t="s">
        <v>805</v>
      </c>
      <c r="T724" t="s">
        <v>143</v>
      </c>
    </row>
    <row r="725" spans="19:20">
      <c r="S725" t="s">
        <v>1664</v>
      </c>
      <c r="T725" t="s">
        <v>251</v>
      </c>
    </row>
    <row r="726" spans="19:20">
      <c r="S726" t="s">
        <v>806</v>
      </c>
      <c r="T726" t="s">
        <v>251</v>
      </c>
    </row>
    <row r="727" spans="19:20">
      <c r="S727" t="s">
        <v>808</v>
      </c>
      <c r="T727" t="s">
        <v>1198</v>
      </c>
    </row>
    <row r="728" spans="19:20">
      <c r="S728" t="s">
        <v>810</v>
      </c>
      <c r="T728" t="s">
        <v>1198</v>
      </c>
    </row>
    <row r="729" spans="19:20">
      <c r="S729" t="s">
        <v>1665</v>
      </c>
      <c r="T729" t="s">
        <v>951</v>
      </c>
    </row>
    <row r="730" spans="19:20">
      <c r="S730" t="s">
        <v>811</v>
      </c>
      <c r="T730" t="s">
        <v>1186</v>
      </c>
    </row>
    <row r="731" spans="19:20">
      <c r="S731" t="s">
        <v>812</v>
      </c>
      <c r="T731" t="s">
        <v>522</v>
      </c>
    </row>
    <row r="732" spans="19:20">
      <c r="S732" t="s">
        <v>813</v>
      </c>
      <c r="T732" t="s">
        <v>910</v>
      </c>
    </row>
    <row r="733" spans="19:20">
      <c r="S733" t="s">
        <v>814</v>
      </c>
      <c r="T733" t="s">
        <v>910</v>
      </c>
    </row>
    <row r="734" spans="19:20">
      <c r="S734" t="s">
        <v>815</v>
      </c>
      <c r="T734" t="s">
        <v>1198</v>
      </c>
    </row>
    <row r="735" spans="19:20">
      <c r="S735" t="s">
        <v>817</v>
      </c>
      <c r="T735" t="s">
        <v>1198</v>
      </c>
    </row>
    <row r="736" spans="19:20">
      <c r="S736" t="s">
        <v>818</v>
      </c>
      <c r="T736" t="s">
        <v>1152</v>
      </c>
    </row>
    <row r="737" spans="19:20">
      <c r="S737" t="s">
        <v>819</v>
      </c>
      <c r="T737" t="s">
        <v>1152</v>
      </c>
    </row>
    <row r="738" spans="19:20">
      <c r="S738" t="s">
        <v>820</v>
      </c>
      <c r="T738" t="s">
        <v>297</v>
      </c>
    </row>
    <row r="739" spans="19:20">
      <c r="S739" t="s">
        <v>821</v>
      </c>
      <c r="T739" t="s">
        <v>297</v>
      </c>
    </row>
    <row r="740" spans="19:20">
      <c r="S740" t="s">
        <v>822</v>
      </c>
      <c r="T740" t="s">
        <v>143</v>
      </c>
    </row>
    <row r="741" spans="19:20">
      <c r="S741" t="s">
        <v>823</v>
      </c>
      <c r="T741" t="s">
        <v>143</v>
      </c>
    </row>
    <row r="742" spans="19:20">
      <c r="S742" t="s">
        <v>824</v>
      </c>
      <c r="T742" t="s">
        <v>951</v>
      </c>
    </row>
    <row r="743" spans="19:20">
      <c r="S743" t="s">
        <v>826</v>
      </c>
      <c r="T743" t="s">
        <v>951</v>
      </c>
    </row>
    <row r="744" spans="19:20">
      <c r="S744" t="s">
        <v>827</v>
      </c>
      <c r="T744" t="s">
        <v>251</v>
      </c>
    </row>
    <row r="745" spans="19:20">
      <c r="S745" t="s">
        <v>828</v>
      </c>
      <c r="T745" t="s">
        <v>551</v>
      </c>
    </row>
    <row r="746" spans="19:20">
      <c r="S746" t="s">
        <v>830</v>
      </c>
      <c r="T746" t="s">
        <v>551</v>
      </c>
    </row>
    <row r="747" spans="19:20">
      <c r="S747" t="s">
        <v>831</v>
      </c>
      <c r="T747" t="s">
        <v>551</v>
      </c>
    </row>
    <row r="748" spans="19:20">
      <c r="S748" t="s">
        <v>832</v>
      </c>
      <c r="T748" t="s">
        <v>61</v>
      </c>
    </row>
    <row r="749" spans="19:20">
      <c r="S749" t="s">
        <v>833</v>
      </c>
      <c r="T749" t="s">
        <v>1152</v>
      </c>
    </row>
    <row r="750" spans="19:20">
      <c r="S750" t="s">
        <v>835</v>
      </c>
      <c r="T750" t="s">
        <v>1152</v>
      </c>
    </row>
    <row r="751" spans="19:20">
      <c r="S751" t="s">
        <v>1666</v>
      </c>
      <c r="T751" t="s">
        <v>196</v>
      </c>
    </row>
    <row r="752" spans="19:20">
      <c r="S752" t="s">
        <v>1667</v>
      </c>
      <c r="T752" t="s">
        <v>196</v>
      </c>
    </row>
    <row r="753" spans="19:20">
      <c r="S753" t="s">
        <v>1668</v>
      </c>
      <c r="T753" t="s">
        <v>924</v>
      </c>
    </row>
    <row r="754" spans="19:20">
      <c r="S754" t="s">
        <v>1669</v>
      </c>
      <c r="T754" t="s">
        <v>924</v>
      </c>
    </row>
    <row r="755" spans="19:20">
      <c r="S755" t="s">
        <v>836</v>
      </c>
      <c r="T755" t="s">
        <v>924</v>
      </c>
    </row>
    <row r="756" spans="19:20">
      <c r="S756" t="s">
        <v>838</v>
      </c>
      <c r="T756" t="s">
        <v>924</v>
      </c>
    </row>
    <row r="757" spans="19:20">
      <c r="S757" t="s">
        <v>839</v>
      </c>
      <c r="T757" t="s">
        <v>924</v>
      </c>
    </row>
    <row r="758" spans="19:20">
      <c r="S758" t="s">
        <v>840</v>
      </c>
      <c r="T758" t="s">
        <v>217</v>
      </c>
    </row>
    <row r="759" spans="19:20">
      <c r="S759" t="s">
        <v>841</v>
      </c>
      <c r="T759" t="s">
        <v>217</v>
      </c>
    </row>
    <row r="760" spans="19:20">
      <c r="S760" t="s">
        <v>842</v>
      </c>
      <c r="T760" t="s">
        <v>15</v>
      </c>
    </row>
    <row r="761" spans="19:20">
      <c r="S761" t="s">
        <v>844</v>
      </c>
      <c r="T761" t="s">
        <v>15</v>
      </c>
    </row>
    <row r="762" spans="19:20">
      <c r="S762" t="s">
        <v>845</v>
      </c>
      <c r="T762" t="s">
        <v>15</v>
      </c>
    </row>
    <row r="763" spans="19:20">
      <c r="S763" t="s">
        <v>846</v>
      </c>
      <c r="T763" t="s">
        <v>850</v>
      </c>
    </row>
    <row r="764" spans="19:20">
      <c r="S764" t="s">
        <v>848</v>
      </c>
      <c r="T764" t="s">
        <v>850</v>
      </c>
    </row>
    <row r="765" spans="19:20">
      <c r="S765" t="s">
        <v>849</v>
      </c>
      <c r="T765" t="s">
        <v>850</v>
      </c>
    </row>
    <row r="766" spans="19:20">
      <c r="S766" t="s">
        <v>850</v>
      </c>
      <c r="T766" t="s">
        <v>850</v>
      </c>
    </row>
    <row r="767" spans="19:20">
      <c r="S767" t="s">
        <v>851</v>
      </c>
      <c r="T767" t="s">
        <v>1457</v>
      </c>
    </row>
    <row r="768" spans="19:20">
      <c r="S768" t="s">
        <v>1670</v>
      </c>
      <c r="T768" t="s">
        <v>152</v>
      </c>
    </row>
    <row r="769" spans="19:20">
      <c r="S769" t="s">
        <v>852</v>
      </c>
      <c r="T769" t="s">
        <v>152</v>
      </c>
    </row>
    <row r="770" spans="19:20">
      <c r="S770" t="s">
        <v>853</v>
      </c>
      <c r="T770" t="s">
        <v>181</v>
      </c>
    </row>
    <row r="771" spans="19:20">
      <c r="S771" t="s">
        <v>855</v>
      </c>
      <c r="T771" t="s">
        <v>181</v>
      </c>
    </row>
    <row r="772" spans="19:20">
      <c r="S772" t="s">
        <v>856</v>
      </c>
      <c r="T772" t="s">
        <v>251</v>
      </c>
    </row>
    <row r="773" spans="19:20">
      <c r="S773" t="s">
        <v>1671</v>
      </c>
      <c r="T773" t="s">
        <v>628</v>
      </c>
    </row>
    <row r="774" spans="19:20">
      <c r="S774" t="s">
        <v>857</v>
      </c>
      <c r="T774" t="s">
        <v>1152</v>
      </c>
    </row>
    <row r="775" spans="19:20">
      <c r="S775" t="s">
        <v>859</v>
      </c>
      <c r="T775" t="s">
        <v>1152</v>
      </c>
    </row>
    <row r="776" spans="19:20">
      <c r="S776" t="s">
        <v>860</v>
      </c>
      <c r="T776" t="s">
        <v>1152</v>
      </c>
    </row>
    <row r="777" spans="19:20">
      <c r="S777" t="s">
        <v>861</v>
      </c>
      <c r="T777" t="s">
        <v>461</v>
      </c>
    </row>
    <row r="778" spans="19:20">
      <c r="S778" t="s">
        <v>862</v>
      </c>
      <c r="T778" t="s">
        <v>461</v>
      </c>
    </row>
    <row r="779" spans="19:20">
      <c r="S779" t="s">
        <v>863</v>
      </c>
      <c r="T779" t="s">
        <v>1186</v>
      </c>
    </row>
    <row r="780" spans="19:20">
      <c r="S780" t="s">
        <v>864</v>
      </c>
      <c r="T780" t="s">
        <v>1186</v>
      </c>
    </row>
    <row r="781" spans="19:20">
      <c r="S781" t="s">
        <v>865</v>
      </c>
      <c r="T781" t="s">
        <v>551</v>
      </c>
    </row>
    <row r="782" spans="19:20">
      <c r="S782" t="s">
        <v>867</v>
      </c>
      <c r="T782" t="s">
        <v>551</v>
      </c>
    </row>
    <row r="783" spans="19:20">
      <c r="S783" t="s">
        <v>868</v>
      </c>
      <c r="T783" t="s">
        <v>850</v>
      </c>
    </row>
    <row r="784" spans="19:20">
      <c r="S784" t="s">
        <v>869</v>
      </c>
      <c r="T784" t="s">
        <v>951</v>
      </c>
    </row>
    <row r="785" spans="19:20">
      <c r="S785" t="s">
        <v>870</v>
      </c>
      <c r="T785" t="s">
        <v>924</v>
      </c>
    </row>
    <row r="786" spans="19:20">
      <c r="S786" t="s">
        <v>872</v>
      </c>
      <c r="T786" t="s">
        <v>251</v>
      </c>
    </row>
    <row r="787" spans="19:20">
      <c r="S787" t="s">
        <v>6657</v>
      </c>
      <c r="T787" t="s">
        <v>251</v>
      </c>
    </row>
    <row r="788" spans="19:20">
      <c r="S788" t="s">
        <v>6658</v>
      </c>
      <c r="T788" t="s">
        <v>251</v>
      </c>
    </row>
    <row r="789" spans="19:20">
      <c r="S789" t="s">
        <v>6769</v>
      </c>
      <c r="T789" t="s">
        <v>251</v>
      </c>
    </row>
    <row r="790" spans="19:20">
      <c r="S790" t="s">
        <v>873</v>
      </c>
      <c r="T790" t="s">
        <v>251</v>
      </c>
    </row>
    <row r="791" spans="19:20">
      <c r="S791" t="s">
        <v>874</v>
      </c>
      <c r="T791" t="s">
        <v>251</v>
      </c>
    </row>
    <row r="792" spans="19:20">
      <c r="S792" t="s">
        <v>875</v>
      </c>
      <c r="T792" t="s">
        <v>196</v>
      </c>
    </row>
    <row r="793" spans="19:20">
      <c r="S793" t="s">
        <v>876</v>
      </c>
      <c r="T793" t="s">
        <v>196</v>
      </c>
    </row>
    <row r="794" spans="19:20">
      <c r="S794" t="s">
        <v>877</v>
      </c>
      <c r="T794" t="s">
        <v>796</v>
      </c>
    </row>
    <row r="795" spans="19:20">
      <c r="S795" t="s">
        <v>878</v>
      </c>
      <c r="T795" t="s">
        <v>796</v>
      </c>
    </row>
    <row r="796" spans="19:20">
      <c r="S796" t="s">
        <v>879</v>
      </c>
      <c r="T796" t="s">
        <v>951</v>
      </c>
    </row>
    <row r="797" spans="19:20">
      <c r="S797" t="s">
        <v>880</v>
      </c>
      <c r="T797" t="s">
        <v>951</v>
      </c>
    </row>
    <row r="798" spans="19:20">
      <c r="S798" t="s">
        <v>881</v>
      </c>
      <c r="T798" t="s">
        <v>1528</v>
      </c>
    </row>
    <row r="799" spans="19:20">
      <c r="S799" t="s">
        <v>882</v>
      </c>
      <c r="T799" t="s">
        <v>1528</v>
      </c>
    </row>
    <row r="800" spans="19:20">
      <c r="S800" t="s">
        <v>883</v>
      </c>
      <c r="T800" t="s">
        <v>938</v>
      </c>
    </row>
    <row r="801" spans="19:20">
      <c r="S801" t="s">
        <v>884</v>
      </c>
      <c r="T801" t="s">
        <v>884</v>
      </c>
    </row>
    <row r="802" spans="19:20">
      <c r="S802" t="s">
        <v>886</v>
      </c>
      <c r="T802" t="s">
        <v>924</v>
      </c>
    </row>
    <row r="803" spans="19:20">
      <c r="S803" t="s">
        <v>887</v>
      </c>
      <c r="T803" t="s">
        <v>251</v>
      </c>
    </row>
    <row r="804" spans="19:20">
      <c r="S804" t="s">
        <v>889</v>
      </c>
      <c r="T804" t="s">
        <v>251</v>
      </c>
    </row>
    <row r="805" spans="19:20">
      <c r="S805" t="s">
        <v>891</v>
      </c>
      <c r="T805" t="s">
        <v>251</v>
      </c>
    </row>
    <row r="806" spans="19:20">
      <c r="S806" t="s">
        <v>892</v>
      </c>
      <c r="T806" t="s">
        <v>251</v>
      </c>
    </row>
    <row r="807" spans="19:20">
      <c r="S807" t="s">
        <v>893</v>
      </c>
      <c r="T807" t="s">
        <v>1186</v>
      </c>
    </row>
    <row r="808" spans="19:20">
      <c r="S808" t="s">
        <v>895</v>
      </c>
      <c r="T808" t="s">
        <v>181</v>
      </c>
    </row>
    <row r="809" spans="19:20">
      <c r="S809" t="s">
        <v>897</v>
      </c>
      <c r="T809" t="s">
        <v>181</v>
      </c>
    </row>
    <row r="810" spans="19:20">
      <c r="S810" t="s">
        <v>898</v>
      </c>
      <c r="T810" t="s">
        <v>951</v>
      </c>
    </row>
    <row r="811" spans="19:20">
      <c r="S811" t="s">
        <v>899</v>
      </c>
      <c r="T811" t="s">
        <v>101</v>
      </c>
    </row>
    <row r="812" spans="19:20">
      <c r="S812" t="s">
        <v>901</v>
      </c>
      <c r="T812" t="s">
        <v>101</v>
      </c>
    </row>
    <row r="813" spans="19:20">
      <c r="S813" t="s">
        <v>902</v>
      </c>
      <c r="T813" t="s">
        <v>251</v>
      </c>
    </row>
    <row r="814" spans="19:20">
      <c r="S814" t="s">
        <v>904</v>
      </c>
      <c r="T814" t="s">
        <v>251</v>
      </c>
    </row>
    <row r="815" spans="19:20">
      <c r="S815" t="s">
        <v>905</v>
      </c>
      <c r="T815" t="s">
        <v>152</v>
      </c>
    </row>
    <row r="816" spans="19:20">
      <c r="S816" t="s">
        <v>906</v>
      </c>
      <c r="T816" t="s">
        <v>61</v>
      </c>
    </row>
    <row r="817" spans="19:20">
      <c r="S817" t="s">
        <v>907</v>
      </c>
      <c r="T817" t="s">
        <v>551</v>
      </c>
    </row>
    <row r="818" spans="19:20">
      <c r="S818" t="s">
        <v>909</v>
      </c>
      <c r="T818" t="s">
        <v>551</v>
      </c>
    </row>
    <row r="819" spans="19:20">
      <c r="S819" t="s">
        <v>910</v>
      </c>
      <c r="T819" t="s">
        <v>910</v>
      </c>
    </row>
    <row r="820" spans="19:20">
      <c r="S820" t="s">
        <v>912</v>
      </c>
      <c r="T820" t="s">
        <v>358</v>
      </c>
    </row>
    <row r="821" spans="19:20">
      <c r="S821" t="s">
        <v>920</v>
      </c>
      <c r="T821" t="s">
        <v>143</v>
      </c>
    </row>
    <row r="822" spans="19:20">
      <c r="S822" t="s">
        <v>921</v>
      </c>
      <c r="T822" t="s">
        <v>143</v>
      </c>
    </row>
    <row r="823" spans="19:20">
      <c r="S823" t="s">
        <v>1672</v>
      </c>
      <c r="T823" t="s">
        <v>628</v>
      </c>
    </row>
    <row r="824" spans="19:20">
      <c r="S824" t="s">
        <v>922</v>
      </c>
      <c r="T824" t="s">
        <v>628</v>
      </c>
    </row>
    <row r="825" spans="19:20">
      <c r="S825" t="s">
        <v>923</v>
      </c>
      <c r="T825" t="s">
        <v>924</v>
      </c>
    </row>
    <row r="826" spans="19:20">
      <c r="S826" t="s">
        <v>924</v>
      </c>
      <c r="T826" t="s">
        <v>924</v>
      </c>
    </row>
    <row r="827" spans="19:20">
      <c r="S827" t="s">
        <v>926</v>
      </c>
      <c r="T827" t="s">
        <v>1186</v>
      </c>
    </row>
    <row r="828" spans="19:20">
      <c r="S828" t="s">
        <v>927</v>
      </c>
      <c r="T828" t="s">
        <v>1186</v>
      </c>
    </row>
    <row r="829" spans="19:20">
      <c r="S829" t="s">
        <v>1673</v>
      </c>
      <c r="T829" t="s">
        <v>951</v>
      </c>
    </row>
    <row r="830" spans="19:20">
      <c r="S830" t="s">
        <v>928</v>
      </c>
      <c r="T830" t="s">
        <v>951</v>
      </c>
    </row>
    <row r="831" spans="19:20">
      <c r="S831" t="s">
        <v>930</v>
      </c>
      <c r="T831" t="s">
        <v>951</v>
      </c>
    </row>
    <row r="832" spans="19:20">
      <c r="S832" t="s">
        <v>931</v>
      </c>
      <c r="T832" t="s">
        <v>951</v>
      </c>
    </row>
    <row r="833" spans="19:20">
      <c r="S833" t="s">
        <v>932</v>
      </c>
      <c r="T833" t="s">
        <v>385</v>
      </c>
    </row>
    <row r="834" spans="19:20">
      <c r="S834" t="s">
        <v>933</v>
      </c>
      <c r="T834" t="s">
        <v>522</v>
      </c>
    </row>
    <row r="835" spans="19:20">
      <c r="S835" t="s">
        <v>1674</v>
      </c>
      <c r="T835" t="s">
        <v>938</v>
      </c>
    </row>
    <row r="836" spans="19:20">
      <c r="S836" t="s">
        <v>934</v>
      </c>
      <c r="T836" t="s">
        <v>938</v>
      </c>
    </row>
    <row r="837" spans="19:20">
      <c r="S837" t="s">
        <v>936</v>
      </c>
      <c r="T837" t="s">
        <v>938</v>
      </c>
    </row>
    <row r="838" spans="19:20">
      <c r="S838" t="s">
        <v>937</v>
      </c>
      <c r="T838" t="s">
        <v>938</v>
      </c>
    </row>
    <row r="839" spans="19:20">
      <c r="S839" t="s">
        <v>938</v>
      </c>
      <c r="T839" t="s">
        <v>938</v>
      </c>
    </row>
    <row r="840" spans="19:20">
      <c r="S840" t="s">
        <v>939</v>
      </c>
      <c r="T840" t="s">
        <v>938</v>
      </c>
    </row>
    <row r="841" spans="19:20">
      <c r="S841" t="s">
        <v>940</v>
      </c>
      <c r="T841" t="s">
        <v>938</v>
      </c>
    </row>
    <row r="842" spans="19:20">
      <c r="S842" t="s">
        <v>942</v>
      </c>
      <c r="T842" t="s">
        <v>143</v>
      </c>
    </row>
    <row r="843" spans="19:20">
      <c r="S843" t="s">
        <v>944</v>
      </c>
      <c r="T843" t="s">
        <v>143</v>
      </c>
    </row>
    <row r="844" spans="19:20">
      <c r="S844" t="s">
        <v>945</v>
      </c>
      <c r="T844" t="s">
        <v>1152</v>
      </c>
    </row>
    <row r="845" spans="19:20">
      <c r="S845" t="s">
        <v>946</v>
      </c>
      <c r="T845" t="s">
        <v>1152</v>
      </c>
    </row>
    <row r="846" spans="19:20">
      <c r="S846" t="s">
        <v>947</v>
      </c>
      <c r="T846" t="s">
        <v>951</v>
      </c>
    </row>
    <row r="847" spans="19:20">
      <c r="S847" t="s">
        <v>949</v>
      </c>
      <c r="T847" t="s">
        <v>951</v>
      </c>
    </row>
    <row r="848" spans="19:20">
      <c r="S848" t="s">
        <v>950</v>
      </c>
      <c r="T848" t="s">
        <v>951</v>
      </c>
    </row>
    <row r="849" spans="19:20">
      <c r="S849" t="s">
        <v>951</v>
      </c>
      <c r="T849" t="s">
        <v>951</v>
      </c>
    </row>
    <row r="850" spans="19:20">
      <c r="S850" t="s">
        <v>1675</v>
      </c>
      <c r="T850" t="s">
        <v>850</v>
      </c>
    </row>
    <row r="851" spans="19:20">
      <c r="S851" t="s">
        <v>952</v>
      </c>
      <c r="T851" t="s">
        <v>952</v>
      </c>
    </row>
    <row r="852" spans="19:20">
      <c r="S852" t="s">
        <v>955</v>
      </c>
      <c r="T852" t="s">
        <v>181</v>
      </c>
    </row>
    <row r="853" spans="19:20">
      <c r="S853" t="s">
        <v>1676</v>
      </c>
      <c r="T853" t="s">
        <v>12</v>
      </c>
    </row>
    <row r="854" spans="19:20">
      <c r="S854" t="s">
        <v>956</v>
      </c>
      <c r="T854" t="s">
        <v>181</v>
      </c>
    </row>
    <row r="855" spans="19:20">
      <c r="S855" t="s">
        <v>957</v>
      </c>
      <c r="T855" t="s">
        <v>181</v>
      </c>
    </row>
    <row r="856" spans="19:20">
      <c r="S856" t="s">
        <v>958</v>
      </c>
      <c r="T856" t="s">
        <v>143</v>
      </c>
    </row>
    <row r="857" spans="19:20">
      <c r="S857" t="s">
        <v>960</v>
      </c>
      <c r="T857" t="s">
        <v>143</v>
      </c>
    </row>
    <row r="858" spans="19:20">
      <c r="S858" t="s">
        <v>961</v>
      </c>
      <c r="T858" t="s">
        <v>963</v>
      </c>
    </row>
    <row r="859" spans="19:20">
      <c r="S859" t="s">
        <v>1677</v>
      </c>
      <c r="T859" t="s">
        <v>963</v>
      </c>
    </row>
    <row r="860" spans="19:20">
      <c r="S860" t="s">
        <v>963</v>
      </c>
      <c r="T860" t="s">
        <v>963</v>
      </c>
    </row>
    <row r="861" spans="19:20">
      <c r="S861" t="s">
        <v>964</v>
      </c>
      <c r="T861" t="s">
        <v>850</v>
      </c>
    </row>
    <row r="862" spans="19:20">
      <c r="S862" t="s">
        <v>965</v>
      </c>
      <c r="T862" t="s">
        <v>850</v>
      </c>
    </row>
    <row r="863" spans="19:20">
      <c r="S863" t="s">
        <v>966</v>
      </c>
      <c r="T863" t="s">
        <v>910</v>
      </c>
    </row>
    <row r="864" spans="19:20">
      <c r="S864" t="s">
        <v>967</v>
      </c>
      <c r="T864" t="s">
        <v>1152</v>
      </c>
    </row>
    <row r="865" spans="19:20">
      <c r="S865" t="s">
        <v>968</v>
      </c>
      <c r="T865" t="s">
        <v>339</v>
      </c>
    </row>
    <row r="866" spans="19:20">
      <c r="S866" t="s">
        <v>969</v>
      </c>
      <c r="T866" t="s">
        <v>339</v>
      </c>
    </row>
    <row r="867" spans="19:20">
      <c r="S867" t="s">
        <v>970</v>
      </c>
      <c r="T867" t="s">
        <v>1528</v>
      </c>
    </row>
    <row r="868" spans="19:20">
      <c r="S868" t="s">
        <v>971</v>
      </c>
      <c r="T868" t="s">
        <v>1528</v>
      </c>
    </row>
    <row r="869" spans="19:20">
      <c r="S869" t="s">
        <v>972</v>
      </c>
      <c r="T869" t="s">
        <v>12</v>
      </c>
    </row>
    <row r="870" spans="19:20">
      <c r="S870" t="s">
        <v>973</v>
      </c>
      <c r="T870" t="s">
        <v>12</v>
      </c>
    </row>
    <row r="871" spans="19:20">
      <c r="S871" t="s">
        <v>974</v>
      </c>
      <c r="T871" t="s">
        <v>143</v>
      </c>
    </row>
    <row r="872" spans="19:20">
      <c r="S872" t="s">
        <v>976</v>
      </c>
      <c r="T872" t="s">
        <v>143</v>
      </c>
    </row>
    <row r="873" spans="19:20">
      <c r="S873" t="s">
        <v>977</v>
      </c>
      <c r="T873" t="s">
        <v>143</v>
      </c>
    </row>
    <row r="874" spans="19:20">
      <c r="S874" t="s">
        <v>978</v>
      </c>
      <c r="T874" t="s">
        <v>796</v>
      </c>
    </row>
    <row r="875" spans="19:20">
      <c r="S875" t="s">
        <v>980</v>
      </c>
      <c r="T875" t="s">
        <v>796</v>
      </c>
    </row>
    <row r="876" spans="19:20">
      <c r="S876" t="s">
        <v>982</v>
      </c>
      <c r="T876" t="s">
        <v>339</v>
      </c>
    </row>
    <row r="877" spans="19:20">
      <c r="S877" t="s">
        <v>983</v>
      </c>
      <c r="T877" t="s">
        <v>339</v>
      </c>
    </row>
    <row r="878" spans="19:20">
      <c r="S878" t="s">
        <v>986</v>
      </c>
      <c r="T878" t="s">
        <v>1186</v>
      </c>
    </row>
    <row r="879" spans="19:20">
      <c r="S879" t="s">
        <v>988</v>
      </c>
      <c r="T879" t="s">
        <v>251</v>
      </c>
    </row>
    <row r="880" spans="19:20">
      <c r="S880" t="s">
        <v>989</v>
      </c>
      <c r="T880" t="s">
        <v>251</v>
      </c>
    </row>
    <row r="881" spans="19:20">
      <c r="S881" t="s">
        <v>1678</v>
      </c>
      <c r="T881" t="s">
        <v>790</v>
      </c>
    </row>
    <row r="882" spans="19:20">
      <c r="S882" t="s">
        <v>990</v>
      </c>
      <c r="T882" t="s">
        <v>790</v>
      </c>
    </row>
    <row r="883" spans="19:20">
      <c r="S883" t="s">
        <v>991</v>
      </c>
      <c r="T883" t="s">
        <v>143</v>
      </c>
    </row>
    <row r="884" spans="19:20">
      <c r="S884" t="s">
        <v>992</v>
      </c>
      <c r="T884" t="s">
        <v>251</v>
      </c>
    </row>
    <row r="885" spans="19:20">
      <c r="S885" t="s">
        <v>993</v>
      </c>
      <c r="T885" t="s">
        <v>251</v>
      </c>
    </row>
    <row r="886" spans="19:20">
      <c r="S886" t="s">
        <v>994</v>
      </c>
      <c r="T886" t="s">
        <v>251</v>
      </c>
    </row>
    <row r="887" spans="19:20">
      <c r="S887" t="s">
        <v>995</v>
      </c>
      <c r="T887" t="s">
        <v>551</v>
      </c>
    </row>
    <row r="888" spans="19:20">
      <c r="S888" t="s">
        <v>997</v>
      </c>
      <c r="T888" t="s">
        <v>551</v>
      </c>
    </row>
    <row r="889" spans="19:20">
      <c r="S889" t="s">
        <v>998</v>
      </c>
      <c r="T889" t="s">
        <v>1528</v>
      </c>
    </row>
    <row r="890" spans="19:20">
      <c r="S890" t="s">
        <v>1000</v>
      </c>
      <c r="T890" t="s">
        <v>1528</v>
      </c>
    </row>
    <row r="891" spans="19:20">
      <c r="S891" t="s">
        <v>1001</v>
      </c>
      <c r="T891" t="s">
        <v>1198</v>
      </c>
    </row>
    <row r="892" spans="19:20">
      <c r="S892" t="s">
        <v>1331</v>
      </c>
      <c r="T892" t="s">
        <v>1198</v>
      </c>
    </row>
    <row r="893" spans="19:20">
      <c r="S893" t="s">
        <v>1003</v>
      </c>
      <c r="T893" t="s">
        <v>1198</v>
      </c>
    </row>
    <row r="894" spans="19:20">
      <c r="S894" t="s">
        <v>1004</v>
      </c>
      <c r="T894" t="s">
        <v>551</v>
      </c>
    </row>
    <row r="895" spans="19:20">
      <c r="S895" t="s">
        <v>1006</v>
      </c>
      <c r="T895" t="s">
        <v>551</v>
      </c>
    </row>
    <row r="896" spans="19:20">
      <c r="S896" t="s">
        <v>1007</v>
      </c>
      <c r="T896" t="s">
        <v>910</v>
      </c>
    </row>
    <row r="897" spans="19:20">
      <c r="S897" t="s">
        <v>1009</v>
      </c>
      <c r="T897" t="s">
        <v>1152</v>
      </c>
    </row>
    <row r="898" spans="19:20">
      <c r="S898" t="s">
        <v>1679</v>
      </c>
      <c r="T898" t="s">
        <v>385</v>
      </c>
    </row>
    <row r="899" spans="19:20">
      <c r="S899" t="s">
        <v>1010</v>
      </c>
      <c r="T899" t="s">
        <v>385</v>
      </c>
    </row>
    <row r="900" spans="19:20">
      <c r="S900" t="s">
        <v>1011</v>
      </c>
      <c r="T900" t="s">
        <v>385</v>
      </c>
    </row>
    <row r="901" spans="19:20">
      <c r="S901" t="s">
        <v>1012</v>
      </c>
      <c r="T901" t="s">
        <v>850</v>
      </c>
    </row>
    <row r="902" spans="19:20">
      <c r="S902" t="s">
        <v>1013</v>
      </c>
      <c r="T902" t="s">
        <v>850</v>
      </c>
    </row>
    <row r="903" spans="19:20">
      <c r="S903" t="s">
        <v>1014</v>
      </c>
      <c r="T903" t="s">
        <v>263</v>
      </c>
    </row>
    <row r="904" spans="19:20">
      <c r="S904" t="s">
        <v>1015</v>
      </c>
      <c r="T904" t="s">
        <v>1017</v>
      </c>
    </row>
    <row r="905" spans="19:20">
      <c r="S905" t="s">
        <v>1017</v>
      </c>
      <c r="T905" t="s">
        <v>1017</v>
      </c>
    </row>
    <row r="906" spans="19:20">
      <c r="S906" t="s">
        <v>1018</v>
      </c>
      <c r="T906" t="s">
        <v>61</v>
      </c>
    </row>
    <row r="907" spans="19:20">
      <c r="S907" t="s">
        <v>1020</v>
      </c>
      <c r="T907" t="s">
        <v>61</v>
      </c>
    </row>
    <row r="908" spans="19:20">
      <c r="S908" t="s">
        <v>1021</v>
      </c>
      <c r="T908" t="s">
        <v>251</v>
      </c>
    </row>
    <row r="909" spans="19:20">
      <c r="S909" t="s">
        <v>1022</v>
      </c>
      <c r="T909" t="s">
        <v>551</v>
      </c>
    </row>
    <row r="910" spans="19:20">
      <c r="S910" t="s">
        <v>1024</v>
      </c>
      <c r="T910" t="s">
        <v>551</v>
      </c>
    </row>
    <row r="911" spans="19:20">
      <c r="S911" t="s">
        <v>1025</v>
      </c>
      <c r="T911" t="s">
        <v>61</v>
      </c>
    </row>
    <row r="912" spans="19:20">
      <c r="S912" t="s">
        <v>1027</v>
      </c>
      <c r="T912" t="s">
        <v>61</v>
      </c>
    </row>
    <row r="913" spans="19:20">
      <c r="S913" t="s">
        <v>1028</v>
      </c>
      <c r="T913" t="s">
        <v>251</v>
      </c>
    </row>
    <row r="914" spans="19:20">
      <c r="S914" t="s">
        <v>1029</v>
      </c>
      <c r="T914" t="s">
        <v>1457</v>
      </c>
    </row>
    <row r="915" spans="19:20">
      <c r="S915" t="s">
        <v>1030</v>
      </c>
      <c r="T915" t="s">
        <v>61</v>
      </c>
    </row>
    <row r="916" spans="19:20">
      <c r="S916" t="s">
        <v>1031</v>
      </c>
      <c r="T916" t="s">
        <v>181</v>
      </c>
    </row>
    <row r="917" spans="19:20">
      <c r="S917" t="s">
        <v>1033</v>
      </c>
      <c r="T917" t="s">
        <v>181</v>
      </c>
    </row>
    <row r="918" spans="19:20">
      <c r="S918" t="s">
        <v>1037</v>
      </c>
      <c r="T918" t="s">
        <v>636</v>
      </c>
    </row>
    <row r="919" spans="19:20">
      <c r="S919" t="s">
        <v>1039</v>
      </c>
      <c r="T919" t="s">
        <v>636</v>
      </c>
    </row>
    <row r="920" spans="19:20">
      <c r="S920" t="s">
        <v>1034</v>
      </c>
      <c r="T920" t="s">
        <v>1152</v>
      </c>
    </row>
    <row r="921" spans="19:20">
      <c r="S921" t="s">
        <v>1036</v>
      </c>
      <c r="T921" t="s">
        <v>1152</v>
      </c>
    </row>
    <row r="922" spans="19:20">
      <c r="S922" t="s">
        <v>1680</v>
      </c>
      <c r="T922" t="s">
        <v>358</v>
      </c>
    </row>
    <row r="923" spans="19:20">
      <c r="S923" t="s">
        <v>1040</v>
      </c>
      <c r="T923" t="s">
        <v>358</v>
      </c>
    </row>
    <row r="924" spans="19:20">
      <c r="S924" t="s">
        <v>1041</v>
      </c>
      <c r="T924" t="s">
        <v>636</v>
      </c>
    </row>
    <row r="925" spans="19:20">
      <c r="S925" t="s">
        <v>1042</v>
      </c>
      <c r="T925" t="s">
        <v>636</v>
      </c>
    </row>
    <row r="926" spans="19:20">
      <c r="S926" t="s">
        <v>1681</v>
      </c>
      <c r="T926" t="s">
        <v>522</v>
      </c>
    </row>
    <row r="927" spans="19:20">
      <c r="S927" t="s">
        <v>1682</v>
      </c>
      <c r="T927" t="s">
        <v>522</v>
      </c>
    </row>
    <row r="928" spans="19:20">
      <c r="S928" t="s">
        <v>1043</v>
      </c>
      <c r="T928" t="s">
        <v>522</v>
      </c>
    </row>
    <row r="929" spans="19:20">
      <c r="S929" t="s">
        <v>1044</v>
      </c>
      <c r="T929" t="s">
        <v>251</v>
      </c>
    </row>
    <row r="930" spans="19:20">
      <c r="S930" t="s">
        <v>1046</v>
      </c>
      <c r="T930" t="s">
        <v>251</v>
      </c>
    </row>
    <row r="931" spans="19:20">
      <c r="S931" t="s">
        <v>1047</v>
      </c>
      <c r="T931" t="s">
        <v>1528</v>
      </c>
    </row>
    <row r="932" spans="19:20">
      <c r="S932" t="s">
        <v>1048</v>
      </c>
      <c r="T932" t="s">
        <v>1528</v>
      </c>
    </row>
    <row r="933" spans="19:20">
      <c r="S933" t="s">
        <v>1049</v>
      </c>
      <c r="T933" t="s">
        <v>1186</v>
      </c>
    </row>
    <row r="934" spans="19:20">
      <c r="S934" t="s">
        <v>1050</v>
      </c>
      <c r="T934" t="s">
        <v>1186</v>
      </c>
    </row>
    <row r="935" spans="19:20">
      <c r="S935" t="s">
        <v>1051</v>
      </c>
      <c r="T935" t="s">
        <v>1186</v>
      </c>
    </row>
    <row r="936" spans="19:20">
      <c r="S936" t="s">
        <v>1052</v>
      </c>
      <c r="T936" t="s">
        <v>1528</v>
      </c>
    </row>
    <row r="937" spans="19:20">
      <c r="S937" t="s">
        <v>1054</v>
      </c>
      <c r="T937" t="s">
        <v>1528</v>
      </c>
    </row>
    <row r="938" spans="19:20">
      <c r="S938" t="s">
        <v>1055</v>
      </c>
      <c r="T938" t="s">
        <v>251</v>
      </c>
    </row>
    <row r="939" spans="19:20">
      <c r="S939" t="s">
        <v>1683</v>
      </c>
      <c r="T939" t="s">
        <v>251</v>
      </c>
    </row>
    <row r="940" spans="19:20">
      <c r="S940" t="s">
        <v>1057</v>
      </c>
      <c r="T940" t="s">
        <v>263</v>
      </c>
    </row>
    <row r="941" spans="19:20">
      <c r="S941" t="s">
        <v>1058</v>
      </c>
      <c r="T941" t="s">
        <v>263</v>
      </c>
    </row>
    <row r="942" spans="19:20">
      <c r="S942" t="s">
        <v>1059</v>
      </c>
      <c r="T942" t="s">
        <v>551</v>
      </c>
    </row>
    <row r="943" spans="19:20">
      <c r="S943" t="s">
        <v>1061</v>
      </c>
      <c r="T943" t="s">
        <v>551</v>
      </c>
    </row>
    <row r="944" spans="19:20">
      <c r="S944" t="s">
        <v>1062</v>
      </c>
      <c r="T944" t="s">
        <v>1186</v>
      </c>
    </row>
    <row r="945" spans="19:20">
      <c r="S945" t="s">
        <v>1684</v>
      </c>
      <c r="T945" t="s">
        <v>1186</v>
      </c>
    </row>
    <row r="946" spans="19:20">
      <c r="S946" t="s">
        <v>1063</v>
      </c>
      <c r="T946" t="s">
        <v>1457</v>
      </c>
    </row>
    <row r="947" spans="19:20">
      <c r="S947" t="s">
        <v>1064</v>
      </c>
      <c r="T947" t="s">
        <v>1457</v>
      </c>
    </row>
    <row r="948" spans="19:20">
      <c r="S948" t="s">
        <v>1065</v>
      </c>
      <c r="T948" t="s">
        <v>1186</v>
      </c>
    </row>
    <row r="949" spans="19:20">
      <c r="S949" t="s">
        <v>1067</v>
      </c>
      <c r="T949" t="s">
        <v>1186</v>
      </c>
    </row>
    <row r="950" spans="19:20">
      <c r="S950" t="s">
        <v>1068</v>
      </c>
      <c r="T950" t="s">
        <v>1152</v>
      </c>
    </row>
    <row r="951" spans="19:20">
      <c r="S951" t="s">
        <v>1069</v>
      </c>
      <c r="T951" t="s">
        <v>1152</v>
      </c>
    </row>
    <row r="952" spans="19:20">
      <c r="S952" t="s">
        <v>1070</v>
      </c>
      <c r="T952" t="s">
        <v>790</v>
      </c>
    </row>
    <row r="953" spans="19:20">
      <c r="S953" t="s">
        <v>1072</v>
      </c>
      <c r="T953" t="s">
        <v>790</v>
      </c>
    </row>
    <row r="954" spans="19:20">
      <c r="S954" t="s">
        <v>1073</v>
      </c>
      <c r="T954" t="s">
        <v>1457</v>
      </c>
    </row>
    <row r="955" spans="19:20">
      <c r="S955" t="s">
        <v>1075</v>
      </c>
      <c r="T955" t="s">
        <v>1457</v>
      </c>
    </row>
    <row r="956" spans="19:20">
      <c r="S956" t="s">
        <v>1076</v>
      </c>
      <c r="T956" t="s">
        <v>1152</v>
      </c>
    </row>
    <row r="957" spans="19:20">
      <c r="S957" t="s">
        <v>1078</v>
      </c>
      <c r="T957" t="s">
        <v>1152</v>
      </c>
    </row>
    <row r="958" spans="19:20">
      <c r="S958" t="s">
        <v>1079</v>
      </c>
      <c r="T958" t="s">
        <v>1152</v>
      </c>
    </row>
    <row r="959" spans="19:20">
      <c r="S959" t="s">
        <v>1122</v>
      </c>
      <c r="T959" t="s">
        <v>181</v>
      </c>
    </row>
    <row r="960" spans="19:20">
      <c r="S960" t="s">
        <v>1080</v>
      </c>
      <c r="T960" t="s">
        <v>181</v>
      </c>
    </row>
    <row r="961" spans="19:20">
      <c r="S961" t="s">
        <v>1081</v>
      </c>
      <c r="T961" t="s">
        <v>1152</v>
      </c>
    </row>
    <row r="962" spans="19:20">
      <c r="S962" t="s">
        <v>1082</v>
      </c>
      <c r="T962" t="s">
        <v>181</v>
      </c>
    </row>
    <row r="963" spans="19:20">
      <c r="S963" t="s">
        <v>1084</v>
      </c>
      <c r="T963" t="s">
        <v>196</v>
      </c>
    </row>
    <row r="964" spans="19:20">
      <c r="S964" t="s">
        <v>1086</v>
      </c>
      <c r="T964" t="s">
        <v>196</v>
      </c>
    </row>
    <row r="965" spans="19:20">
      <c r="S965" t="s">
        <v>1087</v>
      </c>
      <c r="T965" t="s">
        <v>1457</v>
      </c>
    </row>
    <row r="966" spans="19:20">
      <c r="S966" t="s">
        <v>1088</v>
      </c>
      <c r="T966" t="s">
        <v>1457</v>
      </c>
    </row>
    <row r="967" spans="19:20">
      <c r="S967" t="s">
        <v>1089</v>
      </c>
      <c r="T967" t="s">
        <v>152</v>
      </c>
    </row>
    <row r="968" spans="19:20">
      <c r="S968" t="s">
        <v>1091</v>
      </c>
      <c r="T968" t="s">
        <v>1091</v>
      </c>
    </row>
    <row r="969" spans="19:20">
      <c r="S969" t="s">
        <v>1092</v>
      </c>
      <c r="T969" t="s">
        <v>1091</v>
      </c>
    </row>
    <row r="970" spans="19:20">
      <c r="S970" t="s">
        <v>1093</v>
      </c>
      <c r="T970" t="s">
        <v>1198</v>
      </c>
    </row>
    <row r="971" spans="19:20">
      <c r="S971" t="s">
        <v>1095</v>
      </c>
      <c r="T971" t="s">
        <v>1198</v>
      </c>
    </row>
    <row r="972" spans="19:20">
      <c r="S972" t="s">
        <v>1096</v>
      </c>
      <c r="T972" t="s">
        <v>1198</v>
      </c>
    </row>
    <row r="973" spans="19:20">
      <c r="S973" t="s">
        <v>1685</v>
      </c>
      <c r="T973" t="s">
        <v>924</v>
      </c>
    </row>
    <row r="974" spans="19:20">
      <c r="S974" t="s">
        <v>1686</v>
      </c>
      <c r="T974" t="s">
        <v>152</v>
      </c>
    </row>
    <row r="975" spans="19:20">
      <c r="S975" t="s">
        <v>1097</v>
      </c>
      <c r="T975" t="s">
        <v>152</v>
      </c>
    </row>
    <row r="976" spans="19:20">
      <c r="S976" t="s">
        <v>1687</v>
      </c>
      <c r="T976" t="s">
        <v>152</v>
      </c>
    </row>
    <row r="977" spans="19:20">
      <c r="S977" t="s">
        <v>1100</v>
      </c>
      <c r="T977" t="s">
        <v>181</v>
      </c>
    </row>
    <row r="978" spans="19:20">
      <c r="S978" t="s">
        <v>1688</v>
      </c>
      <c r="T978" t="s">
        <v>181</v>
      </c>
    </row>
    <row r="979" spans="19:20">
      <c r="S979" t="s">
        <v>1101</v>
      </c>
      <c r="T979" t="s">
        <v>636</v>
      </c>
    </row>
    <row r="980" spans="19:20">
      <c r="S980" t="s">
        <v>1102</v>
      </c>
      <c r="T980" t="s">
        <v>636</v>
      </c>
    </row>
    <row r="981" spans="19:20">
      <c r="S981" t="s">
        <v>1103</v>
      </c>
      <c r="T981" t="s">
        <v>1457</v>
      </c>
    </row>
    <row r="982" spans="19:20">
      <c r="S982" t="s">
        <v>1104</v>
      </c>
      <c r="T982" t="s">
        <v>1457</v>
      </c>
    </row>
    <row r="983" spans="19:20">
      <c r="S983" t="s">
        <v>1105</v>
      </c>
      <c r="T983" t="s">
        <v>152</v>
      </c>
    </row>
    <row r="984" spans="19:20">
      <c r="S984" t="s">
        <v>1106</v>
      </c>
      <c r="T984" t="s">
        <v>152</v>
      </c>
    </row>
    <row r="985" spans="19:20">
      <c r="S985" t="s">
        <v>1108</v>
      </c>
      <c r="T985" t="s">
        <v>1017</v>
      </c>
    </row>
    <row r="986" spans="19:20">
      <c r="S986" t="s">
        <v>1110</v>
      </c>
      <c r="T986" t="s">
        <v>1017</v>
      </c>
    </row>
    <row r="987" spans="19:20">
      <c r="S987" t="s">
        <v>1111</v>
      </c>
      <c r="T987" t="s">
        <v>1528</v>
      </c>
    </row>
    <row r="988" spans="19:20">
      <c r="S988" t="s">
        <v>1113</v>
      </c>
      <c r="T988" t="s">
        <v>1528</v>
      </c>
    </row>
    <row r="989" spans="19:20">
      <c r="S989" t="s">
        <v>1114</v>
      </c>
      <c r="T989" t="s">
        <v>1457</v>
      </c>
    </row>
    <row r="990" spans="19:20">
      <c r="S990" t="s">
        <v>1115</v>
      </c>
      <c r="T990" t="s">
        <v>1457</v>
      </c>
    </row>
    <row r="991" spans="19:20">
      <c r="S991" t="s">
        <v>1116</v>
      </c>
      <c r="T991" t="s">
        <v>951</v>
      </c>
    </row>
    <row r="992" spans="19:20">
      <c r="S992" t="s">
        <v>1118</v>
      </c>
      <c r="T992" t="s">
        <v>951</v>
      </c>
    </row>
    <row r="993" spans="19:20">
      <c r="S993" t="s">
        <v>1119</v>
      </c>
      <c r="T993" t="s">
        <v>951</v>
      </c>
    </row>
    <row r="994" spans="19:20">
      <c r="S994" t="s">
        <v>1120</v>
      </c>
      <c r="T994" t="s">
        <v>951</v>
      </c>
    </row>
    <row r="995" spans="19:20">
      <c r="S995" t="s">
        <v>1121</v>
      </c>
      <c r="T995" t="s">
        <v>605</v>
      </c>
    </row>
    <row r="996" spans="19:20">
      <c r="S996" t="s">
        <v>1123</v>
      </c>
      <c r="T996" t="s">
        <v>924</v>
      </c>
    </row>
    <row r="997" spans="19:20">
      <c r="S997" t="s">
        <v>1124</v>
      </c>
      <c r="T997" t="s">
        <v>1186</v>
      </c>
    </row>
    <row r="998" spans="19:20">
      <c r="S998" t="s">
        <v>1125</v>
      </c>
      <c r="T998" t="s">
        <v>1186</v>
      </c>
    </row>
    <row r="999" spans="19:20">
      <c r="S999" t="s">
        <v>1126</v>
      </c>
      <c r="T999" t="s">
        <v>385</v>
      </c>
    </row>
    <row r="1000" spans="19:20">
      <c r="S1000" t="s">
        <v>1127</v>
      </c>
      <c r="T1000" t="s">
        <v>181</v>
      </c>
    </row>
    <row r="1001" spans="19:20">
      <c r="S1001" t="s">
        <v>1129</v>
      </c>
      <c r="T1001" t="s">
        <v>181</v>
      </c>
    </row>
    <row r="1002" spans="19:20">
      <c r="S1002" t="s">
        <v>1130</v>
      </c>
      <c r="T1002" t="s">
        <v>1198</v>
      </c>
    </row>
    <row r="1003" spans="19:20">
      <c r="S1003" t="s">
        <v>1132</v>
      </c>
      <c r="T1003" t="s">
        <v>1198</v>
      </c>
    </row>
    <row r="1004" spans="19:20">
      <c r="S1004" t="s">
        <v>1133</v>
      </c>
      <c r="T1004" t="s">
        <v>1198</v>
      </c>
    </row>
    <row r="1005" spans="19:20">
      <c r="S1005" t="s">
        <v>1134</v>
      </c>
      <c r="T1005" t="s">
        <v>263</v>
      </c>
    </row>
    <row r="1006" spans="19:20">
      <c r="S1006" t="s">
        <v>1135</v>
      </c>
      <c r="T1006" t="s">
        <v>263</v>
      </c>
    </row>
    <row r="1007" spans="19:20">
      <c r="S1007" t="s">
        <v>1136</v>
      </c>
      <c r="T1007" t="s">
        <v>143</v>
      </c>
    </row>
    <row r="1008" spans="19:20">
      <c r="S1008" t="s">
        <v>1137</v>
      </c>
      <c r="T1008" t="s">
        <v>143</v>
      </c>
    </row>
    <row r="1009" spans="19:20">
      <c r="S1009" t="s">
        <v>1138</v>
      </c>
      <c r="T1009" t="s">
        <v>605</v>
      </c>
    </row>
    <row r="1010" spans="19:20">
      <c r="S1010" t="s">
        <v>1140</v>
      </c>
      <c r="T1010" t="s">
        <v>605</v>
      </c>
    </row>
    <row r="1011" spans="19:20">
      <c r="S1011" t="s">
        <v>1141</v>
      </c>
      <c r="T1011" t="s">
        <v>1017</v>
      </c>
    </row>
    <row r="1012" spans="19:20">
      <c r="S1012" t="s">
        <v>1143</v>
      </c>
      <c r="T1012" t="s">
        <v>1017</v>
      </c>
    </row>
    <row r="1013" spans="19:20">
      <c r="S1013" t="s">
        <v>1144</v>
      </c>
      <c r="T1013" t="s">
        <v>414</v>
      </c>
    </row>
    <row r="1014" spans="19:20">
      <c r="S1014" t="s">
        <v>1145</v>
      </c>
      <c r="T1014" t="s">
        <v>152</v>
      </c>
    </row>
    <row r="1015" spans="19:20">
      <c r="S1015" t="s">
        <v>1146</v>
      </c>
      <c r="T1015" t="s">
        <v>152</v>
      </c>
    </row>
    <row r="1016" spans="19:20">
      <c r="S1016" t="s">
        <v>1147</v>
      </c>
      <c r="T1016" t="s">
        <v>152</v>
      </c>
    </row>
    <row r="1017" spans="19:20">
      <c r="S1017" t="s">
        <v>1148</v>
      </c>
      <c r="T1017" t="s">
        <v>251</v>
      </c>
    </row>
    <row r="1018" spans="19:20">
      <c r="S1018" t="s">
        <v>1149</v>
      </c>
      <c r="T1018" t="s">
        <v>251</v>
      </c>
    </row>
    <row r="1019" spans="19:20">
      <c r="S1019" t="s">
        <v>1150</v>
      </c>
      <c r="T1019" t="s">
        <v>1152</v>
      </c>
    </row>
    <row r="1020" spans="19:20">
      <c r="S1020" t="s">
        <v>1152</v>
      </c>
      <c r="T1020" t="s">
        <v>1152</v>
      </c>
    </row>
    <row r="1021" spans="19:20">
      <c r="S1021" t="s">
        <v>1153</v>
      </c>
      <c r="T1021" t="s">
        <v>251</v>
      </c>
    </row>
    <row r="1022" spans="19:20">
      <c r="S1022" t="s">
        <v>1155</v>
      </c>
      <c r="T1022" t="s">
        <v>251</v>
      </c>
    </row>
    <row r="1023" spans="19:20">
      <c r="S1023" t="s">
        <v>1156</v>
      </c>
      <c r="T1023" t="s">
        <v>1152</v>
      </c>
    </row>
    <row r="1024" spans="19:20">
      <c r="S1024" t="s">
        <v>1158</v>
      </c>
      <c r="T1024" t="s">
        <v>1152</v>
      </c>
    </row>
    <row r="1025" spans="19:20">
      <c r="S1025" t="s">
        <v>1159</v>
      </c>
      <c r="T1025" t="s">
        <v>636</v>
      </c>
    </row>
    <row r="1026" spans="19:20">
      <c r="S1026" t="s">
        <v>1160</v>
      </c>
      <c r="T1026" t="s">
        <v>636</v>
      </c>
    </row>
    <row r="1027" spans="19:20">
      <c r="S1027" t="s">
        <v>1161</v>
      </c>
      <c r="T1027" t="s">
        <v>910</v>
      </c>
    </row>
    <row r="1028" spans="19:20">
      <c r="S1028" t="s">
        <v>1163</v>
      </c>
      <c r="T1028" t="s">
        <v>910</v>
      </c>
    </row>
    <row r="1029" spans="19:20">
      <c r="S1029" t="s">
        <v>1164</v>
      </c>
      <c r="T1029" t="s">
        <v>910</v>
      </c>
    </row>
    <row r="1030" spans="19:20">
      <c r="S1030" t="s">
        <v>1165</v>
      </c>
      <c r="T1030" t="s">
        <v>551</v>
      </c>
    </row>
    <row r="1031" spans="19:20">
      <c r="S1031" t="s">
        <v>1167</v>
      </c>
      <c r="T1031" t="s">
        <v>551</v>
      </c>
    </row>
    <row r="1032" spans="19:20">
      <c r="S1032" t="s">
        <v>1168</v>
      </c>
      <c r="T1032" t="s">
        <v>1152</v>
      </c>
    </row>
    <row r="1033" spans="19:20">
      <c r="S1033" t="s">
        <v>1169</v>
      </c>
      <c r="T1033" t="s">
        <v>1152</v>
      </c>
    </row>
    <row r="1034" spans="19:20">
      <c r="S1034" t="s">
        <v>1170</v>
      </c>
      <c r="T1034" t="s">
        <v>1152</v>
      </c>
    </row>
    <row r="1035" spans="19:20">
      <c r="S1035" t="s">
        <v>1172</v>
      </c>
      <c r="T1035" t="s">
        <v>1152</v>
      </c>
    </row>
    <row r="1036" spans="19:20">
      <c r="S1036" t="s">
        <v>1173</v>
      </c>
      <c r="T1036" t="s">
        <v>1152</v>
      </c>
    </row>
    <row r="1037" spans="19:20">
      <c r="S1037" t="s">
        <v>1174</v>
      </c>
      <c r="T1037" t="s">
        <v>251</v>
      </c>
    </row>
    <row r="1038" spans="19:20">
      <c r="S1038" t="s">
        <v>1176</v>
      </c>
      <c r="T1038" t="s">
        <v>251</v>
      </c>
    </row>
    <row r="1039" spans="19:20">
      <c r="S1039" t="s">
        <v>1177</v>
      </c>
      <c r="T1039" t="s">
        <v>251</v>
      </c>
    </row>
    <row r="1040" spans="19:20">
      <c r="S1040" t="s">
        <v>1178</v>
      </c>
      <c r="T1040" t="s">
        <v>1186</v>
      </c>
    </row>
    <row r="1041" spans="19:20">
      <c r="S1041" t="s">
        <v>1180</v>
      </c>
      <c r="T1041" t="s">
        <v>1186</v>
      </c>
    </row>
    <row r="1042" spans="19:20">
      <c r="S1042" t="s">
        <v>1181</v>
      </c>
      <c r="T1042" t="s">
        <v>1186</v>
      </c>
    </row>
    <row r="1043" spans="19:20">
      <c r="S1043" t="s">
        <v>1182</v>
      </c>
      <c r="T1043" t="s">
        <v>1186</v>
      </c>
    </row>
    <row r="1044" spans="19:20">
      <c r="S1044" t="s">
        <v>1183</v>
      </c>
      <c r="T1044" t="s">
        <v>358</v>
      </c>
    </row>
    <row r="1045" spans="19:20">
      <c r="S1045" t="s">
        <v>1186</v>
      </c>
      <c r="T1045" t="s">
        <v>1186</v>
      </c>
    </row>
    <row r="1046" spans="19:20">
      <c r="S1046" t="s">
        <v>1188</v>
      </c>
      <c r="T1046" t="s">
        <v>251</v>
      </c>
    </row>
    <row r="1047" spans="19:20">
      <c r="S1047" t="s">
        <v>1189</v>
      </c>
      <c r="T1047" t="s">
        <v>251</v>
      </c>
    </row>
    <row r="1048" spans="19:20">
      <c r="S1048" t="s">
        <v>1689</v>
      </c>
      <c r="T1048" t="s">
        <v>12</v>
      </c>
    </row>
    <row r="1049" spans="19:20">
      <c r="S1049" t="s">
        <v>1190</v>
      </c>
      <c r="T1049" t="s">
        <v>12</v>
      </c>
    </row>
    <row r="1050" spans="19:20">
      <c r="S1050" t="s">
        <v>1191</v>
      </c>
      <c r="T1050" t="s">
        <v>12</v>
      </c>
    </row>
    <row r="1051" spans="19:20">
      <c r="S1051" t="s">
        <v>1192</v>
      </c>
      <c r="T1051" t="s">
        <v>12</v>
      </c>
    </row>
    <row r="1052" spans="19:20">
      <c r="S1052" t="s">
        <v>1690</v>
      </c>
      <c r="T1052" t="s">
        <v>461</v>
      </c>
    </row>
    <row r="1053" spans="19:20">
      <c r="S1053" t="s">
        <v>1193</v>
      </c>
      <c r="T1053" t="s">
        <v>551</v>
      </c>
    </row>
    <row r="1054" spans="19:20">
      <c r="S1054" t="s">
        <v>1195</v>
      </c>
      <c r="T1054" t="s">
        <v>551</v>
      </c>
    </row>
    <row r="1055" spans="19:20">
      <c r="S1055" t="s">
        <v>1196</v>
      </c>
      <c r="T1055" t="s">
        <v>1198</v>
      </c>
    </row>
    <row r="1056" spans="19:20">
      <c r="S1056" t="s">
        <v>1198</v>
      </c>
      <c r="T1056" t="s">
        <v>1198</v>
      </c>
    </row>
    <row r="1057" spans="19:20">
      <c r="S1057" t="s">
        <v>1199</v>
      </c>
      <c r="T1057" t="s">
        <v>551</v>
      </c>
    </row>
    <row r="1058" spans="19:20">
      <c r="S1058" t="s">
        <v>1201</v>
      </c>
      <c r="T1058" t="s">
        <v>551</v>
      </c>
    </row>
    <row r="1059" spans="19:20">
      <c r="S1059" t="s">
        <v>1202</v>
      </c>
      <c r="T1059" t="s">
        <v>251</v>
      </c>
    </row>
    <row r="1060" spans="19:20">
      <c r="S1060" t="s">
        <v>1203</v>
      </c>
      <c r="T1060" t="s">
        <v>251</v>
      </c>
    </row>
    <row r="1061" spans="19:20">
      <c r="S1061" t="s">
        <v>1204</v>
      </c>
      <c r="T1061" t="s">
        <v>152</v>
      </c>
    </row>
    <row r="1062" spans="19:20">
      <c r="S1062" t="s">
        <v>1205</v>
      </c>
      <c r="T1062" t="s">
        <v>152</v>
      </c>
    </row>
    <row r="1063" spans="19:20">
      <c r="S1063" t="s">
        <v>1206</v>
      </c>
      <c r="T1063" t="s">
        <v>1186</v>
      </c>
    </row>
    <row r="1064" spans="19:20">
      <c r="S1064" t="s">
        <v>1209</v>
      </c>
      <c r="T1064" t="s">
        <v>251</v>
      </c>
    </row>
    <row r="1065" spans="19:20">
      <c r="S1065" t="s">
        <v>1210</v>
      </c>
      <c r="T1065" t="s">
        <v>152</v>
      </c>
    </row>
    <row r="1066" spans="19:20">
      <c r="S1066" t="s">
        <v>1211</v>
      </c>
      <c r="T1066" t="s">
        <v>181</v>
      </c>
    </row>
    <row r="1067" spans="19:20">
      <c r="S1067" t="s">
        <v>1213</v>
      </c>
      <c r="T1067" t="s">
        <v>181</v>
      </c>
    </row>
    <row r="1068" spans="19:20">
      <c r="S1068" t="s">
        <v>1207</v>
      </c>
      <c r="T1068" t="s">
        <v>1152</v>
      </c>
    </row>
    <row r="1069" spans="19:20">
      <c r="S1069" t="s">
        <v>1208</v>
      </c>
      <c r="T1069" t="s">
        <v>1152</v>
      </c>
    </row>
    <row r="1070" spans="19:20">
      <c r="S1070" t="s">
        <v>1214</v>
      </c>
      <c r="T1070" t="s">
        <v>61</v>
      </c>
    </row>
    <row r="1071" spans="19:20">
      <c r="S1071" t="s">
        <v>1216</v>
      </c>
      <c r="T1071" t="s">
        <v>61</v>
      </c>
    </row>
    <row r="1072" spans="19:20">
      <c r="S1072" t="s">
        <v>1217</v>
      </c>
      <c r="T1072" t="s">
        <v>590</v>
      </c>
    </row>
    <row r="1073" spans="19:20">
      <c r="S1073" t="s">
        <v>1218</v>
      </c>
      <c r="T1073" t="s">
        <v>590</v>
      </c>
    </row>
    <row r="1074" spans="19:20">
      <c r="S1074" t="s">
        <v>1219</v>
      </c>
      <c r="T1074" t="s">
        <v>590</v>
      </c>
    </row>
    <row r="1075" spans="19:20">
      <c r="S1075" t="s">
        <v>1691</v>
      </c>
      <c r="T1075" t="s">
        <v>796</v>
      </c>
    </row>
    <row r="1076" spans="19:20">
      <c r="S1076" t="s">
        <v>6659</v>
      </c>
      <c r="T1076" t="s">
        <v>251</v>
      </c>
    </row>
    <row r="1077" spans="19:20">
      <c r="S1077" t="s">
        <v>1221</v>
      </c>
      <c r="T1077" t="s">
        <v>217</v>
      </c>
    </row>
    <row r="1078" spans="19:20">
      <c r="S1078" t="s">
        <v>1424</v>
      </c>
      <c r="T1078" t="s">
        <v>217</v>
      </c>
    </row>
    <row r="1079" spans="19:20">
      <c r="S1079" t="s">
        <v>1222</v>
      </c>
      <c r="T1079" t="s">
        <v>951</v>
      </c>
    </row>
    <row r="1080" spans="19:20">
      <c r="S1080" t="s">
        <v>1223</v>
      </c>
      <c r="T1080" t="s">
        <v>181</v>
      </c>
    </row>
    <row r="1081" spans="19:20">
      <c r="S1081" t="s">
        <v>1225</v>
      </c>
      <c r="T1081" t="s">
        <v>181</v>
      </c>
    </row>
    <row r="1082" spans="19:20">
      <c r="S1082" t="s">
        <v>1692</v>
      </c>
      <c r="T1082" t="s">
        <v>1198</v>
      </c>
    </row>
    <row r="1083" spans="19:20">
      <c r="S1083" t="s">
        <v>1226</v>
      </c>
      <c r="T1083" t="s">
        <v>1198</v>
      </c>
    </row>
    <row r="1084" spans="19:20">
      <c r="S1084" t="s">
        <v>1693</v>
      </c>
      <c r="T1084" t="s">
        <v>1186</v>
      </c>
    </row>
    <row r="1085" spans="19:20">
      <c r="S1085" t="s">
        <v>1227</v>
      </c>
      <c r="T1085" t="s">
        <v>251</v>
      </c>
    </row>
    <row r="1086" spans="19:20">
      <c r="S1086" t="s">
        <v>1228</v>
      </c>
      <c r="T1086" t="s">
        <v>251</v>
      </c>
    </row>
    <row r="1087" spans="19:20">
      <c r="S1087" t="s">
        <v>1229</v>
      </c>
      <c r="T1087" t="s">
        <v>251</v>
      </c>
    </row>
    <row r="1088" spans="19:20">
      <c r="S1088" t="s">
        <v>1230</v>
      </c>
      <c r="T1088" t="s">
        <v>910</v>
      </c>
    </row>
    <row r="1089" spans="19:20">
      <c r="S1089" t="s">
        <v>1232</v>
      </c>
      <c r="T1089" t="s">
        <v>910</v>
      </c>
    </row>
    <row r="1090" spans="19:20">
      <c r="S1090" t="s">
        <v>1694</v>
      </c>
      <c r="T1090" t="s">
        <v>551</v>
      </c>
    </row>
    <row r="1091" spans="19:20">
      <c r="S1091" t="s">
        <v>1233</v>
      </c>
      <c r="T1091" t="s">
        <v>153</v>
      </c>
    </row>
    <row r="1092" spans="19:20">
      <c r="S1092" t="s">
        <v>1234</v>
      </c>
      <c r="T1092" t="s">
        <v>15</v>
      </c>
    </row>
    <row r="1093" spans="19:20">
      <c r="S1093" t="s">
        <v>1236</v>
      </c>
      <c r="T1093" t="s">
        <v>1152</v>
      </c>
    </row>
    <row r="1094" spans="19:20">
      <c r="S1094" t="s">
        <v>1237</v>
      </c>
      <c r="T1094" t="s">
        <v>15</v>
      </c>
    </row>
    <row r="1095" spans="19:20">
      <c r="S1095" t="s">
        <v>1238</v>
      </c>
      <c r="T1095" t="s">
        <v>251</v>
      </c>
    </row>
    <row r="1096" spans="19:20">
      <c r="S1096" t="s">
        <v>1240</v>
      </c>
      <c r="T1096" t="s">
        <v>251</v>
      </c>
    </row>
    <row r="1097" spans="19:20">
      <c r="S1097" t="s">
        <v>1299</v>
      </c>
      <c r="T1097" t="s">
        <v>551</v>
      </c>
    </row>
    <row r="1098" spans="19:20">
      <c r="S1098" t="s">
        <v>1241</v>
      </c>
      <c r="T1098" t="s">
        <v>12</v>
      </c>
    </row>
    <row r="1099" spans="19:20">
      <c r="S1099" t="s">
        <v>1243</v>
      </c>
      <c r="T1099" t="s">
        <v>12</v>
      </c>
    </row>
    <row r="1100" spans="19:20">
      <c r="S1100" t="s">
        <v>1244</v>
      </c>
      <c r="T1100" t="s">
        <v>590</v>
      </c>
    </row>
    <row r="1101" spans="19:20">
      <c r="S1101" t="s">
        <v>1246</v>
      </c>
      <c r="T1101" t="s">
        <v>590</v>
      </c>
    </row>
    <row r="1102" spans="19:20">
      <c r="S1102" t="s">
        <v>1247</v>
      </c>
      <c r="T1102" t="s">
        <v>590</v>
      </c>
    </row>
    <row r="1103" spans="19:20">
      <c r="S1103" t="s">
        <v>1248</v>
      </c>
      <c r="T1103" t="s">
        <v>181</v>
      </c>
    </row>
    <row r="1104" spans="19:20">
      <c r="S1104" t="s">
        <v>1249</v>
      </c>
      <c r="T1104" t="s">
        <v>181</v>
      </c>
    </row>
    <row r="1105" spans="19:20">
      <c r="S1105" t="s">
        <v>1250</v>
      </c>
      <c r="T1105" t="s">
        <v>181</v>
      </c>
    </row>
    <row r="1106" spans="19:20">
      <c r="S1106" t="s">
        <v>1251</v>
      </c>
      <c r="T1106" t="s">
        <v>461</v>
      </c>
    </row>
    <row r="1107" spans="19:20">
      <c r="S1107" t="s">
        <v>1252</v>
      </c>
      <c r="T1107" t="s">
        <v>61</v>
      </c>
    </row>
    <row r="1108" spans="19:20">
      <c r="S1108" t="s">
        <v>1254</v>
      </c>
      <c r="T1108" t="s">
        <v>61</v>
      </c>
    </row>
    <row r="1109" spans="19:20">
      <c r="S1109" t="s">
        <v>1255</v>
      </c>
      <c r="T1109" t="s">
        <v>551</v>
      </c>
    </row>
    <row r="1110" spans="19:20">
      <c r="S1110" t="s">
        <v>1257</v>
      </c>
      <c r="T1110" t="s">
        <v>551</v>
      </c>
    </row>
    <row r="1111" spans="19:20">
      <c r="S1111" t="s">
        <v>1258</v>
      </c>
      <c r="T1111" t="s">
        <v>1152</v>
      </c>
    </row>
    <row r="1112" spans="19:20">
      <c r="S1112" t="s">
        <v>1260</v>
      </c>
      <c r="T1112" t="s">
        <v>1152</v>
      </c>
    </row>
    <row r="1113" spans="19:20">
      <c r="S1113" t="s">
        <v>1261</v>
      </c>
      <c r="T1113" t="s">
        <v>951</v>
      </c>
    </row>
    <row r="1114" spans="19:20">
      <c r="S1114" t="s">
        <v>1262</v>
      </c>
      <c r="T1114" t="s">
        <v>951</v>
      </c>
    </row>
    <row r="1115" spans="19:20">
      <c r="S1115" t="s">
        <v>1695</v>
      </c>
      <c r="T1115" t="s">
        <v>385</v>
      </c>
    </row>
    <row r="1116" spans="19:20">
      <c r="S1116" t="s">
        <v>1263</v>
      </c>
      <c r="T1116" t="s">
        <v>1152</v>
      </c>
    </row>
    <row r="1117" spans="19:20">
      <c r="S1117" t="s">
        <v>1264</v>
      </c>
      <c r="T1117" t="s">
        <v>1152</v>
      </c>
    </row>
    <row r="1118" spans="19:20">
      <c r="S1118" t="s">
        <v>1265</v>
      </c>
      <c r="T1118" t="s">
        <v>551</v>
      </c>
    </row>
    <row r="1119" spans="19:20">
      <c r="S1119" t="s">
        <v>1267</v>
      </c>
      <c r="T1119" t="s">
        <v>551</v>
      </c>
    </row>
    <row r="1120" spans="19:20">
      <c r="S1120" t="s">
        <v>1268</v>
      </c>
      <c r="T1120" t="s">
        <v>636</v>
      </c>
    </row>
    <row r="1121" spans="19:20">
      <c r="S1121" t="s">
        <v>1269</v>
      </c>
      <c r="T1121" t="s">
        <v>1152</v>
      </c>
    </row>
    <row r="1122" spans="19:20">
      <c r="S1122" t="s">
        <v>1271</v>
      </c>
      <c r="T1122" t="s">
        <v>1152</v>
      </c>
    </row>
    <row r="1123" spans="19:20">
      <c r="S1123" t="s">
        <v>1272</v>
      </c>
      <c r="T1123" t="s">
        <v>590</v>
      </c>
    </row>
    <row r="1124" spans="19:20">
      <c r="S1124" t="s">
        <v>1274</v>
      </c>
      <c r="T1124" t="s">
        <v>590</v>
      </c>
    </row>
    <row r="1125" spans="19:20">
      <c r="S1125" t="s">
        <v>1275</v>
      </c>
      <c r="T1125" t="s">
        <v>551</v>
      </c>
    </row>
    <row r="1126" spans="19:20">
      <c r="S1126" t="s">
        <v>1276</v>
      </c>
      <c r="T1126" t="s">
        <v>590</v>
      </c>
    </row>
    <row r="1127" spans="19:20">
      <c r="S1127" t="s">
        <v>1277</v>
      </c>
      <c r="T1127" t="s">
        <v>551</v>
      </c>
    </row>
    <row r="1128" spans="19:20">
      <c r="S1128" t="s">
        <v>1279</v>
      </c>
      <c r="T1128" t="s">
        <v>1152</v>
      </c>
    </row>
    <row r="1129" spans="19:20">
      <c r="S1129" t="s">
        <v>1280</v>
      </c>
      <c r="T1129" t="s">
        <v>1152</v>
      </c>
    </row>
    <row r="1130" spans="19:20">
      <c r="S1130" t="s">
        <v>1281</v>
      </c>
      <c r="T1130" t="s">
        <v>884</v>
      </c>
    </row>
    <row r="1131" spans="19:20">
      <c r="S1131" t="s">
        <v>1282</v>
      </c>
      <c r="T1131" t="s">
        <v>522</v>
      </c>
    </row>
    <row r="1132" spans="19:20">
      <c r="S1132" t="s">
        <v>1283</v>
      </c>
      <c r="T1132" t="s">
        <v>522</v>
      </c>
    </row>
    <row r="1133" spans="19:20">
      <c r="S1133" t="s">
        <v>1284</v>
      </c>
      <c r="T1133" t="s">
        <v>522</v>
      </c>
    </row>
    <row r="1134" spans="19:20">
      <c r="S1134" t="s">
        <v>1285</v>
      </c>
      <c r="T1134" t="s">
        <v>181</v>
      </c>
    </row>
    <row r="1135" spans="19:20">
      <c r="S1135" t="s">
        <v>1696</v>
      </c>
      <c r="T1135" t="s">
        <v>181</v>
      </c>
    </row>
    <row r="1136" spans="19:20">
      <c r="S1136" t="s">
        <v>6775</v>
      </c>
      <c r="T1136" t="s">
        <v>181</v>
      </c>
    </row>
    <row r="1137" spans="19:20">
      <c r="S1137" t="s">
        <v>1287</v>
      </c>
      <c r="T1137" t="s">
        <v>181</v>
      </c>
    </row>
    <row r="1138" spans="19:20">
      <c r="S1138" t="s">
        <v>1288</v>
      </c>
      <c r="T1138" t="s">
        <v>590</v>
      </c>
    </row>
    <row r="1139" spans="19:20">
      <c r="S1139" t="s">
        <v>1289</v>
      </c>
      <c r="T1139" t="s">
        <v>605</v>
      </c>
    </row>
    <row r="1140" spans="19:20">
      <c r="S1140" t="s">
        <v>1291</v>
      </c>
      <c r="T1140" t="s">
        <v>605</v>
      </c>
    </row>
    <row r="1141" spans="19:20">
      <c r="S1141" t="s">
        <v>1292</v>
      </c>
      <c r="T1141" t="s">
        <v>293</v>
      </c>
    </row>
    <row r="1142" spans="19:20">
      <c r="S1142" t="s">
        <v>1293</v>
      </c>
      <c r="T1142" t="s">
        <v>293</v>
      </c>
    </row>
    <row r="1143" spans="19:20">
      <c r="S1143" t="s">
        <v>1294</v>
      </c>
      <c r="T1143" t="s">
        <v>293</v>
      </c>
    </row>
    <row r="1144" spans="19:20">
      <c r="S1144" t="s">
        <v>1697</v>
      </c>
      <c r="T1144" t="s">
        <v>551</v>
      </c>
    </row>
    <row r="1145" spans="19:20">
      <c r="S1145" t="s">
        <v>1295</v>
      </c>
      <c r="T1145" t="s">
        <v>143</v>
      </c>
    </row>
    <row r="1146" spans="19:20">
      <c r="S1146" t="s">
        <v>1296</v>
      </c>
      <c r="T1146" t="s">
        <v>143</v>
      </c>
    </row>
    <row r="1147" spans="19:20">
      <c r="S1147" t="s">
        <v>1297</v>
      </c>
      <c r="T1147" t="s">
        <v>551</v>
      </c>
    </row>
    <row r="1148" spans="19:20">
      <c r="S1148" t="s">
        <v>1300</v>
      </c>
      <c r="T1148" t="s">
        <v>152</v>
      </c>
    </row>
    <row r="1149" spans="19:20">
      <c r="S1149" t="s">
        <v>1301</v>
      </c>
      <c r="T1149" t="s">
        <v>152</v>
      </c>
    </row>
    <row r="1150" spans="19:20">
      <c r="S1150" t="s">
        <v>1302</v>
      </c>
      <c r="T1150" t="s">
        <v>385</v>
      </c>
    </row>
    <row r="1151" spans="19:20">
      <c r="S1151" t="s">
        <v>1698</v>
      </c>
      <c r="T1151" t="s">
        <v>551</v>
      </c>
    </row>
    <row r="1152" spans="19:20">
      <c r="S1152" t="s">
        <v>1303</v>
      </c>
      <c r="T1152" t="s">
        <v>143</v>
      </c>
    </row>
    <row r="1153" spans="19:20">
      <c r="S1153" t="s">
        <v>1304</v>
      </c>
      <c r="T1153" t="s">
        <v>143</v>
      </c>
    </row>
    <row r="1154" spans="19:20">
      <c r="S1154" t="s">
        <v>1305</v>
      </c>
      <c r="T1154" t="s">
        <v>152</v>
      </c>
    </row>
    <row r="1155" spans="19:20">
      <c r="S1155" t="s">
        <v>1306</v>
      </c>
      <c r="T1155" t="s">
        <v>152</v>
      </c>
    </row>
    <row r="1156" spans="19:20">
      <c r="S1156" t="s">
        <v>1307</v>
      </c>
      <c r="T1156" t="s">
        <v>951</v>
      </c>
    </row>
    <row r="1157" spans="19:20">
      <c r="S1157" t="s">
        <v>1308</v>
      </c>
      <c r="T1157" t="s">
        <v>951</v>
      </c>
    </row>
    <row r="1158" spans="19:20">
      <c r="S1158" t="s">
        <v>1309</v>
      </c>
      <c r="T1158" t="s">
        <v>152</v>
      </c>
    </row>
    <row r="1159" spans="19:20">
      <c r="S1159" t="s">
        <v>1699</v>
      </c>
      <c r="T1159" t="s">
        <v>152</v>
      </c>
    </row>
    <row r="1160" spans="19:20">
      <c r="S1160" t="s">
        <v>1310</v>
      </c>
      <c r="T1160" t="s">
        <v>152</v>
      </c>
    </row>
    <row r="1161" spans="19:20">
      <c r="S1161" t="s">
        <v>1311</v>
      </c>
      <c r="T1161" t="s">
        <v>850</v>
      </c>
    </row>
    <row r="1162" spans="19:20">
      <c r="S1162" t="s">
        <v>1312</v>
      </c>
      <c r="T1162" t="s">
        <v>850</v>
      </c>
    </row>
    <row r="1163" spans="19:20">
      <c r="S1163" t="s">
        <v>1313</v>
      </c>
      <c r="T1163" t="s">
        <v>636</v>
      </c>
    </row>
    <row r="1164" spans="19:20">
      <c r="S1164" t="s">
        <v>1314</v>
      </c>
      <c r="T1164" t="s">
        <v>636</v>
      </c>
    </row>
    <row r="1165" spans="19:20">
      <c r="S1165" t="s">
        <v>1700</v>
      </c>
      <c r="T1165" t="s">
        <v>263</v>
      </c>
    </row>
    <row r="1166" spans="19:20">
      <c r="S1166" t="s">
        <v>1315</v>
      </c>
      <c r="T1166" t="s">
        <v>263</v>
      </c>
    </row>
    <row r="1167" spans="19:20">
      <c r="S1167" t="s">
        <v>1316</v>
      </c>
      <c r="T1167" t="s">
        <v>910</v>
      </c>
    </row>
    <row r="1168" spans="19:20">
      <c r="S1168" t="s">
        <v>1317</v>
      </c>
      <c r="T1168" t="s">
        <v>251</v>
      </c>
    </row>
    <row r="1169" spans="19:20">
      <c r="S1169" t="s">
        <v>1319</v>
      </c>
      <c r="T1169" t="s">
        <v>251</v>
      </c>
    </row>
    <row r="1170" spans="19:20">
      <c r="S1170" t="s">
        <v>1320</v>
      </c>
      <c r="T1170" t="s">
        <v>143</v>
      </c>
    </row>
    <row r="1171" spans="19:20">
      <c r="S1171" t="s">
        <v>1321</v>
      </c>
      <c r="T1171" t="s">
        <v>143</v>
      </c>
    </row>
    <row r="1172" spans="19:20">
      <c r="S1172" t="s">
        <v>1322</v>
      </c>
      <c r="T1172" t="s">
        <v>143</v>
      </c>
    </row>
    <row r="1173" spans="19:20">
      <c r="S1173" t="s">
        <v>1324</v>
      </c>
      <c r="T1173" t="s">
        <v>143</v>
      </c>
    </row>
    <row r="1174" spans="19:20">
      <c r="S1174" t="s">
        <v>1325</v>
      </c>
      <c r="T1174" t="s">
        <v>143</v>
      </c>
    </row>
    <row r="1175" spans="19:20">
      <c r="S1175" t="s">
        <v>1326</v>
      </c>
      <c r="T1175" t="s">
        <v>143</v>
      </c>
    </row>
    <row r="1176" spans="19:20">
      <c r="S1176" t="s">
        <v>1327</v>
      </c>
      <c r="T1176" t="s">
        <v>143</v>
      </c>
    </row>
    <row r="1177" spans="19:20">
      <c r="S1177" t="s">
        <v>1328</v>
      </c>
      <c r="T1177" t="s">
        <v>143</v>
      </c>
    </row>
    <row r="1178" spans="19:20">
      <c r="S1178" t="s">
        <v>1329</v>
      </c>
      <c r="T1178" t="s">
        <v>143</v>
      </c>
    </row>
    <row r="1179" spans="19:20">
      <c r="S1179" t="s">
        <v>1330</v>
      </c>
      <c r="T1179" t="s">
        <v>251</v>
      </c>
    </row>
    <row r="1180" spans="19:20">
      <c r="S1180" t="s">
        <v>1332</v>
      </c>
      <c r="T1180" t="s">
        <v>796</v>
      </c>
    </row>
    <row r="1181" spans="19:20">
      <c r="S1181" t="s">
        <v>1333</v>
      </c>
      <c r="T1181" t="s">
        <v>12</v>
      </c>
    </row>
    <row r="1182" spans="19:20">
      <c r="S1182" t="s">
        <v>1334</v>
      </c>
      <c r="T1182" t="s">
        <v>12</v>
      </c>
    </row>
    <row r="1183" spans="19:20">
      <c r="S1183" t="s">
        <v>1335</v>
      </c>
      <c r="T1183" t="s">
        <v>12</v>
      </c>
    </row>
    <row r="1184" spans="19:20">
      <c r="S1184" t="s">
        <v>1336</v>
      </c>
      <c r="T1184" t="s">
        <v>12</v>
      </c>
    </row>
    <row r="1185" spans="19:20">
      <c r="S1185" t="s">
        <v>1337</v>
      </c>
      <c r="T1185" t="s">
        <v>12</v>
      </c>
    </row>
    <row r="1186" spans="19:20">
      <c r="S1186" t="s">
        <v>1701</v>
      </c>
      <c r="T1186" t="s">
        <v>101</v>
      </c>
    </row>
    <row r="1187" spans="19:20">
      <c r="S1187" t="s">
        <v>1338</v>
      </c>
      <c r="T1187" t="s">
        <v>170</v>
      </c>
    </row>
    <row r="1188" spans="19:20">
      <c r="S1188" t="s">
        <v>1702</v>
      </c>
      <c r="T1188" t="s">
        <v>461</v>
      </c>
    </row>
    <row r="1189" spans="19:20">
      <c r="S1189" t="s">
        <v>1339</v>
      </c>
      <c r="T1189" t="s">
        <v>251</v>
      </c>
    </row>
    <row r="1190" spans="19:20">
      <c r="S1190" t="s">
        <v>1341</v>
      </c>
      <c r="T1190" t="s">
        <v>251</v>
      </c>
    </row>
    <row r="1191" spans="19:20">
      <c r="S1191" t="s">
        <v>1342</v>
      </c>
      <c r="T1191" t="s">
        <v>251</v>
      </c>
    </row>
    <row r="1192" spans="19:20">
      <c r="S1192" t="s">
        <v>1344</v>
      </c>
      <c r="T1192" t="s">
        <v>251</v>
      </c>
    </row>
    <row r="1193" spans="19:20">
      <c r="S1193" t="s">
        <v>1703</v>
      </c>
      <c r="T1193" t="s">
        <v>251</v>
      </c>
    </row>
    <row r="1194" spans="19:20">
      <c r="S1194" t="s">
        <v>1345</v>
      </c>
      <c r="T1194" t="s">
        <v>251</v>
      </c>
    </row>
    <row r="1195" spans="19:20">
      <c r="S1195" t="s">
        <v>1704</v>
      </c>
      <c r="T1195" t="s">
        <v>251</v>
      </c>
    </row>
    <row r="1196" spans="19:20">
      <c r="S1196" t="s">
        <v>1346</v>
      </c>
      <c r="T1196" t="s">
        <v>1198</v>
      </c>
    </row>
    <row r="1197" spans="19:20">
      <c r="S1197" t="s">
        <v>1348</v>
      </c>
      <c r="T1197" t="s">
        <v>1198</v>
      </c>
    </row>
    <row r="1198" spans="19:20">
      <c r="S1198" t="s">
        <v>1349</v>
      </c>
      <c r="T1198" t="s">
        <v>61</v>
      </c>
    </row>
    <row r="1199" spans="19:20">
      <c r="S1199" t="s">
        <v>1350</v>
      </c>
      <c r="T1199" t="s">
        <v>143</v>
      </c>
    </row>
    <row r="1200" spans="19:20">
      <c r="S1200" t="s">
        <v>1351</v>
      </c>
      <c r="T1200" t="s">
        <v>924</v>
      </c>
    </row>
    <row r="1201" spans="19:20">
      <c r="S1201" t="s">
        <v>1352</v>
      </c>
      <c r="T1201" t="s">
        <v>101</v>
      </c>
    </row>
    <row r="1202" spans="19:20">
      <c r="S1202" t="s">
        <v>1353</v>
      </c>
      <c r="T1202" t="s">
        <v>101</v>
      </c>
    </row>
    <row r="1203" spans="19:20">
      <c r="S1203" t="s">
        <v>1354</v>
      </c>
      <c r="T1203" t="s">
        <v>15</v>
      </c>
    </row>
    <row r="1204" spans="19:20">
      <c r="S1204" t="s">
        <v>1355</v>
      </c>
      <c r="T1204" t="s">
        <v>196</v>
      </c>
    </row>
    <row r="1205" spans="19:20">
      <c r="S1205" t="s">
        <v>1357</v>
      </c>
      <c r="T1205" t="s">
        <v>196</v>
      </c>
    </row>
    <row r="1206" spans="19:20">
      <c r="S1206" t="s">
        <v>1358</v>
      </c>
      <c r="T1206" t="s">
        <v>1528</v>
      </c>
    </row>
    <row r="1207" spans="19:20">
      <c r="S1207" t="s">
        <v>1705</v>
      </c>
      <c r="T1207" t="s">
        <v>1091</v>
      </c>
    </row>
    <row r="1208" spans="19:20">
      <c r="S1208" t="s">
        <v>6660</v>
      </c>
      <c r="T1208" t="s">
        <v>636</v>
      </c>
    </row>
    <row r="1209" spans="19:20">
      <c r="S1209" t="s">
        <v>6661</v>
      </c>
      <c r="T1209" t="s">
        <v>1152</v>
      </c>
    </row>
    <row r="1210" spans="19:20">
      <c r="S1210" t="s">
        <v>1360</v>
      </c>
      <c r="T1210" t="s">
        <v>1198</v>
      </c>
    </row>
    <row r="1211" spans="19:20">
      <c r="S1211" t="s">
        <v>1361</v>
      </c>
      <c r="T1211" t="s">
        <v>636</v>
      </c>
    </row>
    <row r="1212" spans="19:20">
      <c r="S1212" t="s">
        <v>1362</v>
      </c>
      <c r="T1212" t="s">
        <v>636</v>
      </c>
    </row>
    <row r="1213" spans="19:20">
      <c r="S1213" t="s">
        <v>1363</v>
      </c>
      <c r="T1213" t="s">
        <v>1152</v>
      </c>
    </row>
    <row r="1214" spans="19:20">
      <c r="S1214" t="s">
        <v>1364</v>
      </c>
      <c r="T1214" t="s">
        <v>152</v>
      </c>
    </row>
    <row r="1215" spans="19:20">
      <c r="S1215" t="s">
        <v>1365</v>
      </c>
      <c r="T1215" t="s">
        <v>152</v>
      </c>
    </row>
    <row r="1216" spans="19:20">
      <c r="S1216" t="s">
        <v>1366</v>
      </c>
      <c r="T1216" t="s">
        <v>143</v>
      </c>
    </row>
    <row r="1217" spans="19:20">
      <c r="S1217" t="s">
        <v>1367</v>
      </c>
      <c r="T1217" t="s">
        <v>143</v>
      </c>
    </row>
    <row r="1218" spans="19:20">
      <c r="S1218" t="s">
        <v>1368</v>
      </c>
      <c r="T1218" t="s">
        <v>143</v>
      </c>
    </row>
    <row r="1219" spans="19:20">
      <c r="S1219" t="s">
        <v>1369</v>
      </c>
      <c r="T1219" t="s">
        <v>143</v>
      </c>
    </row>
    <row r="1220" spans="19:20">
      <c r="S1220" t="s">
        <v>1370</v>
      </c>
      <c r="T1220" t="s">
        <v>143</v>
      </c>
    </row>
    <row r="1221" spans="19:20">
      <c r="S1221" t="s">
        <v>1371</v>
      </c>
      <c r="T1221" t="s">
        <v>339</v>
      </c>
    </row>
    <row r="1222" spans="19:20">
      <c r="S1222" t="s">
        <v>1706</v>
      </c>
      <c r="T1222" t="s">
        <v>152</v>
      </c>
    </row>
    <row r="1223" spans="19:20">
      <c r="S1223" t="s">
        <v>1372</v>
      </c>
      <c r="T1223" t="s">
        <v>551</v>
      </c>
    </row>
    <row r="1224" spans="19:20">
      <c r="S1224" t="s">
        <v>1374</v>
      </c>
      <c r="T1224" t="s">
        <v>551</v>
      </c>
    </row>
    <row r="1225" spans="19:20">
      <c r="S1225" t="s">
        <v>1375</v>
      </c>
      <c r="T1225" t="s">
        <v>551</v>
      </c>
    </row>
    <row r="1226" spans="19:20">
      <c r="S1226" t="s">
        <v>1376</v>
      </c>
      <c r="T1226" t="s">
        <v>522</v>
      </c>
    </row>
    <row r="1227" spans="19:20">
      <c r="S1227" t="s">
        <v>1377</v>
      </c>
      <c r="T1227" t="s">
        <v>522</v>
      </c>
    </row>
    <row r="1228" spans="19:20">
      <c r="S1228" t="s">
        <v>1378</v>
      </c>
      <c r="T1228" t="s">
        <v>522</v>
      </c>
    </row>
    <row r="1229" spans="19:20">
      <c r="S1229" t="s">
        <v>1707</v>
      </c>
      <c r="T1229" t="s">
        <v>1152</v>
      </c>
    </row>
    <row r="1230" spans="19:20">
      <c r="S1230" t="s">
        <v>1708</v>
      </c>
      <c r="T1230" t="s">
        <v>605</v>
      </c>
    </row>
    <row r="1231" spans="19:20">
      <c r="S1231" t="s">
        <v>1379</v>
      </c>
      <c r="T1231" t="s">
        <v>385</v>
      </c>
    </row>
    <row r="1232" spans="19:20">
      <c r="S1232" t="s">
        <v>1380</v>
      </c>
      <c r="T1232" t="s">
        <v>385</v>
      </c>
    </row>
    <row r="1233" spans="19:20">
      <c r="S1233" t="s">
        <v>1381</v>
      </c>
      <c r="T1233" t="s">
        <v>938</v>
      </c>
    </row>
    <row r="1234" spans="19:20">
      <c r="S1234" t="s">
        <v>1383</v>
      </c>
      <c r="T1234" t="s">
        <v>938</v>
      </c>
    </row>
    <row r="1235" spans="19:20">
      <c r="S1235" t="s">
        <v>1709</v>
      </c>
      <c r="T1235" t="s">
        <v>152</v>
      </c>
    </row>
    <row r="1236" spans="19:20">
      <c r="S1236" t="s">
        <v>1710</v>
      </c>
      <c r="T1236" t="s">
        <v>1152</v>
      </c>
    </row>
    <row r="1237" spans="19:20">
      <c r="S1237" t="s">
        <v>1384</v>
      </c>
      <c r="T1237" t="s">
        <v>1152</v>
      </c>
    </row>
    <row r="1238" spans="19:20">
      <c r="S1238" t="s">
        <v>1385</v>
      </c>
      <c r="T1238" t="s">
        <v>796</v>
      </c>
    </row>
    <row r="1239" spans="19:20">
      <c r="S1239" t="s">
        <v>1386</v>
      </c>
      <c r="T1239" t="s">
        <v>1152</v>
      </c>
    </row>
    <row r="1240" spans="19:20">
      <c r="S1240" t="s">
        <v>1387</v>
      </c>
      <c r="T1240" t="s">
        <v>1152</v>
      </c>
    </row>
    <row r="1241" spans="19:20">
      <c r="S1241" t="s">
        <v>1388</v>
      </c>
      <c r="T1241" t="s">
        <v>1152</v>
      </c>
    </row>
    <row r="1242" spans="19:20">
      <c r="S1242" t="s">
        <v>1711</v>
      </c>
      <c r="T1242" t="s">
        <v>12</v>
      </c>
    </row>
    <row r="1243" spans="19:20">
      <c r="S1243" t="s">
        <v>1389</v>
      </c>
      <c r="T1243" t="s">
        <v>143</v>
      </c>
    </row>
    <row r="1244" spans="19:20">
      <c r="S1244" t="s">
        <v>1390</v>
      </c>
      <c r="T1244" t="s">
        <v>12</v>
      </c>
    </row>
    <row r="1245" spans="19:20">
      <c r="S1245" t="s">
        <v>1391</v>
      </c>
      <c r="T1245" t="s">
        <v>251</v>
      </c>
    </row>
    <row r="1246" spans="19:20">
      <c r="S1246" t="s">
        <v>1392</v>
      </c>
      <c r="T1246" t="s">
        <v>143</v>
      </c>
    </row>
    <row r="1247" spans="19:20">
      <c r="S1247" t="s">
        <v>1393</v>
      </c>
      <c r="T1247" t="s">
        <v>1152</v>
      </c>
    </row>
    <row r="1248" spans="19:20">
      <c r="S1248" t="s">
        <v>1394</v>
      </c>
      <c r="T1248" t="s">
        <v>152</v>
      </c>
    </row>
    <row r="1249" spans="19:20">
      <c r="S1249" t="s">
        <v>1395</v>
      </c>
      <c r="T1249" t="s">
        <v>152</v>
      </c>
    </row>
    <row r="1250" spans="19:20">
      <c r="S1250" t="s">
        <v>1396</v>
      </c>
      <c r="T1250" t="s">
        <v>910</v>
      </c>
    </row>
    <row r="1251" spans="19:20">
      <c r="S1251" t="s">
        <v>1397</v>
      </c>
      <c r="T1251" t="s">
        <v>385</v>
      </c>
    </row>
    <row r="1252" spans="19:20">
      <c r="S1252" t="s">
        <v>1398</v>
      </c>
      <c r="T1252" t="s">
        <v>1091</v>
      </c>
    </row>
    <row r="1253" spans="19:20">
      <c r="S1253" t="s">
        <v>1399</v>
      </c>
      <c r="T1253" t="s">
        <v>251</v>
      </c>
    </row>
    <row r="1254" spans="19:20">
      <c r="S1254" t="s">
        <v>1400</v>
      </c>
      <c r="T1254" t="s">
        <v>251</v>
      </c>
    </row>
    <row r="1255" spans="19:20">
      <c r="S1255" t="s">
        <v>1712</v>
      </c>
      <c r="T1255" t="s">
        <v>251</v>
      </c>
    </row>
    <row r="1256" spans="19:20">
      <c r="S1256" t="s">
        <v>1713</v>
      </c>
      <c r="T1256" t="s">
        <v>952</v>
      </c>
    </row>
    <row r="1257" spans="19:20">
      <c r="S1257" t="s">
        <v>1714</v>
      </c>
      <c r="T1257" t="s">
        <v>251</v>
      </c>
    </row>
    <row r="1258" spans="19:20">
      <c r="S1258" t="s">
        <v>1402</v>
      </c>
      <c r="T1258" t="s">
        <v>1152</v>
      </c>
    </row>
    <row r="1259" spans="19:20">
      <c r="S1259" t="s">
        <v>1403</v>
      </c>
      <c r="T1259" t="s">
        <v>636</v>
      </c>
    </row>
    <row r="1260" spans="19:20">
      <c r="S1260" t="s">
        <v>1404</v>
      </c>
      <c r="T1260" t="s">
        <v>61</v>
      </c>
    </row>
    <row r="1261" spans="19:20">
      <c r="S1261" t="s">
        <v>1405</v>
      </c>
      <c r="T1261" t="s">
        <v>12</v>
      </c>
    </row>
    <row r="1262" spans="19:20">
      <c r="S1262" t="s">
        <v>1406</v>
      </c>
      <c r="T1262" t="s">
        <v>152</v>
      </c>
    </row>
    <row r="1263" spans="19:20">
      <c r="S1263" t="s">
        <v>1407</v>
      </c>
      <c r="T1263" t="s">
        <v>181</v>
      </c>
    </row>
    <row r="1264" spans="19:20">
      <c r="S1264" t="s">
        <v>1408</v>
      </c>
      <c r="T1264" t="s">
        <v>143</v>
      </c>
    </row>
    <row r="1265" spans="19:20">
      <c r="S1265" t="s">
        <v>1409</v>
      </c>
      <c r="T1265" t="s">
        <v>152</v>
      </c>
    </row>
    <row r="1266" spans="19:20">
      <c r="S1266" t="s">
        <v>1410</v>
      </c>
      <c r="T1266" t="s">
        <v>61</v>
      </c>
    </row>
    <row r="1267" spans="19:20">
      <c r="S1267" t="s">
        <v>1411</v>
      </c>
      <c r="T1267" t="s">
        <v>143</v>
      </c>
    </row>
    <row r="1268" spans="19:20">
      <c r="S1268" t="s">
        <v>1715</v>
      </c>
      <c r="T1268" t="s">
        <v>951</v>
      </c>
    </row>
    <row r="1269" spans="19:20">
      <c r="S1269" t="s">
        <v>1412</v>
      </c>
      <c r="T1269" t="s">
        <v>251</v>
      </c>
    </row>
    <row r="1270" spans="19:20">
      <c r="S1270" t="s">
        <v>1413</v>
      </c>
      <c r="T1270" t="s">
        <v>143</v>
      </c>
    </row>
    <row r="1271" spans="19:20">
      <c r="S1271" t="s">
        <v>1414</v>
      </c>
      <c r="T1271" t="s">
        <v>181</v>
      </c>
    </row>
    <row r="1272" spans="19:20">
      <c r="S1272" t="s">
        <v>1416</v>
      </c>
      <c r="T1272" t="s">
        <v>636</v>
      </c>
    </row>
    <row r="1273" spans="19:20">
      <c r="S1273" t="s">
        <v>1417</v>
      </c>
      <c r="T1273" t="s">
        <v>1186</v>
      </c>
    </row>
    <row r="1274" spans="19:20">
      <c r="S1274" t="s">
        <v>1418</v>
      </c>
      <c r="T1274" t="s">
        <v>551</v>
      </c>
    </row>
    <row r="1275" spans="19:20">
      <c r="S1275" t="s">
        <v>1419</v>
      </c>
      <c r="T1275" t="s">
        <v>152</v>
      </c>
    </row>
    <row r="1276" spans="19:20">
      <c r="S1276" t="s">
        <v>1420</v>
      </c>
      <c r="T1276" t="s">
        <v>61</v>
      </c>
    </row>
    <row r="1277" spans="19:20">
      <c r="S1277" t="s">
        <v>1421</v>
      </c>
      <c r="T1277" t="s">
        <v>152</v>
      </c>
    </row>
    <row r="1278" spans="19:20">
      <c r="S1278" t="s">
        <v>1422</v>
      </c>
      <c r="T1278" t="s">
        <v>796</v>
      </c>
    </row>
    <row r="1279" spans="19:20">
      <c r="S1279" t="s">
        <v>1425</v>
      </c>
      <c r="T1279" t="s">
        <v>251</v>
      </c>
    </row>
    <row r="1280" spans="19:20">
      <c r="S1280" t="s">
        <v>1426</v>
      </c>
      <c r="T1280" t="s">
        <v>551</v>
      </c>
    </row>
    <row r="1281" spans="19:20">
      <c r="S1281" t="s">
        <v>1427</v>
      </c>
      <c r="T1281" t="s">
        <v>152</v>
      </c>
    </row>
    <row r="1282" spans="19:20">
      <c r="S1282" t="s">
        <v>1428</v>
      </c>
      <c r="T1282" t="s">
        <v>143</v>
      </c>
    </row>
    <row r="1283" spans="19:20">
      <c r="S1283" t="s">
        <v>1429</v>
      </c>
      <c r="T1283" t="s">
        <v>143</v>
      </c>
    </row>
    <row r="1284" spans="19:20">
      <c r="S1284" t="s">
        <v>1430</v>
      </c>
      <c r="T1284" t="s">
        <v>951</v>
      </c>
    </row>
    <row r="1285" spans="19:20">
      <c r="S1285" t="s">
        <v>1431</v>
      </c>
      <c r="T1285" t="s">
        <v>251</v>
      </c>
    </row>
    <row r="1286" spans="19:20">
      <c r="S1286" t="s">
        <v>1432</v>
      </c>
      <c r="T1286" t="s">
        <v>1457</v>
      </c>
    </row>
    <row r="1287" spans="19:20">
      <c r="S1287" t="s">
        <v>1716</v>
      </c>
      <c r="T1287" t="s">
        <v>12</v>
      </c>
    </row>
    <row r="1288" spans="19:20">
      <c r="S1288" t="s">
        <v>1433</v>
      </c>
      <c r="T1288" t="s">
        <v>152</v>
      </c>
    </row>
    <row r="1289" spans="19:20">
      <c r="S1289" t="s">
        <v>1434</v>
      </c>
      <c r="T1289" t="s">
        <v>590</v>
      </c>
    </row>
    <row r="1290" spans="19:20">
      <c r="S1290" t="s">
        <v>1435</v>
      </c>
      <c r="T1290" t="s">
        <v>590</v>
      </c>
    </row>
    <row r="1291" spans="19:20">
      <c r="S1291" t="s">
        <v>1436</v>
      </c>
      <c r="T1291" t="s">
        <v>196</v>
      </c>
    </row>
    <row r="1292" spans="19:20">
      <c r="S1292" t="s">
        <v>1437</v>
      </c>
      <c r="T1292" t="s">
        <v>358</v>
      </c>
    </row>
    <row r="1293" spans="19:20">
      <c r="S1293" t="s">
        <v>1717</v>
      </c>
      <c r="T1293" t="s">
        <v>61</v>
      </c>
    </row>
    <row r="1294" spans="19:20">
      <c r="S1294" t="s">
        <v>1438</v>
      </c>
      <c r="T1294" t="s">
        <v>605</v>
      </c>
    </row>
    <row r="1295" spans="19:20">
      <c r="S1295" t="s">
        <v>1439</v>
      </c>
      <c r="T1295" t="s">
        <v>251</v>
      </c>
    </row>
    <row r="1296" spans="19:20">
      <c r="S1296" t="s">
        <v>1718</v>
      </c>
      <c r="T1296" t="s">
        <v>152</v>
      </c>
    </row>
    <row r="1297" spans="19:20">
      <c r="S1297" t="s">
        <v>1440</v>
      </c>
      <c r="T1297" t="s">
        <v>590</v>
      </c>
    </row>
    <row r="1298" spans="19:20">
      <c r="S1298" t="s">
        <v>1441</v>
      </c>
      <c r="T1298" t="s">
        <v>590</v>
      </c>
    </row>
    <row r="1299" spans="19:20">
      <c r="S1299" t="s">
        <v>1442</v>
      </c>
      <c r="T1299" t="s">
        <v>385</v>
      </c>
    </row>
    <row r="1300" spans="19:20">
      <c r="S1300" t="s">
        <v>1443</v>
      </c>
      <c r="T1300" t="s">
        <v>385</v>
      </c>
    </row>
    <row r="1301" spans="19:20">
      <c r="S1301" t="s">
        <v>1719</v>
      </c>
      <c r="T1301" t="s">
        <v>1444</v>
      </c>
    </row>
    <row r="1302" spans="19:20">
      <c r="S1302" t="s">
        <v>1444</v>
      </c>
      <c r="T1302" t="s">
        <v>1444</v>
      </c>
    </row>
    <row r="1303" spans="19:20">
      <c r="S1303" t="s">
        <v>1446</v>
      </c>
      <c r="T1303" t="s">
        <v>358</v>
      </c>
    </row>
    <row r="1304" spans="19:20">
      <c r="S1304" t="s">
        <v>1720</v>
      </c>
      <c r="T1304" t="s">
        <v>152</v>
      </c>
    </row>
    <row r="1305" spans="19:20">
      <c r="S1305" t="s">
        <v>1447</v>
      </c>
      <c r="T1305" t="s">
        <v>628</v>
      </c>
    </row>
    <row r="1306" spans="19:20">
      <c r="S1306" t="s">
        <v>1448</v>
      </c>
      <c r="T1306" t="s">
        <v>938</v>
      </c>
    </row>
    <row r="1307" spans="19:20">
      <c r="S1307" t="s">
        <v>1449</v>
      </c>
      <c r="T1307" t="s">
        <v>461</v>
      </c>
    </row>
    <row r="1308" spans="19:20">
      <c r="S1308" t="s">
        <v>1450</v>
      </c>
      <c r="T1308" t="s">
        <v>938</v>
      </c>
    </row>
    <row r="1309" spans="19:20">
      <c r="S1309" t="s">
        <v>1451</v>
      </c>
      <c r="T1309" t="s">
        <v>938</v>
      </c>
    </row>
    <row r="1310" spans="19:20">
      <c r="S1310" t="s">
        <v>1452</v>
      </c>
      <c r="T1310" t="s">
        <v>938</v>
      </c>
    </row>
    <row r="1311" spans="19:20">
      <c r="S1311" t="s">
        <v>1453</v>
      </c>
      <c r="T1311" t="s">
        <v>1457</v>
      </c>
    </row>
    <row r="1312" spans="19:20">
      <c r="S1312" t="s">
        <v>1455</v>
      </c>
      <c r="T1312" t="s">
        <v>1457</v>
      </c>
    </row>
    <row r="1313" spans="19:20">
      <c r="S1313" t="s">
        <v>1456</v>
      </c>
      <c r="T1313" t="s">
        <v>1457</v>
      </c>
    </row>
    <row r="1314" spans="19:20">
      <c r="S1314" t="s">
        <v>1457</v>
      </c>
      <c r="T1314" t="s">
        <v>1457</v>
      </c>
    </row>
    <row r="1315" spans="19:20">
      <c r="S1315" t="s">
        <v>1458</v>
      </c>
      <c r="T1315" t="s">
        <v>924</v>
      </c>
    </row>
    <row r="1316" spans="19:20">
      <c r="S1316" t="s">
        <v>1459</v>
      </c>
      <c r="T1316" t="s">
        <v>551</v>
      </c>
    </row>
    <row r="1317" spans="19:20">
      <c r="S1317" t="s">
        <v>1461</v>
      </c>
      <c r="T1317" t="s">
        <v>551</v>
      </c>
    </row>
    <row r="1318" spans="19:20">
      <c r="S1318" t="s">
        <v>1462</v>
      </c>
      <c r="T1318" t="s">
        <v>551</v>
      </c>
    </row>
    <row r="1319" spans="19:20">
      <c r="S1319" t="s">
        <v>1463</v>
      </c>
      <c r="T1319" t="s">
        <v>551</v>
      </c>
    </row>
    <row r="1320" spans="19:20">
      <c r="S1320" t="s">
        <v>1464</v>
      </c>
      <c r="T1320" t="s">
        <v>61</v>
      </c>
    </row>
    <row r="1321" spans="19:20">
      <c r="S1321" t="s">
        <v>1465</v>
      </c>
      <c r="T1321" t="s">
        <v>1467</v>
      </c>
    </row>
    <row r="1322" spans="19:20">
      <c r="S1322" t="s">
        <v>1467</v>
      </c>
      <c r="T1322" t="s">
        <v>1467</v>
      </c>
    </row>
    <row r="1323" spans="19:20">
      <c r="S1323" t="s">
        <v>1721</v>
      </c>
      <c r="T1323" t="s">
        <v>143</v>
      </c>
    </row>
    <row r="1324" spans="19:20">
      <c r="S1324" t="s">
        <v>1469</v>
      </c>
      <c r="T1324" t="s">
        <v>181</v>
      </c>
    </row>
    <row r="1325" spans="19:20">
      <c r="S1325" t="s">
        <v>1470</v>
      </c>
      <c r="T1325" t="s">
        <v>181</v>
      </c>
    </row>
    <row r="1326" spans="19:20">
      <c r="S1326" t="s">
        <v>1474</v>
      </c>
      <c r="T1326" t="s">
        <v>181</v>
      </c>
    </row>
    <row r="1327" spans="19:20">
      <c r="S1327" t="s">
        <v>1722</v>
      </c>
      <c r="T1327" t="s">
        <v>636</v>
      </c>
    </row>
    <row r="1328" spans="19:20">
      <c r="S1328" t="s">
        <v>1723</v>
      </c>
      <c r="T1328" t="s">
        <v>143</v>
      </c>
    </row>
    <row r="1329" spans="19:20">
      <c r="S1329" t="s">
        <v>1724</v>
      </c>
      <c r="T1329" t="s">
        <v>143</v>
      </c>
    </row>
    <row r="1330" spans="19:20">
      <c r="S1330" t="s">
        <v>1476</v>
      </c>
      <c r="T1330" t="s">
        <v>152</v>
      </c>
    </row>
    <row r="1331" spans="19:20">
      <c r="S1331" t="s">
        <v>1725</v>
      </c>
      <c r="T1331" t="s">
        <v>143</v>
      </c>
    </row>
    <row r="1332" spans="19:20">
      <c r="S1332" t="s">
        <v>1477</v>
      </c>
      <c r="T1332" t="s">
        <v>1017</v>
      </c>
    </row>
    <row r="1333" spans="19:20">
      <c r="S1333" t="s">
        <v>1478</v>
      </c>
      <c r="T1333" t="s">
        <v>910</v>
      </c>
    </row>
    <row r="1334" spans="19:20">
      <c r="S1334" t="s">
        <v>1479</v>
      </c>
      <c r="T1334" t="s">
        <v>910</v>
      </c>
    </row>
    <row r="1335" spans="19:20">
      <c r="S1335" t="s">
        <v>1480</v>
      </c>
      <c r="T1335" t="s">
        <v>884</v>
      </c>
    </row>
    <row r="1336" spans="19:20">
      <c r="S1336" t="s">
        <v>1726</v>
      </c>
      <c r="T1336" t="s">
        <v>924</v>
      </c>
    </row>
    <row r="1337" spans="19:20">
      <c r="S1337" t="s">
        <v>1481</v>
      </c>
      <c r="T1337" t="s">
        <v>358</v>
      </c>
    </row>
    <row r="1338" spans="19:20">
      <c r="S1338" t="s">
        <v>1482</v>
      </c>
      <c r="T1338" t="s">
        <v>358</v>
      </c>
    </row>
    <row r="1339" spans="19:20">
      <c r="S1339" t="s">
        <v>1483</v>
      </c>
      <c r="T1339" t="s">
        <v>358</v>
      </c>
    </row>
    <row r="1340" spans="19:20">
      <c r="S1340" t="s">
        <v>1484</v>
      </c>
      <c r="T1340" t="s">
        <v>924</v>
      </c>
    </row>
    <row r="1341" spans="19:20">
      <c r="S1341" t="s">
        <v>1727</v>
      </c>
      <c r="T1341" t="s">
        <v>938</v>
      </c>
    </row>
    <row r="1342" spans="19:20">
      <c r="S1342" t="s">
        <v>1485</v>
      </c>
      <c r="T1342" t="s">
        <v>101</v>
      </c>
    </row>
    <row r="1343" spans="19:20">
      <c r="S1343" t="s">
        <v>1486</v>
      </c>
      <c r="T1343" t="s">
        <v>938</v>
      </c>
    </row>
    <row r="1344" spans="19:20">
      <c r="S1344" t="s">
        <v>1487</v>
      </c>
      <c r="T1344" t="s">
        <v>938</v>
      </c>
    </row>
    <row r="1345" spans="19:20">
      <c r="S1345" t="s">
        <v>1728</v>
      </c>
      <c r="T1345" t="s">
        <v>924</v>
      </c>
    </row>
    <row r="1346" spans="19:20">
      <c r="S1346" t="s">
        <v>1729</v>
      </c>
      <c r="T1346" t="s">
        <v>924</v>
      </c>
    </row>
    <row r="1347" spans="19:20">
      <c r="S1347" t="s">
        <v>1730</v>
      </c>
      <c r="T1347" t="s">
        <v>924</v>
      </c>
    </row>
    <row r="1348" spans="19:20">
      <c r="S1348" t="s">
        <v>1488</v>
      </c>
      <c r="T1348" t="s">
        <v>1017</v>
      </c>
    </row>
    <row r="1349" spans="19:20">
      <c r="S1349" t="s">
        <v>1489</v>
      </c>
      <c r="T1349" t="s">
        <v>358</v>
      </c>
    </row>
    <row r="1350" spans="19:20">
      <c r="S1350" t="s">
        <v>1731</v>
      </c>
      <c r="T1350" t="s">
        <v>461</v>
      </c>
    </row>
    <row r="1351" spans="19:20">
      <c r="S1351" t="s">
        <v>1490</v>
      </c>
      <c r="T1351" t="s">
        <v>636</v>
      </c>
    </row>
    <row r="1352" spans="19:20">
      <c r="S1352" t="s">
        <v>1491</v>
      </c>
      <c r="T1352" t="s">
        <v>636</v>
      </c>
    </row>
    <row r="1353" spans="19:20">
      <c r="S1353" t="s">
        <v>1492</v>
      </c>
      <c r="T1353" t="s">
        <v>1152</v>
      </c>
    </row>
    <row r="1354" spans="19:20">
      <c r="S1354" t="s">
        <v>1493</v>
      </c>
      <c r="T1354" t="s">
        <v>1152</v>
      </c>
    </row>
    <row r="1355" spans="19:20">
      <c r="S1355" t="s">
        <v>1495</v>
      </c>
      <c r="T1355" t="s">
        <v>1152</v>
      </c>
    </row>
    <row r="1356" spans="19:20">
      <c r="S1356" t="s">
        <v>1496</v>
      </c>
      <c r="T1356" t="s">
        <v>196</v>
      </c>
    </row>
    <row r="1357" spans="19:20">
      <c r="S1357" t="s">
        <v>1497</v>
      </c>
      <c r="T1357" t="s">
        <v>590</v>
      </c>
    </row>
    <row r="1358" spans="19:20">
      <c r="S1358" t="s">
        <v>1732</v>
      </c>
      <c r="T1358" t="s">
        <v>1152</v>
      </c>
    </row>
    <row r="1359" spans="19:20">
      <c r="S1359" t="s">
        <v>1733</v>
      </c>
      <c r="T1359" t="s">
        <v>12</v>
      </c>
    </row>
    <row r="1360" spans="19:20">
      <c r="S1360" t="s">
        <v>1734</v>
      </c>
      <c r="T1360" t="s">
        <v>143</v>
      </c>
    </row>
    <row r="1361" spans="19:20">
      <c r="S1361" t="s">
        <v>1735</v>
      </c>
      <c r="T1361" t="s">
        <v>1152</v>
      </c>
    </row>
    <row r="1362" spans="19:20">
      <c r="S1362" t="s">
        <v>1736</v>
      </c>
      <c r="T1362" t="s">
        <v>796</v>
      </c>
    </row>
    <row r="1363" spans="19:20">
      <c r="S1363" t="s">
        <v>1737</v>
      </c>
      <c r="T1363" t="s">
        <v>152</v>
      </c>
    </row>
    <row r="1364" spans="19:20">
      <c r="S1364" t="s">
        <v>1738</v>
      </c>
      <c r="T1364" t="s">
        <v>1152</v>
      </c>
    </row>
    <row r="1365" spans="19:20">
      <c r="S1365" t="s">
        <v>1498</v>
      </c>
      <c r="T1365" t="s">
        <v>1457</v>
      </c>
    </row>
    <row r="1366" spans="19:20">
      <c r="S1366" t="s">
        <v>1499</v>
      </c>
      <c r="T1366" t="s">
        <v>1457</v>
      </c>
    </row>
    <row r="1367" spans="19:20">
      <c r="S1367" t="s">
        <v>1500</v>
      </c>
      <c r="T1367" t="s">
        <v>251</v>
      </c>
    </row>
    <row r="1368" spans="19:20">
      <c r="S1368" t="s">
        <v>1502</v>
      </c>
      <c r="T1368" t="s">
        <v>251</v>
      </c>
    </row>
    <row r="1369" spans="19:20">
      <c r="S1369" t="s">
        <v>1739</v>
      </c>
      <c r="T1369" t="s">
        <v>478</v>
      </c>
    </row>
    <row r="1370" spans="19:20">
      <c r="S1370" t="s">
        <v>1740</v>
      </c>
      <c r="T1370" t="s">
        <v>951</v>
      </c>
    </row>
    <row r="1371" spans="19:20">
      <c r="S1371" t="s">
        <v>1741</v>
      </c>
      <c r="T1371" t="s">
        <v>152</v>
      </c>
    </row>
    <row r="1372" spans="19:20">
      <c r="S1372" t="s">
        <v>1742</v>
      </c>
      <c r="T1372" t="s">
        <v>143</v>
      </c>
    </row>
    <row r="1373" spans="19:20">
      <c r="S1373" t="s">
        <v>1503</v>
      </c>
      <c r="T1373" t="s">
        <v>938</v>
      </c>
    </row>
    <row r="1374" spans="19:20">
      <c r="S1374" t="s">
        <v>1504</v>
      </c>
      <c r="T1374" t="s">
        <v>522</v>
      </c>
    </row>
    <row r="1375" spans="19:20">
      <c r="S1375" t="s">
        <v>1505</v>
      </c>
      <c r="T1375" t="s">
        <v>522</v>
      </c>
    </row>
    <row r="1376" spans="19:20">
      <c r="S1376" t="s">
        <v>1506</v>
      </c>
      <c r="T1376" t="s">
        <v>181</v>
      </c>
    </row>
    <row r="1377" spans="19:20">
      <c r="S1377" t="s">
        <v>1508</v>
      </c>
      <c r="T1377" t="s">
        <v>181</v>
      </c>
    </row>
    <row r="1378" spans="19:20">
      <c r="S1378" t="s">
        <v>1509</v>
      </c>
      <c r="T1378" t="s">
        <v>12</v>
      </c>
    </row>
    <row r="1379" spans="19:20">
      <c r="S1379" t="s">
        <v>1510</v>
      </c>
      <c r="T1379" t="s">
        <v>12</v>
      </c>
    </row>
    <row r="1380" spans="19:20">
      <c r="S1380" t="s">
        <v>1511</v>
      </c>
      <c r="T1380" t="s">
        <v>101</v>
      </c>
    </row>
    <row r="1381" spans="19:20">
      <c r="S1381" t="s">
        <v>1743</v>
      </c>
      <c r="T1381" t="s">
        <v>1152</v>
      </c>
    </row>
    <row r="1382" spans="19:20">
      <c r="S1382" t="s">
        <v>1514</v>
      </c>
      <c r="T1382" t="s">
        <v>1017</v>
      </c>
    </row>
    <row r="1383" spans="19:20">
      <c r="S1383" t="s">
        <v>1744</v>
      </c>
      <c r="T1383" t="s">
        <v>938</v>
      </c>
    </row>
    <row r="1384" spans="19:20">
      <c r="S1384" t="s">
        <v>1515</v>
      </c>
      <c r="T1384" t="s">
        <v>1017</v>
      </c>
    </row>
    <row r="1385" spans="19:20">
      <c r="S1385" t="s">
        <v>1516</v>
      </c>
      <c r="T1385" t="s">
        <v>101</v>
      </c>
    </row>
    <row r="1386" spans="19:20">
      <c r="S1386" t="s">
        <v>1518</v>
      </c>
      <c r="T1386" t="s">
        <v>101</v>
      </c>
    </row>
    <row r="1387" spans="19:20">
      <c r="S1387" t="s">
        <v>1519</v>
      </c>
      <c r="T1387" t="s">
        <v>551</v>
      </c>
    </row>
    <row r="1388" spans="19:20">
      <c r="S1388" t="s">
        <v>1521</v>
      </c>
      <c r="T1388" t="s">
        <v>551</v>
      </c>
    </row>
    <row r="1389" spans="19:20">
      <c r="S1389" t="s">
        <v>1522</v>
      </c>
      <c r="T1389" t="s">
        <v>551</v>
      </c>
    </row>
    <row r="1390" spans="19:20">
      <c r="S1390" t="s">
        <v>1524</v>
      </c>
      <c r="T1390" t="s">
        <v>551</v>
      </c>
    </row>
    <row r="1391" spans="19:20">
      <c r="S1391" t="s">
        <v>1525</v>
      </c>
      <c r="T1391" t="s">
        <v>1528</v>
      </c>
    </row>
    <row r="1392" spans="19:20">
      <c r="S1392" t="s">
        <v>1527</v>
      </c>
      <c r="T1392" t="s">
        <v>1528</v>
      </c>
    </row>
    <row r="1393" spans="19:20">
      <c r="S1393" t="s">
        <v>1528</v>
      </c>
      <c r="T1393" t="s">
        <v>1528</v>
      </c>
    </row>
    <row r="1394" spans="19:20">
      <c r="S1394" t="s">
        <v>1530</v>
      </c>
      <c r="T1394" t="s">
        <v>796</v>
      </c>
    </row>
    <row r="1395" spans="19:20">
      <c r="S1395" t="s">
        <v>1532</v>
      </c>
      <c r="T1395" t="s">
        <v>796</v>
      </c>
    </row>
    <row r="1396" spans="19:20">
      <c r="S1396" t="s">
        <v>1533</v>
      </c>
      <c r="T1396" t="s">
        <v>1152</v>
      </c>
    </row>
    <row r="1397" spans="19:20">
      <c r="S1397" t="s">
        <v>1534</v>
      </c>
      <c r="T1397" t="s">
        <v>1152</v>
      </c>
    </row>
    <row r="1398" spans="19:20">
      <c r="S1398" t="s">
        <v>1535</v>
      </c>
      <c r="T1398" t="s">
        <v>910</v>
      </c>
    </row>
    <row r="1399" spans="19:20">
      <c r="S1399" t="s">
        <v>1536</v>
      </c>
      <c r="T1399" t="s">
        <v>910</v>
      </c>
    </row>
    <row r="1400" spans="19:20">
      <c r="S1400" t="s">
        <v>1537</v>
      </c>
      <c r="T1400" t="s">
        <v>1457</v>
      </c>
    </row>
    <row r="1401" spans="19:20">
      <c r="S1401" t="s">
        <v>1538</v>
      </c>
      <c r="T1401" t="s">
        <v>1457</v>
      </c>
    </row>
    <row r="1402" spans="19:20">
      <c r="S1402" t="s">
        <v>1745</v>
      </c>
      <c r="T1402" t="s">
        <v>951</v>
      </c>
    </row>
    <row r="1403" spans="19:20">
      <c r="S1403" t="s">
        <v>1539</v>
      </c>
      <c r="T1403" t="s">
        <v>951</v>
      </c>
    </row>
    <row r="1404" spans="19:20">
      <c r="S1404" t="s">
        <v>6662</v>
      </c>
      <c r="T1404" t="s">
        <v>951</v>
      </c>
    </row>
    <row r="1405" spans="19:20">
      <c r="S1405" t="s">
        <v>1541</v>
      </c>
      <c r="T1405" t="s">
        <v>951</v>
      </c>
    </row>
    <row r="1406" spans="19:20">
      <c r="S1406" t="s">
        <v>1542</v>
      </c>
      <c r="T1406" t="s">
        <v>1457</v>
      </c>
    </row>
    <row r="1407" spans="19:20">
      <c r="S1407" t="s">
        <v>1543</v>
      </c>
      <c r="T1407" t="s">
        <v>1457</v>
      </c>
    </row>
    <row r="1408" spans="19:20">
      <c r="S1408" t="s">
        <v>1544</v>
      </c>
      <c r="T1408" t="s">
        <v>152</v>
      </c>
    </row>
    <row r="1409" spans="19:20">
      <c r="S1409" t="s">
        <v>1545</v>
      </c>
      <c r="T1409" t="s">
        <v>152</v>
      </c>
    </row>
    <row r="1410" spans="19:20">
      <c r="S1410" t="s">
        <v>1546</v>
      </c>
      <c r="T1410" t="s">
        <v>551</v>
      </c>
    </row>
    <row r="1411" spans="19:20">
      <c r="S1411" t="s">
        <v>1548</v>
      </c>
      <c r="T1411" t="s">
        <v>551</v>
      </c>
    </row>
    <row r="1412" spans="19:20">
      <c r="S1412" t="s">
        <v>1746</v>
      </c>
      <c r="T1412" t="s">
        <v>251</v>
      </c>
    </row>
    <row r="1413" spans="19:20">
      <c r="S1413" t="s">
        <v>1549</v>
      </c>
      <c r="T1413" t="s">
        <v>924</v>
      </c>
    </row>
    <row r="1414" spans="19:20">
      <c r="S1414" t="s">
        <v>1550</v>
      </c>
      <c r="T1414" t="s">
        <v>251</v>
      </c>
    </row>
    <row r="1415" spans="19:20">
      <c r="S1415" t="s">
        <v>1551</v>
      </c>
      <c r="T1415" t="s">
        <v>251</v>
      </c>
    </row>
    <row r="1416" spans="19:20">
      <c r="S1416" t="s">
        <v>6663</v>
      </c>
      <c r="T1416" t="s">
        <v>143</v>
      </c>
    </row>
    <row r="1417" spans="19:20">
      <c r="S1417" t="s">
        <v>41</v>
      </c>
      <c r="T1417" t="s">
        <v>143</v>
      </c>
    </row>
    <row r="1418" spans="19:20">
      <c r="S1418" t="s">
        <v>58</v>
      </c>
      <c r="T1418" t="s">
        <v>461</v>
      </c>
    </row>
    <row r="1419" spans="19:20">
      <c r="S1419" t="s">
        <v>222</v>
      </c>
      <c r="T1419" t="s">
        <v>478</v>
      </c>
    </row>
    <row r="1420" spans="19:20">
      <c r="S1420" t="s">
        <v>1747</v>
      </c>
      <c r="T1420" t="s">
        <v>648</v>
      </c>
    </row>
    <row r="1421" spans="19:20">
      <c r="S1421" t="s">
        <v>6664</v>
      </c>
      <c r="T1421" t="s">
        <v>590</v>
      </c>
    </row>
    <row r="1422" spans="19:20">
      <c r="S1422" t="s">
        <v>1748</v>
      </c>
      <c r="T1422" t="s">
        <v>951</v>
      </c>
    </row>
    <row r="1423" spans="19:20">
      <c r="S1423" t="s">
        <v>706</v>
      </c>
      <c r="T1423" t="s">
        <v>1457</v>
      </c>
    </row>
    <row r="1424" spans="19:20">
      <c r="S1424" t="s">
        <v>915</v>
      </c>
      <c r="T1424" t="s">
        <v>358</v>
      </c>
    </row>
    <row r="1425" spans="19:20">
      <c r="S1425" t="s">
        <v>6665</v>
      </c>
      <c r="T1425" t="s">
        <v>251</v>
      </c>
    </row>
    <row r="1426" spans="19:20">
      <c r="S1426" t="s">
        <v>6666</v>
      </c>
      <c r="T1426" t="s">
        <v>251</v>
      </c>
    </row>
    <row r="1427" spans="19:20">
      <c r="S1427" t="s">
        <v>426</v>
      </c>
      <c r="T1427" t="s">
        <v>181</v>
      </c>
    </row>
    <row r="1428" spans="19:20">
      <c r="S1428" t="s">
        <v>574</v>
      </c>
      <c r="T1428" t="s">
        <v>181</v>
      </c>
    </row>
    <row r="1429" spans="19:20">
      <c r="S1429" t="s">
        <v>577</v>
      </c>
      <c r="T1429" t="s">
        <v>181</v>
      </c>
    </row>
    <row r="1430" spans="19:20">
      <c r="S1430" t="s">
        <v>1475</v>
      </c>
      <c r="T1430" t="s">
        <v>181</v>
      </c>
    </row>
    <row r="1431" spans="19:20">
      <c r="S1431" t="s">
        <v>919</v>
      </c>
      <c r="T1431" t="s">
        <v>170</v>
      </c>
    </row>
    <row r="1432" spans="19:20">
      <c r="S1432" t="s">
        <v>296</v>
      </c>
      <c r="T1432" t="s">
        <v>251</v>
      </c>
    </row>
    <row r="1433" spans="19:20">
      <c r="S1433" t="s">
        <v>1749</v>
      </c>
      <c r="T1433" t="s">
        <v>924</v>
      </c>
    </row>
    <row r="1434" spans="19:20">
      <c r="S1434" t="s">
        <v>121</v>
      </c>
      <c r="T1434" t="s">
        <v>924</v>
      </c>
    </row>
    <row r="1435" spans="19:20">
      <c r="S1435" t="s">
        <v>120</v>
      </c>
      <c r="T1435" t="s">
        <v>924</v>
      </c>
    </row>
    <row r="1436" spans="19:20">
      <c r="S1436" t="s">
        <v>123</v>
      </c>
      <c r="T1436" t="s">
        <v>924</v>
      </c>
    </row>
    <row r="1437" spans="19:20">
      <c r="S1437" t="s">
        <v>122</v>
      </c>
      <c r="T1437" t="s">
        <v>924</v>
      </c>
    </row>
    <row r="1438" spans="19:20">
      <c r="S1438" t="s">
        <v>125</v>
      </c>
      <c r="T1438" t="s">
        <v>924</v>
      </c>
    </row>
    <row r="1439" spans="19:20">
      <c r="S1439" t="s">
        <v>124</v>
      </c>
      <c r="T1439" t="s">
        <v>924</v>
      </c>
    </row>
    <row r="1440" spans="19:20">
      <c r="S1440" t="s">
        <v>523</v>
      </c>
      <c r="T1440" t="s">
        <v>636</v>
      </c>
    </row>
    <row r="1441" spans="19:20">
      <c r="S1441" t="s">
        <v>6667</v>
      </c>
      <c r="T1441" t="s">
        <v>1457</v>
      </c>
    </row>
    <row r="1442" spans="19:20">
      <c r="S1442" t="s">
        <v>1750</v>
      </c>
      <c r="T1442" t="s">
        <v>551</v>
      </c>
    </row>
    <row r="1443" spans="19:20">
      <c r="S1443" t="s">
        <v>1751</v>
      </c>
      <c r="T1443" t="s">
        <v>251</v>
      </c>
    </row>
    <row r="1444" spans="19:20">
      <c r="S1444" t="s">
        <v>1752</v>
      </c>
      <c r="T1444" t="s">
        <v>251</v>
      </c>
    </row>
    <row r="1445" spans="19:20">
      <c r="S1445" t="s">
        <v>753</v>
      </c>
      <c r="T1445" t="s">
        <v>551</v>
      </c>
    </row>
    <row r="1446" spans="19:20">
      <c r="S1446" t="s">
        <v>1184</v>
      </c>
      <c r="T1446" t="s">
        <v>910</v>
      </c>
    </row>
    <row r="1447" spans="19:20">
      <c r="S1447" t="s">
        <v>1185</v>
      </c>
      <c r="T1447" t="s">
        <v>910</v>
      </c>
    </row>
    <row r="1448" spans="19:20">
      <c r="S1448" t="s">
        <v>625</v>
      </c>
      <c r="T1448" t="s">
        <v>1152</v>
      </c>
    </row>
    <row r="1449" spans="19:20">
      <c r="S1449" t="s">
        <v>671</v>
      </c>
      <c r="T1449" t="s">
        <v>1457</v>
      </c>
    </row>
    <row r="1450" spans="19:20">
      <c r="S1450" t="s">
        <v>672</v>
      </c>
      <c r="T1450" t="s">
        <v>217</v>
      </c>
    </row>
    <row r="1451" spans="19:20">
      <c r="S1451" t="s">
        <v>507</v>
      </c>
      <c r="T1451" t="s">
        <v>101</v>
      </c>
    </row>
    <row r="1452" spans="19:20">
      <c r="S1452" t="s">
        <v>918</v>
      </c>
      <c r="T1452" t="s">
        <v>963</v>
      </c>
    </row>
    <row r="1453" spans="19:20">
      <c r="S1453" t="s">
        <v>710</v>
      </c>
      <c r="T1453" t="s">
        <v>963</v>
      </c>
    </row>
    <row r="1454" spans="19:20">
      <c r="S1454" t="s">
        <v>709</v>
      </c>
      <c r="T1454" t="s">
        <v>963</v>
      </c>
    </row>
    <row r="1455" spans="19:20">
      <c r="S1455" t="s">
        <v>273</v>
      </c>
      <c r="T1455" t="s">
        <v>170</v>
      </c>
    </row>
    <row r="1456" spans="19:20">
      <c r="S1456" t="s">
        <v>360</v>
      </c>
      <c r="T1456" t="s">
        <v>461</v>
      </c>
    </row>
    <row r="1457" spans="19:20">
      <c r="S1457" t="s">
        <v>480</v>
      </c>
      <c r="T1457" t="s">
        <v>605</v>
      </c>
    </row>
    <row r="1458" spans="19:20">
      <c r="S1458" t="s">
        <v>646</v>
      </c>
      <c r="T1458" t="s">
        <v>1186</v>
      </c>
    </row>
    <row r="1459" spans="19:20">
      <c r="S1459" t="s">
        <v>658</v>
      </c>
      <c r="T1459" t="s">
        <v>251</v>
      </c>
    </row>
    <row r="1460" spans="19:20">
      <c r="S1460" t="s">
        <v>660</v>
      </c>
      <c r="T1460" t="s">
        <v>251</v>
      </c>
    </row>
    <row r="1461" spans="19:20">
      <c r="S1461" t="s">
        <v>705</v>
      </c>
      <c r="T1461" t="s">
        <v>1457</v>
      </c>
    </row>
    <row r="1462" spans="19:20">
      <c r="S1462" t="s">
        <v>764</v>
      </c>
      <c r="T1462" t="s">
        <v>251</v>
      </c>
    </row>
    <row r="1463" spans="19:20">
      <c r="S1463" t="s">
        <v>913</v>
      </c>
      <c r="T1463" t="s">
        <v>910</v>
      </c>
    </row>
    <row r="1464" spans="19:20">
      <c r="S1464" t="s">
        <v>954</v>
      </c>
      <c r="T1464" t="s">
        <v>181</v>
      </c>
    </row>
    <row r="1465" spans="19:20">
      <c r="S1465" t="s">
        <v>984</v>
      </c>
      <c r="T1465" t="s">
        <v>924</v>
      </c>
    </row>
    <row r="1466" spans="19:20">
      <c r="S1466" t="s">
        <v>1359</v>
      </c>
      <c r="T1466" t="s">
        <v>951</v>
      </c>
    </row>
    <row r="1467" spans="19:20">
      <c r="S1467" t="s">
        <v>6772</v>
      </c>
      <c r="T1467" t="s">
        <v>951</v>
      </c>
    </row>
    <row r="1468" spans="19:20">
      <c r="S1468" t="s">
        <v>1468</v>
      </c>
      <c r="T1468" t="s">
        <v>924</v>
      </c>
    </row>
    <row r="1469" spans="19:20">
      <c r="S1469" t="s">
        <v>1512</v>
      </c>
      <c r="T1469" t="s">
        <v>1017</v>
      </c>
    </row>
    <row r="1470" spans="19:20">
      <c r="S1470" t="s">
        <v>1529</v>
      </c>
      <c r="T1470" t="s">
        <v>196</v>
      </c>
    </row>
    <row r="1471" spans="19:20">
      <c r="S1471" t="s">
        <v>6668</v>
      </c>
      <c r="T1471" t="s">
        <v>12</v>
      </c>
    </row>
    <row r="1472" spans="19:20">
      <c r="S1472" t="s">
        <v>6669</v>
      </c>
      <c r="T1472" t="s">
        <v>12</v>
      </c>
    </row>
    <row r="1473" spans="19:20">
      <c r="S1473" t="s">
        <v>6670</v>
      </c>
      <c r="T1473" t="s">
        <v>951</v>
      </c>
    </row>
    <row r="1474" spans="19:20">
      <c r="S1474" t="s">
        <v>6671</v>
      </c>
      <c r="T1474" t="s">
        <v>251</v>
      </c>
    </row>
    <row r="1475" spans="19:20">
      <c r="S1475" t="s">
        <v>6672</v>
      </c>
      <c r="T1475" t="s">
        <v>633</v>
      </c>
    </row>
    <row r="1476" spans="19:20">
      <c r="S1476" t="s">
        <v>6673</v>
      </c>
      <c r="T1476" t="s">
        <v>1444</v>
      </c>
    </row>
    <row r="1477" spans="19:20">
      <c r="S1477" t="s">
        <v>6674</v>
      </c>
      <c r="T1477" t="s">
        <v>358</v>
      </c>
    </row>
    <row r="1478" spans="19:20">
      <c r="S1478" t="s">
        <v>6675</v>
      </c>
      <c r="T1478" t="s">
        <v>251</v>
      </c>
    </row>
    <row r="1479" spans="19:20">
      <c r="S1479" t="s">
        <v>6676</v>
      </c>
      <c r="T1479" t="s">
        <v>1152</v>
      </c>
    </row>
    <row r="1480" spans="19:20">
      <c r="S1480" t="s">
        <v>6677</v>
      </c>
      <c r="T1480" t="s">
        <v>251</v>
      </c>
    </row>
    <row r="1481" spans="19:20">
      <c r="S1481" t="s">
        <v>6678</v>
      </c>
      <c r="T1481" t="s">
        <v>590</v>
      </c>
    </row>
    <row r="1482" spans="19:20">
      <c r="S1482" t="s">
        <v>6679</v>
      </c>
      <c r="T1482" t="s">
        <v>385</v>
      </c>
    </row>
    <row r="1483" spans="19:20">
      <c r="S1483" t="s">
        <v>6680</v>
      </c>
      <c r="T1483" t="s">
        <v>152</v>
      </c>
    </row>
    <row r="1484" spans="19:20">
      <c r="S1484" t="s">
        <v>6681</v>
      </c>
      <c r="T1484" t="s">
        <v>385</v>
      </c>
    </row>
    <row r="1485" spans="19:20">
      <c r="S1485" t="s">
        <v>6682</v>
      </c>
      <c r="T1485" t="s">
        <v>251</v>
      </c>
    </row>
    <row r="1486" spans="19:20">
      <c r="S1486" t="s">
        <v>6683</v>
      </c>
      <c r="T1486" t="s">
        <v>12</v>
      </c>
    </row>
    <row r="1487" spans="19:20">
      <c r="S1487" t="s">
        <v>6684</v>
      </c>
      <c r="T1487" t="s">
        <v>12</v>
      </c>
    </row>
    <row r="1488" spans="19:20">
      <c r="S1488" t="s">
        <v>6685</v>
      </c>
      <c r="T1488" t="s">
        <v>263</v>
      </c>
    </row>
    <row r="1489" spans="19:20">
      <c r="S1489" t="s">
        <v>6686</v>
      </c>
      <c r="T1489" t="s">
        <v>263</v>
      </c>
    </row>
    <row r="1490" spans="19:20">
      <c r="S1490" t="s">
        <v>6687</v>
      </c>
      <c r="T1490" t="s">
        <v>1152</v>
      </c>
    </row>
    <row r="1491" spans="19:20">
      <c r="S1491" t="s">
        <v>6688</v>
      </c>
      <c r="T1491" t="s">
        <v>924</v>
      </c>
    </row>
    <row r="1492" spans="19:20">
      <c r="S1492" t="s">
        <v>6689</v>
      </c>
      <c r="T1492" t="s">
        <v>924</v>
      </c>
    </row>
    <row r="1493" spans="19:20">
      <c r="S1493" t="s">
        <v>6690</v>
      </c>
      <c r="T1493" t="s">
        <v>924</v>
      </c>
    </row>
    <row r="1494" spans="19:20">
      <c r="S1494" t="s">
        <v>6691</v>
      </c>
      <c r="T1494" t="s">
        <v>1457</v>
      </c>
    </row>
    <row r="1495" spans="19:20">
      <c r="S1495" t="s">
        <v>6692</v>
      </c>
      <c r="T1495" t="s">
        <v>1457</v>
      </c>
    </row>
    <row r="1496" spans="19:20">
      <c r="S1496" t="s">
        <v>6693</v>
      </c>
      <c r="T1496" t="s">
        <v>251</v>
      </c>
    </row>
    <row r="1497" spans="19:20">
      <c r="S1497" t="s">
        <v>6694</v>
      </c>
      <c r="T1497" t="s">
        <v>434</v>
      </c>
    </row>
    <row r="1498" spans="19:20">
      <c r="S1498" t="s">
        <v>6695</v>
      </c>
      <c r="T1498" t="s">
        <v>434</v>
      </c>
    </row>
    <row r="1499" spans="19:20">
      <c r="S1499" t="s">
        <v>6696</v>
      </c>
      <c r="T1499" t="s">
        <v>551</v>
      </c>
    </row>
    <row r="1500" spans="19:20">
      <c r="S1500" t="s">
        <v>6697</v>
      </c>
      <c r="T1500" t="s">
        <v>358</v>
      </c>
    </row>
    <row r="1501" spans="19:20">
      <c r="S1501" t="s">
        <v>6698</v>
      </c>
      <c r="T1501" t="s">
        <v>628</v>
      </c>
    </row>
    <row r="1502" spans="19:20">
      <c r="S1502" t="s">
        <v>6699</v>
      </c>
      <c r="T1502" t="s">
        <v>251</v>
      </c>
    </row>
    <row r="1503" spans="19:20">
      <c r="S1503" t="s">
        <v>6700</v>
      </c>
      <c r="T1503" t="s">
        <v>251</v>
      </c>
    </row>
    <row r="1504" spans="19:20">
      <c r="S1504" t="s">
        <v>6701</v>
      </c>
      <c r="T1504" t="s">
        <v>790</v>
      </c>
    </row>
    <row r="1505" spans="19:20">
      <c r="S1505" t="s">
        <v>6702</v>
      </c>
      <c r="T1505" t="s">
        <v>952</v>
      </c>
    </row>
    <row r="1506" spans="19:20">
      <c r="S1506" t="s">
        <v>6771</v>
      </c>
      <c r="T1506" t="s">
        <v>952</v>
      </c>
    </row>
    <row r="1507" spans="19:20">
      <c r="S1507" t="s">
        <v>6703</v>
      </c>
      <c r="T1507" t="s">
        <v>385</v>
      </c>
    </row>
    <row r="1508" spans="19:20">
      <c r="S1508" t="s">
        <v>6704</v>
      </c>
      <c r="T1508" t="s">
        <v>358</v>
      </c>
    </row>
    <row r="1509" spans="19:20">
      <c r="S1509" t="s">
        <v>6705</v>
      </c>
      <c r="T1509" t="s">
        <v>1091</v>
      </c>
    </row>
    <row r="1510" spans="19:20">
      <c r="S1510" t="s">
        <v>6706</v>
      </c>
      <c r="T1510" t="s">
        <v>385</v>
      </c>
    </row>
    <row r="1511" spans="19:20">
      <c r="S1511" t="s">
        <v>6707</v>
      </c>
      <c r="T1511" t="s">
        <v>385</v>
      </c>
    </row>
    <row r="1512" spans="19:20">
      <c r="S1512" t="s">
        <v>6708</v>
      </c>
      <c r="T1512" t="s">
        <v>924</v>
      </c>
    </row>
    <row r="1513" spans="19:20">
      <c r="S1513" t="s">
        <v>6709</v>
      </c>
      <c r="T1513" t="s">
        <v>924</v>
      </c>
    </row>
    <row r="1514" spans="19:20">
      <c r="S1514" t="s">
        <v>6710</v>
      </c>
      <c r="T1514" t="s">
        <v>385</v>
      </c>
    </row>
    <row r="1515" spans="19:20">
      <c r="S1515" t="s">
        <v>6711</v>
      </c>
      <c r="T1515" t="s">
        <v>358</v>
      </c>
    </row>
    <row r="1516" spans="19:20">
      <c r="S1516" t="s">
        <v>6712</v>
      </c>
      <c r="T1516" t="s">
        <v>605</v>
      </c>
    </row>
    <row r="1517" spans="19:20">
      <c r="S1517" t="s">
        <v>6713</v>
      </c>
      <c r="T1517" t="s">
        <v>101</v>
      </c>
    </row>
    <row r="1518" spans="19:20">
      <c r="S1518" t="s">
        <v>6714</v>
      </c>
      <c r="T1518" t="s">
        <v>101</v>
      </c>
    </row>
    <row r="1519" spans="19:20">
      <c r="S1519" t="s">
        <v>6715</v>
      </c>
      <c r="T1519" t="s">
        <v>1152</v>
      </c>
    </row>
    <row r="1520" spans="19:20">
      <c r="S1520" t="s">
        <v>6716</v>
      </c>
      <c r="T1520" t="s">
        <v>1152</v>
      </c>
    </row>
    <row r="1521" spans="19:20">
      <c r="S1521" t="s">
        <v>6717</v>
      </c>
      <c r="T1521" t="s">
        <v>251</v>
      </c>
    </row>
    <row r="1522" spans="19:20">
      <c r="S1522" t="s">
        <v>6718</v>
      </c>
      <c r="T1522" t="s">
        <v>251</v>
      </c>
    </row>
    <row r="1523" spans="19:20">
      <c r="S1523" t="s">
        <v>6719</v>
      </c>
      <c r="T1523" t="s">
        <v>152</v>
      </c>
    </row>
    <row r="1524" spans="19:20">
      <c r="S1524" t="s">
        <v>6720</v>
      </c>
      <c r="T1524" t="s">
        <v>850</v>
      </c>
    </row>
    <row r="1525" spans="19:20">
      <c r="S1525" t="s">
        <v>6721</v>
      </c>
      <c r="T1525" t="s">
        <v>385</v>
      </c>
    </row>
    <row r="1526" spans="19:20">
      <c r="S1526" t="s">
        <v>6722</v>
      </c>
      <c r="T1526" t="s">
        <v>358</v>
      </c>
    </row>
    <row r="1527" spans="19:20">
      <c r="S1527" t="s">
        <v>6723</v>
      </c>
      <c r="T1527" t="s">
        <v>358</v>
      </c>
    </row>
    <row r="1528" spans="19:20">
      <c r="S1528" t="s">
        <v>6724</v>
      </c>
      <c r="T1528" t="s">
        <v>358</v>
      </c>
    </row>
    <row r="1529" spans="19:20">
      <c r="S1529" t="s">
        <v>6725</v>
      </c>
      <c r="T1529" t="s">
        <v>1198</v>
      </c>
    </row>
    <row r="1530" spans="19:20">
      <c r="S1530" t="s">
        <v>6726</v>
      </c>
      <c r="T1530" t="s">
        <v>1198</v>
      </c>
    </row>
    <row r="1531" spans="19:20">
      <c r="S1531" t="s">
        <v>6727</v>
      </c>
      <c r="T1531" t="s">
        <v>1152</v>
      </c>
    </row>
    <row r="1532" spans="19:20">
      <c r="S1532" t="s">
        <v>6728</v>
      </c>
      <c r="T1532" t="s">
        <v>1457</v>
      </c>
    </row>
    <row r="1533" spans="19:20">
      <c r="S1533" t="s">
        <v>6729</v>
      </c>
      <c r="T1533" t="s">
        <v>181</v>
      </c>
    </row>
    <row r="1534" spans="19:20">
      <c r="S1534" t="s">
        <v>6730</v>
      </c>
      <c r="T1534" t="s">
        <v>1198</v>
      </c>
    </row>
    <row r="1535" spans="19:20">
      <c r="S1535" t="s">
        <v>6731</v>
      </c>
      <c r="T1535" t="s">
        <v>636</v>
      </c>
    </row>
    <row r="1536" spans="19:20">
      <c r="S1536" t="s">
        <v>6732</v>
      </c>
      <c r="T1536" t="s">
        <v>636</v>
      </c>
    </row>
    <row r="1537" spans="19:20">
      <c r="S1537" t="s">
        <v>6733</v>
      </c>
      <c r="T1537" t="s">
        <v>636</v>
      </c>
    </row>
    <row r="1538" spans="19:20">
      <c r="S1538" t="s">
        <v>6734</v>
      </c>
      <c r="T1538" t="s">
        <v>1152</v>
      </c>
    </row>
    <row r="1539" spans="19:20">
      <c r="S1539" t="s">
        <v>6735</v>
      </c>
      <c r="T1539" t="s">
        <v>1152</v>
      </c>
    </row>
    <row r="1540" spans="19:20">
      <c r="S1540" t="s">
        <v>6736</v>
      </c>
      <c r="T1540" t="s">
        <v>1152</v>
      </c>
    </row>
    <row r="1541" spans="19:20">
      <c r="S1541" t="s">
        <v>6737</v>
      </c>
      <c r="T1541" t="s">
        <v>251</v>
      </c>
    </row>
    <row r="1542" spans="19:20">
      <c r="S1542" t="s">
        <v>6738</v>
      </c>
      <c r="T1542" t="s">
        <v>358</v>
      </c>
    </row>
    <row r="1543" spans="19:20">
      <c r="S1543" t="s">
        <v>6739</v>
      </c>
      <c r="T1543" t="s">
        <v>251</v>
      </c>
    </row>
    <row r="1544" spans="19:20">
      <c r="S1544" t="s">
        <v>6740</v>
      </c>
      <c r="T1544" t="s">
        <v>251</v>
      </c>
    </row>
    <row r="1545" spans="19:20">
      <c r="S1545" t="s">
        <v>6741</v>
      </c>
      <c r="T1545" t="s">
        <v>251</v>
      </c>
    </row>
    <row r="1546" spans="19:20">
      <c r="S1546" t="s">
        <v>6742</v>
      </c>
      <c r="T1546" t="s">
        <v>251</v>
      </c>
    </row>
    <row r="1547" spans="19:20">
      <c r="S1547" t="s">
        <v>6743</v>
      </c>
      <c r="T1547" t="s">
        <v>181</v>
      </c>
    </row>
    <row r="1548" spans="19:20">
      <c r="S1548" t="s">
        <v>6744</v>
      </c>
      <c r="T1548" t="s">
        <v>181</v>
      </c>
    </row>
    <row r="1549" spans="19:20">
      <c r="S1549" t="s">
        <v>6745</v>
      </c>
      <c r="T1549" t="s">
        <v>181</v>
      </c>
    </row>
    <row r="1550" spans="19:20">
      <c r="S1550" t="s">
        <v>6746</v>
      </c>
      <c r="T1550" t="s">
        <v>181</v>
      </c>
    </row>
    <row r="1551" spans="19:20">
      <c r="S1551" t="s">
        <v>6747</v>
      </c>
      <c r="T1551" t="s">
        <v>181</v>
      </c>
    </row>
    <row r="1552" spans="19:20">
      <c r="S1552" t="s">
        <v>6748</v>
      </c>
      <c r="T1552" t="s">
        <v>181</v>
      </c>
    </row>
    <row r="1553" spans="19:20">
      <c r="S1553" t="s">
        <v>6749</v>
      </c>
      <c r="T1553" t="s">
        <v>181</v>
      </c>
    </row>
    <row r="1554" spans="19:20">
      <c r="S1554" t="s">
        <v>6750</v>
      </c>
      <c r="T1554" t="s">
        <v>924</v>
      </c>
    </row>
    <row r="1555" spans="19:20">
      <c r="S1555" t="s">
        <v>6751</v>
      </c>
      <c r="T1555" t="s">
        <v>924</v>
      </c>
    </row>
    <row r="1556" spans="19:20">
      <c r="S1556" t="s">
        <v>6752</v>
      </c>
      <c r="T1556" t="s">
        <v>924</v>
      </c>
    </row>
    <row r="1557" spans="19:20">
      <c r="S1557" t="s">
        <v>6753</v>
      </c>
      <c r="T1557" t="s">
        <v>884</v>
      </c>
    </row>
    <row r="1558" spans="19:20">
      <c r="S1558" t="s">
        <v>6754</v>
      </c>
      <c r="T1558" t="s">
        <v>385</v>
      </c>
    </row>
    <row r="1559" spans="19:20">
      <c r="S1559" t="s">
        <v>6755</v>
      </c>
      <c r="T1559" t="s">
        <v>951</v>
      </c>
    </row>
    <row r="1560" spans="19:20">
      <c r="S1560" t="s">
        <v>6756</v>
      </c>
      <c r="T1560" t="s">
        <v>358</v>
      </c>
    </row>
    <row r="1561" spans="19:20">
      <c r="S1561" t="s">
        <v>6757</v>
      </c>
      <c r="T1561" t="s">
        <v>358</v>
      </c>
    </row>
    <row r="1562" spans="19:20">
      <c r="S1562" t="s">
        <v>6758</v>
      </c>
      <c r="T1562" t="s">
        <v>358</v>
      </c>
    </row>
    <row r="1563" spans="19:20">
      <c r="S1563" t="s">
        <v>6759</v>
      </c>
      <c r="T1563" t="s">
        <v>181</v>
      </c>
    </row>
    <row r="1564" spans="19:20">
      <c r="S1564" t="s">
        <v>6760</v>
      </c>
      <c r="T1564" t="s">
        <v>434</v>
      </c>
    </row>
    <row r="1565" spans="19:20">
      <c r="S1565" t="s">
        <v>6761</v>
      </c>
      <c r="T1565" t="s">
        <v>101</v>
      </c>
    </row>
    <row r="1566" spans="19:20">
      <c r="S1566" t="s">
        <v>6762</v>
      </c>
      <c r="T1566" t="s">
        <v>101</v>
      </c>
    </row>
    <row r="1567" spans="19:20">
      <c r="S1567" t="s">
        <v>6763</v>
      </c>
      <c r="T1567" t="s">
        <v>648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trae_PNCP">
                <anchor moveWithCells="1" sizeWithCells="1">
                  <from>
                    <xdr:col>14</xdr:col>
                    <xdr:colOff>828675</xdr:colOff>
                    <xdr:row>4</xdr:row>
                    <xdr:rowOff>142875</xdr:rowOff>
                  </from>
                  <to>
                    <xdr:col>17</xdr:col>
                    <xdr:colOff>66675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ED601-2228-4A3D-8853-A2B598F9341E}">
  <sheetPr codeName="Hoja8">
    <tabColor theme="9" tint="-0.249977111117893"/>
  </sheetPr>
  <dimension ref="A1:L51"/>
  <sheetViews>
    <sheetView showGridLines="0" zoomScale="70" zoomScaleNormal="70" workbookViewId="0">
      <pane ySplit="1" topLeftCell="A5" activePane="bottomLeft" state="frozen"/>
      <selection activeCell="B2" sqref="B2"/>
      <selection pane="bottomLeft" activeCell="J20" sqref="J20"/>
    </sheetView>
  </sheetViews>
  <sheetFormatPr baseColWidth="10" defaultColWidth="11.42578125" defaultRowHeight="15"/>
  <cols>
    <col min="1" max="1" width="24.42578125" style="6" bestFit="1" customWidth="1"/>
    <col min="2" max="2" width="35.85546875" style="6" bestFit="1" customWidth="1"/>
    <col min="3" max="3" width="33.42578125" style="6" bestFit="1" customWidth="1"/>
    <col min="4" max="4" width="33.42578125" style="6" customWidth="1"/>
    <col min="5" max="5" width="31" style="6" bestFit="1" customWidth="1"/>
    <col min="6" max="6" width="19.42578125" style="6" customWidth="1"/>
    <col min="7" max="7" width="19.28515625" style="6" bestFit="1" customWidth="1"/>
    <col min="8" max="16384" width="11.42578125" style="6"/>
  </cols>
  <sheetData>
    <row r="1" spans="1:11" ht="30">
      <c r="A1" s="3" t="s">
        <v>1584</v>
      </c>
      <c r="B1" s="3" t="s">
        <v>1552</v>
      </c>
      <c r="C1" s="2" t="s">
        <v>1568</v>
      </c>
      <c r="D1" s="2" t="s">
        <v>1567</v>
      </c>
      <c r="E1" s="2" t="s">
        <v>1553</v>
      </c>
      <c r="F1" s="3" t="s">
        <v>1554</v>
      </c>
    </row>
    <row r="2" spans="1:11">
      <c r="A2" s="6" t="str">
        <f>+C2&amp;"_"&amp;D2</f>
        <v>PARINACOTA_220</v>
      </c>
      <c r="B2" s="6" t="s">
        <v>6515</v>
      </c>
      <c r="C2" s="1" t="s">
        <v>1016</v>
      </c>
      <c r="D2" s="1">
        <v>220</v>
      </c>
      <c r="E2" s="5">
        <v>50.25</v>
      </c>
      <c r="F2" s="4">
        <v>46113</v>
      </c>
      <c r="I2" s="5"/>
      <c r="K2" s="8" t="s">
        <v>6524</v>
      </c>
    </row>
    <row r="3" spans="1:11">
      <c r="A3" s="6" t="str">
        <f t="shared" ref="A3:A51" si="0">+C3&amp;"_"&amp;D3</f>
        <v>P.ALMONTE_220</v>
      </c>
      <c r="B3" s="6" t="s">
        <v>6515</v>
      </c>
      <c r="C3" s="1" t="s">
        <v>935</v>
      </c>
      <c r="D3" s="1">
        <v>220</v>
      </c>
      <c r="E3" s="5">
        <v>52</v>
      </c>
      <c r="F3" s="4">
        <v>46113</v>
      </c>
      <c r="I3" s="5"/>
    </row>
    <row r="4" spans="1:11">
      <c r="A4" s="6" t="str">
        <f t="shared" si="0"/>
        <v>CONDORES_220</v>
      </c>
      <c r="B4" s="6" t="s">
        <v>6515</v>
      </c>
      <c r="C4" s="1" t="s">
        <v>338</v>
      </c>
      <c r="D4" s="1">
        <v>220</v>
      </c>
      <c r="E4" s="5">
        <v>49.093000000000004</v>
      </c>
      <c r="F4" s="4">
        <v>46113</v>
      </c>
      <c r="I4" s="5"/>
    </row>
    <row r="5" spans="1:11">
      <c r="A5" s="6" t="str">
        <f t="shared" si="0"/>
        <v>TARAPACA_220</v>
      </c>
      <c r="B5" s="6" t="s">
        <v>6515</v>
      </c>
      <c r="C5" s="1" t="s">
        <v>1445</v>
      </c>
      <c r="D5" s="1">
        <v>220</v>
      </c>
      <c r="E5" s="5">
        <v>50.771000000000001</v>
      </c>
      <c r="F5" s="4">
        <v>46113</v>
      </c>
      <c r="I5" s="5"/>
    </row>
    <row r="6" spans="1:11">
      <c r="A6" s="6" t="str">
        <f t="shared" si="0"/>
        <v>LAGUNAS_220</v>
      </c>
      <c r="B6" s="6" t="s">
        <v>6515</v>
      </c>
      <c r="C6" s="1" t="s">
        <v>632</v>
      </c>
      <c r="D6" s="1">
        <v>220</v>
      </c>
      <c r="E6" s="5">
        <v>50.503999999999998</v>
      </c>
      <c r="F6" s="4">
        <v>46113</v>
      </c>
      <c r="I6" s="5"/>
    </row>
    <row r="7" spans="1:11">
      <c r="A7" s="6" t="str">
        <f t="shared" si="0"/>
        <v>N.VICTORIA_220</v>
      </c>
      <c r="B7" s="6" t="s">
        <v>6515</v>
      </c>
      <c r="C7" s="1" t="s">
        <v>885</v>
      </c>
      <c r="D7" s="1">
        <v>220</v>
      </c>
      <c r="E7" s="5">
        <v>50.356999999999999</v>
      </c>
      <c r="F7" s="4">
        <v>46113</v>
      </c>
      <c r="I7" s="5"/>
    </row>
    <row r="8" spans="1:11">
      <c r="A8" s="6" t="str">
        <f t="shared" si="0"/>
        <v>CRUCERO_220</v>
      </c>
      <c r="B8" s="6" t="s">
        <v>6515</v>
      </c>
      <c r="C8" s="1" t="s">
        <v>359</v>
      </c>
      <c r="D8" s="1">
        <v>220</v>
      </c>
      <c r="E8" s="5">
        <v>49.738</v>
      </c>
      <c r="F8" s="4">
        <v>46113</v>
      </c>
      <c r="I8" s="5"/>
    </row>
    <row r="9" spans="1:11">
      <c r="A9" s="6" t="str">
        <f t="shared" si="0"/>
        <v>ENCUENTRO_220</v>
      </c>
      <c r="B9" s="6" t="s">
        <v>6515</v>
      </c>
      <c r="C9" s="1" t="s">
        <v>462</v>
      </c>
      <c r="D9" s="1">
        <v>220</v>
      </c>
      <c r="E9" s="5">
        <v>51.875</v>
      </c>
      <c r="F9" s="4">
        <v>46113</v>
      </c>
      <c r="I9" s="5"/>
    </row>
    <row r="10" spans="1:11">
      <c r="A10" s="6" t="str">
        <f t="shared" si="0"/>
        <v>CHUQUICAMATA_220</v>
      </c>
      <c r="B10" s="6" t="s">
        <v>6515</v>
      </c>
      <c r="C10" s="1" t="s">
        <v>292</v>
      </c>
      <c r="D10" s="1">
        <v>220</v>
      </c>
      <c r="E10" s="5">
        <v>52.235999999999997</v>
      </c>
      <c r="F10" s="4">
        <v>46113</v>
      </c>
      <c r="I10" s="5"/>
    </row>
    <row r="11" spans="1:11">
      <c r="A11" s="6" t="str">
        <f t="shared" si="0"/>
        <v>CALAMA_220</v>
      </c>
      <c r="B11" s="6" t="s">
        <v>6515</v>
      </c>
      <c r="C11" s="1" t="s">
        <v>168</v>
      </c>
      <c r="D11" s="1">
        <v>220</v>
      </c>
      <c r="E11" s="5">
        <v>52.978999999999999</v>
      </c>
      <c r="F11" s="4">
        <v>46113</v>
      </c>
      <c r="I11" s="5"/>
    </row>
    <row r="12" spans="1:11">
      <c r="A12" s="6" t="str">
        <f t="shared" si="0"/>
        <v>TESORO_220</v>
      </c>
      <c r="B12" s="6" t="s">
        <v>6515</v>
      </c>
      <c r="C12" s="1" t="s">
        <v>1466</v>
      </c>
      <c r="D12" s="1">
        <v>220</v>
      </c>
      <c r="E12" s="5">
        <v>51.674999999999997</v>
      </c>
      <c r="F12" s="4">
        <v>46113</v>
      </c>
      <c r="I12" s="5"/>
    </row>
    <row r="13" spans="1:11">
      <c r="A13" s="6" t="str">
        <f t="shared" si="0"/>
        <v>ESPERANZA_SNG_220</v>
      </c>
      <c r="B13" s="6" t="s">
        <v>6515</v>
      </c>
      <c r="C13" s="1" t="s">
        <v>479</v>
      </c>
      <c r="D13" s="1">
        <v>220</v>
      </c>
      <c r="E13" s="5">
        <v>51.665999999999997</v>
      </c>
      <c r="F13" s="4">
        <v>46113</v>
      </c>
      <c r="I13" s="5"/>
    </row>
    <row r="14" spans="1:11">
      <c r="A14" s="6" t="str">
        <f t="shared" si="0"/>
        <v>ATACAMA_220</v>
      </c>
      <c r="B14" s="6" t="s">
        <v>6515</v>
      </c>
      <c r="C14" s="1" t="s">
        <v>100</v>
      </c>
      <c r="D14" s="1">
        <v>220</v>
      </c>
      <c r="E14" s="5">
        <v>52.774000000000001</v>
      </c>
      <c r="F14" s="4">
        <v>46113</v>
      </c>
      <c r="I14" s="5"/>
    </row>
    <row r="15" spans="1:11">
      <c r="A15" s="6" t="str">
        <f t="shared" si="0"/>
        <v>ELCOBRE_220</v>
      </c>
      <c r="B15" s="6" t="s">
        <v>6515</v>
      </c>
      <c r="C15" s="1" t="s">
        <v>435</v>
      </c>
      <c r="D15" s="1">
        <v>220</v>
      </c>
      <c r="E15" s="5">
        <v>48.728000000000002</v>
      </c>
      <c r="F15" s="4">
        <v>46113</v>
      </c>
      <c r="I15" s="5"/>
    </row>
    <row r="16" spans="1:11">
      <c r="A16" s="6" t="str">
        <f t="shared" si="0"/>
        <v>LABERINTO_220</v>
      </c>
      <c r="B16" s="6" t="s">
        <v>6515</v>
      </c>
      <c r="C16" s="1" t="s">
        <v>629</v>
      </c>
      <c r="D16" s="1">
        <v>220</v>
      </c>
      <c r="E16" s="5">
        <v>48.679000000000002</v>
      </c>
      <c r="F16" s="4">
        <v>46113</v>
      </c>
      <c r="I16" s="5"/>
    </row>
    <row r="17" spans="1:12">
      <c r="A17" s="6" t="str">
        <f t="shared" si="0"/>
        <v>OHIGGINS_220</v>
      </c>
      <c r="B17" s="6" t="s">
        <v>6515</v>
      </c>
      <c r="C17" s="1" t="s">
        <v>925</v>
      </c>
      <c r="D17" s="1">
        <v>220</v>
      </c>
      <c r="E17" s="5">
        <v>49.462000000000003</v>
      </c>
      <c r="F17" s="4">
        <v>46113</v>
      </c>
      <c r="I17" s="5"/>
    </row>
    <row r="18" spans="1:12">
      <c r="A18" s="6" t="str">
        <f t="shared" si="0"/>
        <v>D.ALMAGRO_220</v>
      </c>
      <c r="B18" s="6" t="s">
        <v>6515</v>
      </c>
      <c r="C18" s="1" t="s">
        <v>383</v>
      </c>
      <c r="D18" s="1">
        <v>220</v>
      </c>
      <c r="E18" s="5">
        <v>51.473999999999997</v>
      </c>
      <c r="F18" s="4">
        <v>46113</v>
      </c>
      <c r="I18" s="5"/>
    </row>
    <row r="19" spans="1:12">
      <c r="A19" s="6" t="str">
        <f t="shared" si="0"/>
        <v>C.PINTO_220</v>
      </c>
      <c r="B19" s="6" t="s">
        <v>6515</v>
      </c>
      <c r="C19" s="1" t="s">
        <v>154</v>
      </c>
      <c r="D19" s="1">
        <v>220</v>
      </c>
      <c r="E19" s="5">
        <v>51.286999999999999</v>
      </c>
      <c r="F19" s="4">
        <v>46113</v>
      </c>
      <c r="I19" s="5"/>
    </row>
    <row r="20" spans="1:12">
      <c r="A20" s="6" t="str">
        <f t="shared" si="0"/>
        <v>CARDONES_220</v>
      </c>
      <c r="B20" s="6" t="s">
        <v>6515</v>
      </c>
      <c r="C20" s="1" t="s">
        <v>195</v>
      </c>
      <c r="D20" s="1">
        <v>220</v>
      </c>
      <c r="E20" s="5">
        <v>51.563000000000002</v>
      </c>
      <c r="F20" s="4">
        <v>46113</v>
      </c>
      <c r="I20" s="5"/>
    </row>
    <row r="21" spans="1:12">
      <c r="A21" s="6" t="str">
        <f t="shared" si="0"/>
        <v>MAITENCILLO_220</v>
      </c>
      <c r="B21" s="6" t="s">
        <v>6515</v>
      </c>
      <c r="C21" s="1" t="s">
        <v>795</v>
      </c>
      <c r="D21" s="1">
        <v>220</v>
      </c>
      <c r="E21" s="5">
        <v>50.423999999999999</v>
      </c>
      <c r="F21" s="4">
        <v>46113</v>
      </c>
      <c r="I21" s="5"/>
    </row>
    <row r="22" spans="1:12">
      <c r="A22" s="6" t="str">
        <f t="shared" si="0"/>
        <v>P.COLORADA_220</v>
      </c>
      <c r="B22" s="6" t="s">
        <v>6515</v>
      </c>
      <c r="C22" s="1" t="s">
        <v>953</v>
      </c>
      <c r="D22" s="1">
        <v>220</v>
      </c>
      <c r="E22" s="5">
        <v>50.642000000000003</v>
      </c>
      <c r="F22" s="4">
        <v>46113</v>
      </c>
      <c r="I22" s="5"/>
    </row>
    <row r="23" spans="1:12">
      <c r="A23" s="6" t="str">
        <f t="shared" si="0"/>
        <v>P.AZUCAR_220</v>
      </c>
      <c r="B23" s="6" t="s">
        <v>6515</v>
      </c>
      <c r="C23" s="1" t="s">
        <v>948</v>
      </c>
      <c r="D23" s="1">
        <v>220</v>
      </c>
      <c r="E23" s="5">
        <v>51.737000000000002</v>
      </c>
      <c r="F23" s="4">
        <v>46113</v>
      </c>
      <c r="I23" s="5"/>
      <c r="L23"/>
    </row>
    <row r="24" spans="1:12">
      <c r="A24" s="6" t="str">
        <f t="shared" si="0"/>
        <v>L.VILOS_220</v>
      </c>
      <c r="B24" s="6" t="s">
        <v>6515</v>
      </c>
      <c r="C24" s="1" t="s">
        <v>606</v>
      </c>
      <c r="D24" s="1">
        <v>220</v>
      </c>
      <c r="E24" s="5">
        <v>52.988</v>
      </c>
      <c r="F24" s="4">
        <v>46113</v>
      </c>
      <c r="I24" s="5"/>
    </row>
    <row r="25" spans="1:12">
      <c r="A25" s="6" t="str">
        <f t="shared" si="0"/>
        <v>NOGALES_220</v>
      </c>
      <c r="B25" s="6" t="s">
        <v>6515</v>
      </c>
      <c r="C25" s="1" t="s">
        <v>911</v>
      </c>
      <c r="D25" s="1">
        <v>220</v>
      </c>
      <c r="E25" s="5">
        <v>51.460999999999999</v>
      </c>
      <c r="F25" s="4">
        <v>46113</v>
      </c>
      <c r="I25" s="5"/>
    </row>
    <row r="26" spans="1:12">
      <c r="A26" s="6" t="str">
        <f t="shared" si="0"/>
        <v>QUILLOTA_220</v>
      </c>
      <c r="B26" s="6" t="s">
        <v>6515</v>
      </c>
      <c r="C26" s="1" t="s">
        <v>1151</v>
      </c>
      <c r="D26" s="1">
        <v>220</v>
      </c>
      <c r="E26" s="5">
        <v>52.235999999999997</v>
      </c>
      <c r="F26" s="4">
        <v>46113</v>
      </c>
      <c r="I26" s="5"/>
    </row>
    <row r="27" spans="1:12">
      <c r="A27" s="6" t="str">
        <f t="shared" si="0"/>
        <v>POLPAICO_220</v>
      </c>
      <c r="B27" s="6" t="s">
        <v>6515</v>
      </c>
      <c r="C27" s="1" t="s">
        <v>1090</v>
      </c>
      <c r="D27" s="1">
        <v>220</v>
      </c>
      <c r="E27" s="5">
        <v>48.715000000000003</v>
      </c>
      <c r="F27" s="4">
        <v>46113</v>
      </c>
      <c r="I27" s="5"/>
    </row>
    <row r="28" spans="1:12">
      <c r="A28" s="6" t="str">
        <f t="shared" si="0"/>
        <v>EL.LLANO_220</v>
      </c>
      <c r="B28" s="6" t="s">
        <v>6515</v>
      </c>
      <c r="C28" s="1" t="s">
        <v>415</v>
      </c>
      <c r="D28" s="1">
        <v>220</v>
      </c>
      <c r="E28" s="5">
        <v>56.847000000000001</v>
      </c>
      <c r="F28" s="4">
        <v>46113</v>
      </c>
      <c r="I28" s="5"/>
    </row>
    <row r="29" spans="1:12">
      <c r="A29" s="6" t="str">
        <f t="shared" si="0"/>
        <v>L.MAQUIS_220</v>
      </c>
      <c r="B29" s="6" t="s">
        <v>6515</v>
      </c>
      <c r="C29" s="1" t="s">
        <v>589</v>
      </c>
      <c r="D29" s="1">
        <v>220</v>
      </c>
      <c r="E29" s="5">
        <v>57.238999999999997</v>
      </c>
      <c r="F29" s="4">
        <v>46113</v>
      </c>
      <c r="I29" s="5"/>
    </row>
    <row r="30" spans="1:12">
      <c r="A30" s="6" t="str">
        <f t="shared" si="0"/>
        <v>LAMPA_220</v>
      </c>
      <c r="B30" s="6" t="s">
        <v>6515</v>
      </c>
      <c r="C30" s="1" t="s">
        <v>649</v>
      </c>
      <c r="D30" s="1">
        <v>220</v>
      </c>
      <c r="E30" s="5">
        <v>49.64</v>
      </c>
      <c r="F30" s="4">
        <v>46113</v>
      </c>
      <c r="I30" s="5"/>
    </row>
    <row r="31" spans="1:12">
      <c r="A31" s="6" t="str">
        <f t="shared" si="0"/>
        <v>C.NAVIA_220</v>
      </c>
      <c r="B31" s="6" t="s">
        <v>6515</v>
      </c>
      <c r="C31" s="1" t="s">
        <v>151</v>
      </c>
      <c r="D31" s="1">
        <v>220</v>
      </c>
      <c r="E31" s="5">
        <v>48.853000000000002</v>
      </c>
      <c r="F31" s="4">
        <v>46113</v>
      </c>
      <c r="I31" s="5"/>
    </row>
    <row r="32" spans="1:12">
      <c r="A32" s="6" t="str">
        <f t="shared" si="0"/>
        <v>A.MELIP_220</v>
      </c>
      <c r="B32" s="6" t="s">
        <v>6515</v>
      </c>
      <c r="C32" s="7" t="s">
        <v>14</v>
      </c>
      <c r="D32" s="1">
        <v>220</v>
      </c>
      <c r="E32" s="5">
        <v>49.323999999999998</v>
      </c>
      <c r="F32" s="4">
        <v>46113</v>
      </c>
      <c r="I32" s="5"/>
    </row>
    <row r="33" spans="1:9">
      <c r="A33" s="6" t="str">
        <f t="shared" si="0"/>
        <v>RAPEL_220</v>
      </c>
      <c r="B33" s="6" t="s">
        <v>6515</v>
      </c>
      <c r="C33" s="1" t="s">
        <v>1197</v>
      </c>
      <c r="D33" s="1">
        <v>220</v>
      </c>
      <c r="E33" s="5">
        <v>49.04</v>
      </c>
      <c r="F33" s="4">
        <v>46113</v>
      </c>
      <c r="I33" s="5"/>
    </row>
    <row r="34" spans="1:9">
      <c r="A34" s="6" t="str">
        <f t="shared" si="0"/>
        <v>C.CHENA_220</v>
      </c>
      <c r="B34" s="6" t="s">
        <v>6515</v>
      </c>
      <c r="C34" s="1" t="s">
        <v>142</v>
      </c>
      <c r="D34" s="1">
        <v>220</v>
      </c>
      <c r="E34" s="5">
        <v>48.79</v>
      </c>
      <c r="F34" s="4">
        <v>46113</v>
      </c>
      <c r="I34" s="5"/>
    </row>
    <row r="35" spans="1:9">
      <c r="A35" s="6" t="str">
        <f t="shared" si="0"/>
        <v>MAIPO_220</v>
      </c>
      <c r="B35" s="6" t="s">
        <v>6515</v>
      </c>
      <c r="C35" s="1" t="s">
        <v>789</v>
      </c>
      <c r="D35" s="1">
        <v>220</v>
      </c>
      <c r="E35" s="5">
        <v>51.095999999999997</v>
      </c>
      <c r="F35" s="4">
        <v>46113</v>
      </c>
      <c r="I35" s="5"/>
    </row>
    <row r="36" spans="1:9">
      <c r="A36" s="6" t="str">
        <f t="shared" si="0"/>
        <v>A.JAHUEL_220</v>
      </c>
      <c r="B36" s="6" t="s">
        <v>6515</v>
      </c>
      <c r="C36" s="1" t="s">
        <v>9</v>
      </c>
      <c r="D36" s="1">
        <v>220</v>
      </c>
      <c r="E36" s="5">
        <v>52.97</v>
      </c>
      <c r="F36" s="4">
        <v>46113</v>
      </c>
      <c r="I36" s="5"/>
    </row>
    <row r="37" spans="1:9">
      <c r="A37" s="6" t="str">
        <f t="shared" si="0"/>
        <v>ITAHUE_220</v>
      </c>
      <c r="B37" s="6" t="s">
        <v>6515</v>
      </c>
      <c r="C37" s="1" t="s">
        <v>548</v>
      </c>
      <c r="D37" s="1">
        <v>220</v>
      </c>
      <c r="E37" s="5">
        <v>44.463999999999999</v>
      </c>
      <c r="F37" s="4">
        <v>46113</v>
      </c>
      <c r="I37" s="5"/>
    </row>
    <row r="38" spans="1:9">
      <c r="A38" s="6" t="str">
        <f t="shared" si="0"/>
        <v>ANCOA_220</v>
      </c>
      <c r="B38" s="6" t="s">
        <v>6515</v>
      </c>
      <c r="C38" s="1" t="s">
        <v>60</v>
      </c>
      <c r="D38" s="1">
        <v>220</v>
      </c>
      <c r="E38" s="5">
        <v>45.817</v>
      </c>
      <c r="F38" s="4">
        <v>46113</v>
      </c>
      <c r="I38" s="5"/>
    </row>
    <row r="39" spans="1:9">
      <c r="A39" s="6" t="str">
        <f t="shared" si="0"/>
        <v>CHARRUA_220</v>
      </c>
      <c r="B39" s="6" t="s">
        <v>6515</v>
      </c>
      <c r="C39" s="1" t="s">
        <v>248</v>
      </c>
      <c r="D39" s="1">
        <v>220</v>
      </c>
      <c r="E39" s="5">
        <v>45.99</v>
      </c>
      <c r="F39" s="4">
        <v>46113</v>
      </c>
      <c r="I39" s="5"/>
    </row>
    <row r="40" spans="1:9">
      <c r="A40" s="6" t="str">
        <f t="shared" si="0"/>
        <v>COLBUN_220</v>
      </c>
      <c r="B40" s="6" t="s">
        <v>6515</v>
      </c>
      <c r="C40" s="1" t="s">
        <v>312</v>
      </c>
      <c r="D40" s="1">
        <v>220</v>
      </c>
      <c r="E40" s="5">
        <v>45.820999999999998</v>
      </c>
      <c r="F40" s="4">
        <v>46113</v>
      </c>
      <c r="I40" s="5"/>
    </row>
    <row r="41" spans="1:9">
      <c r="A41" s="6" t="str">
        <f t="shared" si="0"/>
        <v>CANDELARIA_220</v>
      </c>
      <c r="B41" s="6" t="s">
        <v>6515</v>
      </c>
      <c r="C41" s="1" t="s">
        <v>182</v>
      </c>
      <c r="D41" s="1">
        <v>220</v>
      </c>
      <c r="E41" s="5">
        <v>50.606000000000002</v>
      </c>
      <c r="F41" s="4">
        <v>46113</v>
      </c>
      <c r="I41" s="5"/>
    </row>
    <row r="42" spans="1:9">
      <c r="A42" s="6" t="str">
        <f t="shared" si="0"/>
        <v>HUALPEN_220</v>
      </c>
      <c r="B42" s="6" t="s">
        <v>6515</v>
      </c>
      <c r="C42" s="1" t="s">
        <v>521</v>
      </c>
      <c r="D42" s="1">
        <v>220</v>
      </c>
      <c r="E42" s="5">
        <v>47.320999999999998</v>
      </c>
      <c r="F42" s="4">
        <v>46113</v>
      </c>
      <c r="I42" s="5"/>
    </row>
    <row r="43" spans="1:9">
      <c r="A43" s="6" t="str">
        <f t="shared" si="0"/>
        <v>LAGUNILLAS_220</v>
      </c>
      <c r="B43" s="6" t="s">
        <v>6515</v>
      </c>
      <c r="C43" s="1" t="s">
        <v>635</v>
      </c>
      <c r="D43" s="1">
        <v>220</v>
      </c>
      <c r="E43" s="5">
        <v>47.165999999999997</v>
      </c>
      <c r="F43" s="4">
        <v>46113</v>
      </c>
      <c r="I43" s="5"/>
    </row>
    <row r="44" spans="1:9">
      <c r="A44" s="6" t="str">
        <f t="shared" si="0"/>
        <v>CAUTIN_220</v>
      </c>
      <c r="B44" s="6" t="s">
        <v>6515</v>
      </c>
      <c r="C44" s="1" t="s">
        <v>218</v>
      </c>
      <c r="D44" s="1">
        <v>220</v>
      </c>
      <c r="E44" s="5">
        <v>42.478000000000002</v>
      </c>
      <c r="F44" s="4">
        <v>46113</v>
      </c>
      <c r="I44" s="5"/>
    </row>
    <row r="45" spans="1:9">
      <c r="A45" s="6" t="str">
        <f t="shared" si="0"/>
        <v>TEMUCO_220</v>
      </c>
      <c r="B45" s="6" t="s">
        <v>6515</v>
      </c>
      <c r="C45" s="1" t="s">
        <v>1454</v>
      </c>
      <c r="D45" s="1">
        <v>220</v>
      </c>
      <c r="E45" s="5">
        <v>42.14</v>
      </c>
      <c r="F45" s="4">
        <v>46113</v>
      </c>
      <c r="I45" s="5"/>
    </row>
    <row r="46" spans="1:9">
      <c r="A46" s="6" t="str">
        <f t="shared" si="0"/>
        <v>CIRUELOS_220</v>
      </c>
      <c r="B46" s="6" t="s">
        <v>6515</v>
      </c>
      <c r="C46" s="1" t="s">
        <v>298</v>
      </c>
      <c r="D46" s="1">
        <v>220</v>
      </c>
      <c r="E46" s="5">
        <v>47.387999999999998</v>
      </c>
      <c r="F46" s="4">
        <v>46113</v>
      </c>
      <c r="I46" s="5"/>
    </row>
    <row r="47" spans="1:9">
      <c r="A47" s="6" t="str">
        <f t="shared" si="0"/>
        <v>VALDIVIA_220</v>
      </c>
      <c r="B47" s="6" t="s">
        <v>6515</v>
      </c>
      <c r="C47" s="1" t="s">
        <v>1526</v>
      </c>
      <c r="D47" s="1">
        <v>220</v>
      </c>
      <c r="E47" s="5">
        <v>50.09</v>
      </c>
      <c r="F47" s="4">
        <v>46113</v>
      </c>
      <c r="I47" s="5"/>
    </row>
    <row r="48" spans="1:9">
      <c r="A48" s="6" t="str">
        <f t="shared" si="0"/>
        <v>RAHUE_220</v>
      </c>
      <c r="B48" s="6" t="s">
        <v>6515</v>
      </c>
      <c r="C48" s="1" t="s">
        <v>1187</v>
      </c>
      <c r="D48" s="1">
        <v>220</v>
      </c>
      <c r="E48" s="5">
        <v>48.460999999999999</v>
      </c>
      <c r="F48" s="4">
        <v>46113</v>
      </c>
      <c r="I48" s="5"/>
    </row>
    <row r="49" spans="1:9">
      <c r="A49" s="6" t="str">
        <f t="shared" si="0"/>
        <v>P.MONTT_220</v>
      </c>
      <c r="B49" s="6" t="s">
        <v>6515</v>
      </c>
      <c r="C49" s="1" t="s">
        <v>962</v>
      </c>
      <c r="D49" s="1">
        <v>220</v>
      </c>
      <c r="E49" s="5">
        <v>48.301000000000002</v>
      </c>
      <c r="F49" s="4">
        <v>46113</v>
      </c>
      <c r="I49" s="5"/>
    </row>
    <row r="50" spans="1:9">
      <c r="A50" s="6" t="str">
        <f t="shared" si="0"/>
        <v>MELIPULLI_220</v>
      </c>
      <c r="B50" s="6" t="s">
        <v>6515</v>
      </c>
      <c r="C50" s="1" t="s">
        <v>847</v>
      </c>
      <c r="D50" s="1">
        <v>220</v>
      </c>
      <c r="E50" s="5">
        <v>48.301000000000002</v>
      </c>
      <c r="F50" s="4">
        <v>46113</v>
      </c>
      <c r="I50" s="5"/>
    </row>
    <row r="51" spans="1:9">
      <c r="A51" s="6" t="str">
        <f t="shared" si="0"/>
        <v>CHILOE_220</v>
      </c>
      <c r="B51" s="6" t="s">
        <v>6515</v>
      </c>
      <c r="C51" s="1" t="s">
        <v>262</v>
      </c>
      <c r="D51" s="1">
        <v>220</v>
      </c>
      <c r="E51" s="5">
        <v>48.652000000000001</v>
      </c>
      <c r="F51" s="4">
        <v>46113</v>
      </c>
      <c r="I51" s="5"/>
    </row>
  </sheetData>
  <autoFilter ref="A1:F51" xr:uid="{089ED601-2228-4A3D-8853-A2B598F9341E}"/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54426-26C1-4CD6-AAB6-BB9B49727BD1}">
  <sheetPr codeName="Hoja3">
    <tabColor rgb="FF0070C0"/>
  </sheetPr>
  <dimension ref="A1:Q193"/>
  <sheetViews>
    <sheetView workbookViewId="0">
      <selection activeCell="F1" sqref="F1"/>
    </sheetView>
  </sheetViews>
  <sheetFormatPr baseColWidth="10" defaultRowHeight="15"/>
  <cols>
    <col min="1" max="1" width="10.28515625" style="9" bestFit="1" customWidth="1"/>
    <col min="2" max="2" width="15.140625" style="9" bestFit="1" customWidth="1"/>
    <col min="3" max="3" width="17.5703125" style="9" bestFit="1" customWidth="1"/>
    <col min="4" max="4" width="17" style="9" bestFit="1" customWidth="1"/>
    <col min="5" max="5" width="19.5703125" style="9" customWidth="1"/>
    <col min="6" max="6" width="19.140625" style="9" customWidth="1"/>
    <col min="7" max="7" width="10.28515625" style="9" bestFit="1" customWidth="1"/>
    <col min="8" max="8" width="13" style="9" bestFit="1" customWidth="1"/>
    <col min="9" max="9" width="21.85546875" style="9" bestFit="1" customWidth="1"/>
    <col min="10" max="10" width="19.7109375" style="9" bestFit="1" customWidth="1"/>
    <col min="11" max="11" width="14.28515625" style="9" bestFit="1" customWidth="1"/>
    <col min="12" max="12" width="10.140625" style="9" bestFit="1" customWidth="1"/>
    <col min="13" max="13" width="33.7109375" customWidth="1"/>
    <col min="14" max="14" width="17.85546875" style="9" customWidth="1"/>
    <col min="15" max="15" width="17.28515625" style="9" customWidth="1"/>
    <col min="16" max="16" width="37.42578125" style="9" customWidth="1"/>
    <col min="17" max="17" width="34" style="9" customWidth="1"/>
  </cols>
  <sheetData>
    <row r="1" spans="1:16">
      <c r="A1" s="11" t="s">
        <v>1555</v>
      </c>
      <c r="B1" s="11" t="s">
        <v>1569</v>
      </c>
      <c r="C1" s="11" t="s">
        <v>1570</v>
      </c>
      <c r="D1" s="11" t="s">
        <v>1571</v>
      </c>
      <c r="E1" s="11" t="s">
        <v>1572</v>
      </c>
      <c r="F1" s="11" t="s">
        <v>1558</v>
      </c>
      <c r="G1" s="11" t="s">
        <v>1561</v>
      </c>
      <c r="H1" s="11" t="s">
        <v>1562</v>
      </c>
      <c r="I1" s="11" t="s">
        <v>1563</v>
      </c>
      <c r="J1" s="11" t="s">
        <v>1564</v>
      </c>
      <c r="K1" s="11" t="s">
        <v>1565</v>
      </c>
      <c r="L1" s="11" t="s">
        <v>1573</v>
      </c>
      <c r="N1" s="11" t="s">
        <v>6316</v>
      </c>
      <c r="O1" s="26" t="s">
        <v>6617</v>
      </c>
      <c r="P1" s="41"/>
    </row>
    <row r="2" spans="1:16">
      <c r="A2" s="9">
        <v>15</v>
      </c>
      <c r="B2" s="9" t="s">
        <v>9</v>
      </c>
      <c r="C2" s="9">
        <v>220</v>
      </c>
      <c r="D2" s="9" t="s">
        <v>1574</v>
      </c>
      <c r="E2" s="9">
        <v>1</v>
      </c>
      <c r="F2" s="44">
        <v>55.936</v>
      </c>
      <c r="G2" s="9" t="s">
        <v>6617</v>
      </c>
      <c r="H2" s="9">
        <v>0</v>
      </c>
      <c r="I2" s="14" t="str">
        <f>+'PMG(D) segun remuneracion'!$K$1</f>
        <v>01-09-2026</v>
      </c>
      <c r="J2" s="14" t="str">
        <f>+'PMG(D) segun remuneracion'!$K$2</f>
        <v>30-09-2026</v>
      </c>
      <c r="K2" s="9">
        <f>+'PMG(D) segun remuneracion'!$K$3</f>
        <v>2</v>
      </c>
      <c r="L2" s="9">
        <f>+'PMG(D) segun remuneracion'!$K$4</f>
        <v>1</v>
      </c>
      <c r="N2" s="27" t="s">
        <v>3376</v>
      </c>
      <c r="O2"/>
      <c r="P2"/>
    </row>
    <row r="3" spans="1:16">
      <c r="A3" s="9">
        <v>15</v>
      </c>
      <c r="B3" s="9" t="s">
        <v>9</v>
      </c>
      <c r="C3" s="9">
        <v>220</v>
      </c>
      <c r="D3" s="9" t="s">
        <v>1575</v>
      </c>
      <c r="E3" s="9">
        <v>2</v>
      </c>
      <c r="F3" s="44">
        <v>56.033999999999999</v>
      </c>
      <c r="G3" s="9" t="s">
        <v>6617</v>
      </c>
      <c r="H3" s="9">
        <v>0</v>
      </c>
      <c r="I3" s="14" t="str">
        <f>+'PMG(D) segun remuneracion'!$K$1</f>
        <v>01-09-2026</v>
      </c>
      <c r="J3" s="14" t="str">
        <f>+'PMG(D) segun remuneracion'!$K$2</f>
        <v>30-09-2026</v>
      </c>
      <c r="K3" s="9">
        <f>+'PMG(D) segun remuneracion'!$K$3</f>
        <v>2</v>
      </c>
      <c r="L3" s="9">
        <f>+'PMG(D) segun remuneracion'!$K$4</f>
        <v>1</v>
      </c>
    </row>
    <row r="4" spans="1:16">
      <c r="A4" s="9">
        <v>15</v>
      </c>
      <c r="B4" s="9" t="s">
        <v>9</v>
      </c>
      <c r="C4" s="9">
        <v>220</v>
      </c>
      <c r="D4" s="9" t="s">
        <v>1576</v>
      </c>
      <c r="E4" s="9">
        <v>3</v>
      </c>
      <c r="F4" s="44">
        <v>39.116999999999997</v>
      </c>
      <c r="G4" s="9" t="s">
        <v>6617</v>
      </c>
      <c r="H4" s="9">
        <v>0</v>
      </c>
      <c r="I4" s="14" t="str">
        <f>+'PMG(D) segun remuneracion'!$K$1</f>
        <v>01-09-2026</v>
      </c>
      <c r="J4" s="14" t="str">
        <f>+'PMG(D) segun remuneracion'!$K$2</f>
        <v>30-09-2026</v>
      </c>
      <c r="K4" s="9">
        <f>+'PMG(D) segun remuneracion'!$K$3</f>
        <v>2</v>
      </c>
      <c r="L4" s="9">
        <f>+'PMG(D) segun remuneracion'!$K$4</f>
        <v>1</v>
      </c>
    </row>
    <row r="5" spans="1:16">
      <c r="A5" s="9">
        <v>15</v>
      </c>
      <c r="B5" s="9" t="s">
        <v>9</v>
      </c>
      <c r="C5" s="9">
        <v>220</v>
      </c>
      <c r="D5" s="9" t="s">
        <v>1577</v>
      </c>
      <c r="E5" s="9">
        <v>4</v>
      </c>
      <c r="F5" s="44">
        <v>38.668999999999997</v>
      </c>
      <c r="G5" s="9" t="s">
        <v>6617</v>
      </c>
      <c r="H5" s="9">
        <v>0</v>
      </c>
      <c r="I5" s="14" t="str">
        <f>+'PMG(D) segun remuneracion'!$K$1</f>
        <v>01-09-2026</v>
      </c>
      <c r="J5" s="14" t="str">
        <f>+'PMG(D) segun remuneracion'!$K$2</f>
        <v>30-09-2026</v>
      </c>
      <c r="K5" s="9">
        <f>+'PMG(D) segun remuneracion'!$K$3</f>
        <v>2</v>
      </c>
      <c r="L5" s="9">
        <f>+'PMG(D) segun remuneracion'!$K$4</f>
        <v>1</v>
      </c>
    </row>
    <row r="6" spans="1:16">
      <c r="A6" s="9">
        <v>15</v>
      </c>
      <c r="B6" s="9" t="s">
        <v>9</v>
      </c>
      <c r="C6" s="9">
        <v>220</v>
      </c>
      <c r="D6" s="9" t="s">
        <v>1578</v>
      </c>
      <c r="E6" s="9">
        <v>5</v>
      </c>
      <c r="F6" s="44">
        <v>51.475999999999999</v>
      </c>
      <c r="G6" s="9" t="s">
        <v>6617</v>
      </c>
      <c r="H6" s="9">
        <v>0</v>
      </c>
      <c r="I6" s="14" t="str">
        <f>+'PMG(D) segun remuneracion'!$K$1</f>
        <v>01-09-2026</v>
      </c>
      <c r="J6" s="14" t="str">
        <f>+'PMG(D) segun remuneracion'!$K$2</f>
        <v>30-09-2026</v>
      </c>
      <c r="K6" s="9">
        <f>+'PMG(D) segun remuneracion'!$K$3</f>
        <v>2</v>
      </c>
      <c r="L6" s="9">
        <f>+'PMG(D) segun remuneracion'!$K$4</f>
        <v>1</v>
      </c>
    </row>
    <row r="7" spans="1:16">
      <c r="A7" s="9">
        <v>15</v>
      </c>
      <c r="B7" s="9" t="s">
        <v>9</v>
      </c>
      <c r="C7" s="9">
        <v>220</v>
      </c>
      <c r="D7" s="9" t="s">
        <v>1579</v>
      </c>
      <c r="E7" s="9">
        <v>6</v>
      </c>
      <c r="F7" s="44">
        <v>62.256999999999998</v>
      </c>
      <c r="G7" s="9" t="s">
        <v>6617</v>
      </c>
      <c r="H7" s="9">
        <v>0</v>
      </c>
      <c r="I7" s="14" t="str">
        <f>+'PMG(D) segun remuneracion'!$K$1</f>
        <v>01-09-2026</v>
      </c>
      <c r="J7" s="14" t="str">
        <f>+'PMG(D) segun remuneracion'!$K$2</f>
        <v>30-09-2026</v>
      </c>
      <c r="K7" s="9">
        <f>+'PMG(D) segun remuneracion'!$K$3</f>
        <v>2</v>
      </c>
      <c r="L7" s="9">
        <f>+'PMG(D) segun remuneracion'!$K$4</f>
        <v>1</v>
      </c>
    </row>
    <row r="8" spans="1:16">
      <c r="A8" s="9">
        <v>15</v>
      </c>
      <c r="B8" s="9" t="s">
        <v>14</v>
      </c>
      <c r="C8" s="9">
        <v>220</v>
      </c>
      <c r="D8" s="9" t="s">
        <v>1574</v>
      </c>
      <c r="E8" s="9">
        <v>1</v>
      </c>
      <c r="F8" s="44">
        <v>56.027999999999999</v>
      </c>
      <c r="G8" s="9" t="s">
        <v>6617</v>
      </c>
      <c r="H8" s="9">
        <v>0</v>
      </c>
      <c r="I8" s="14" t="str">
        <f>+'PMG(D) segun remuneracion'!$K$1</f>
        <v>01-09-2026</v>
      </c>
      <c r="J8" s="14" t="str">
        <f>+'PMG(D) segun remuneracion'!$K$2</f>
        <v>30-09-2026</v>
      </c>
      <c r="K8" s="9">
        <f>+'PMG(D) segun remuneracion'!$K$3</f>
        <v>2</v>
      </c>
      <c r="L8" s="9">
        <f>+'PMG(D) segun remuneracion'!$K$4</f>
        <v>1</v>
      </c>
    </row>
    <row r="9" spans="1:16">
      <c r="A9" s="9">
        <v>15</v>
      </c>
      <c r="B9" s="9" t="s">
        <v>14</v>
      </c>
      <c r="C9" s="9">
        <v>220</v>
      </c>
      <c r="D9" s="9" t="s">
        <v>1575</v>
      </c>
      <c r="E9" s="9">
        <v>2</v>
      </c>
      <c r="F9" s="44">
        <v>56.122999999999998</v>
      </c>
      <c r="G9" s="9" t="s">
        <v>6617</v>
      </c>
      <c r="H9" s="9">
        <v>0</v>
      </c>
      <c r="I9" s="14" t="str">
        <f>+'PMG(D) segun remuneracion'!$K$1</f>
        <v>01-09-2026</v>
      </c>
      <c r="J9" s="14" t="str">
        <f>+'PMG(D) segun remuneracion'!$K$2</f>
        <v>30-09-2026</v>
      </c>
      <c r="K9" s="9">
        <f>+'PMG(D) segun remuneracion'!$K$3</f>
        <v>2</v>
      </c>
      <c r="L9" s="9">
        <f>+'PMG(D) segun remuneracion'!$K$4</f>
        <v>1</v>
      </c>
    </row>
    <row r="10" spans="1:16">
      <c r="A10" s="9">
        <v>15</v>
      </c>
      <c r="B10" s="9" t="s">
        <v>14</v>
      </c>
      <c r="C10" s="9">
        <v>220</v>
      </c>
      <c r="D10" s="9" t="s">
        <v>1576</v>
      </c>
      <c r="E10" s="9">
        <v>3</v>
      </c>
      <c r="F10" s="44">
        <v>39.145000000000003</v>
      </c>
      <c r="G10" s="9" t="s">
        <v>6617</v>
      </c>
      <c r="H10" s="9">
        <v>0</v>
      </c>
      <c r="I10" s="14" t="str">
        <f>+'PMG(D) segun remuneracion'!$K$1</f>
        <v>01-09-2026</v>
      </c>
      <c r="J10" s="14" t="str">
        <f>+'PMG(D) segun remuneracion'!$K$2</f>
        <v>30-09-2026</v>
      </c>
      <c r="K10" s="9">
        <f>+'PMG(D) segun remuneracion'!$K$3</f>
        <v>2</v>
      </c>
      <c r="L10" s="9">
        <f>+'PMG(D) segun remuneracion'!$K$4</f>
        <v>1</v>
      </c>
    </row>
    <row r="11" spans="1:16">
      <c r="A11" s="9">
        <v>15</v>
      </c>
      <c r="B11" s="9" t="s">
        <v>14</v>
      </c>
      <c r="C11" s="9">
        <v>220</v>
      </c>
      <c r="D11" s="9" t="s">
        <v>1577</v>
      </c>
      <c r="E11" s="9">
        <v>4</v>
      </c>
      <c r="F11" s="44">
        <v>38.646999999999998</v>
      </c>
      <c r="G11" s="9" t="s">
        <v>6617</v>
      </c>
      <c r="H11" s="9">
        <v>0</v>
      </c>
      <c r="I11" s="14" t="str">
        <f>+'PMG(D) segun remuneracion'!$K$1</f>
        <v>01-09-2026</v>
      </c>
      <c r="J11" s="14" t="str">
        <f>+'PMG(D) segun remuneracion'!$K$2</f>
        <v>30-09-2026</v>
      </c>
      <c r="K11" s="9">
        <f>+'PMG(D) segun remuneracion'!$K$3</f>
        <v>2</v>
      </c>
      <c r="L11" s="9">
        <f>+'PMG(D) segun remuneracion'!$K$4</f>
        <v>1</v>
      </c>
    </row>
    <row r="12" spans="1:16">
      <c r="A12" s="9">
        <v>15</v>
      </c>
      <c r="B12" s="9" t="s">
        <v>14</v>
      </c>
      <c r="C12" s="9">
        <v>220</v>
      </c>
      <c r="D12" s="9" t="s">
        <v>1578</v>
      </c>
      <c r="E12" s="9">
        <v>5</v>
      </c>
      <c r="F12" s="44">
        <v>49.831000000000003</v>
      </c>
      <c r="G12" s="9" t="s">
        <v>6617</v>
      </c>
      <c r="H12" s="9">
        <v>0</v>
      </c>
      <c r="I12" s="14" t="str">
        <f>+'PMG(D) segun remuneracion'!$K$1</f>
        <v>01-09-2026</v>
      </c>
      <c r="J12" s="14" t="str">
        <f>+'PMG(D) segun remuneracion'!$K$2</f>
        <v>30-09-2026</v>
      </c>
      <c r="K12" s="9">
        <f>+'PMG(D) segun remuneracion'!$K$3</f>
        <v>2</v>
      </c>
      <c r="L12" s="9">
        <f>+'PMG(D) segun remuneracion'!$K$4</f>
        <v>1</v>
      </c>
    </row>
    <row r="13" spans="1:16">
      <c r="A13" s="9">
        <v>15</v>
      </c>
      <c r="B13" s="9" t="s">
        <v>14</v>
      </c>
      <c r="C13" s="9">
        <v>220</v>
      </c>
      <c r="D13" s="9" t="s">
        <v>1579</v>
      </c>
      <c r="E13" s="9">
        <v>6</v>
      </c>
      <c r="F13" s="44">
        <v>61.533000000000001</v>
      </c>
      <c r="G13" s="9" t="s">
        <v>6617</v>
      </c>
      <c r="H13" s="9">
        <v>0</v>
      </c>
      <c r="I13" s="14" t="str">
        <f>+'PMG(D) segun remuneracion'!$K$1</f>
        <v>01-09-2026</v>
      </c>
      <c r="J13" s="14" t="str">
        <f>+'PMG(D) segun remuneracion'!$K$2</f>
        <v>30-09-2026</v>
      </c>
      <c r="K13" s="9">
        <f>+'PMG(D) segun remuneracion'!$K$3</f>
        <v>2</v>
      </c>
      <c r="L13" s="9">
        <f>+'PMG(D) segun remuneracion'!$K$4</f>
        <v>1</v>
      </c>
    </row>
    <row r="14" spans="1:16">
      <c r="A14" s="9">
        <v>15</v>
      </c>
      <c r="B14" s="9" t="s">
        <v>142</v>
      </c>
      <c r="C14" s="9">
        <v>220</v>
      </c>
      <c r="D14" s="9" t="s">
        <v>1574</v>
      </c>
      <c r="E14" s="9">
        <v>1</v>
      </c>
      <c r="F14" s="44">
        <v>56.127000000000002</v>
      </c>
      <c r="G14" s="9" t="s">
        <v>6617</v>
      </c>
      <c r="H14" s="9">
        <v>0</v>
      </c>
      <c r="I14" s="14" t="str">
        <f>+'PMG(D) segun remuneracion'!$K$1</f>
        <v>01-09-2026</v>
      </c>
      <c r="J14" s="14" t="str">
        <f>+'PMG(D) segun remuneracion'!$K$2</f>
        <v>30-09-2026</v>
      </c>
      <c r="K14" s="9">
        <f>+'PMG(D) segun remuneracion'!$K$3</f>
        <v>2</v>
      </c>
      <c r="L14" s="9">
        <f>+'PMG(D) segun remuneracion'!$K$4</f>
        <v>1</v>
      </c>
    </row>
    <row r="15" spans="1:16">
      <c r="A15" s="9">
        <v>15</v>
      </c>
      <c r="B15" s="9" t="s">
        <v>142</v>
      </c>
      <c r="C15" s="9">
        <v>220</v>
      </c>
      <c r="D15" s="9" t="s">
        <v>1575</v>
      </c>
      <c r="E15" s="9">
        <v>2</v>
      </c>
      <c r="F15" s="44">
        <v>56.02</v>
      </c>
      <c r="G15" s="9" t="s">
        <v>6617</v>
      </c>
      <c r="H15" s="9">
        <v>0</v>
      </c>
      <c r="I15" s="14" t="str">
        <f>+'PMG(D) segun remuneracion'!$K$1</f>
        <v>01-09-2026</v>
      </c>
      <c r="J15" s="14" t="str">
        <f>+'PMG(D) segun remuneracion'!$K$2</f>
        <v>30-09-2026</v>
      </c>
      <c r="K15" s="9">
        <f>+'PMG(D) segun remuneracion'!$K$3</f>
        <v>2</v>
      </c>
      <c r="L15" s="9">
        <f>+'PMG(D) segun remuneracion'!$K$4</f>
        <v>1</v>
      </c>
    </row>
    <row r="16" spans="1:16">
      <c r="A16" s="9">
        <v>15</v>
      </c>
      <c r="B16" s="9" t="s">
        <v>142</v>
      </c>
      <c r="C16" s="9">
        <v>220</v>
      </c>
      <c r="D16" s="9" t="s">
        <v>1576</v>
      </c>
      <c r="E16" s="9">
        <v>3</v>
      </c>
      <c r="F16" s="44">
        <v>39.167999999999999</v>
      </c>
      <c r="G16" s="9" t="s">
        <v>6617</v>
      </c>
      <c r="H16" s="9">
        <v>0</v>
      </c>
      <c r="I16" s="14" t="str">
        <f>+'PMG(D) segun remuneracion'!$K$1</f>
        <v>01-09-2026</v>
      </c>
      <c r="J16" s="14" t="str">
        <f>+'PMG(D) segun remuneracion'!$K$2</f>
        <v>30-09-2026</v>
      </c>
      <c r="K16" s="9">
        <f>+'PMG(D) segun remuneracion'!$K$3</f>
        <v>2</v>
      </c>
      <c r="L16" s="9">
        <f>+'PMG(D) segun remuneracion'!$K$4</f>
        <v>1</v>
      </c>
    </row>
    <row r="17" spans="1:12">
      <c r="A17" s="9">
        <v>15</v>
      </c>
      <c r="B17" s="9" t="s">
        <v>142</v>
      </c>
      <c r="C17" s="9">
        <v>220</v>
      </c>
      <c r="D17" s="9" t="s">
        <v>1577</v>
      </c>
      <c r="E17" s="9">
        <v>4</v>
      </c>
      <c r="F17" s="44">
        <v>38.67</v>
      </c>
      <c r="G17" s="9" t="s">
        <v>6617</v>
      </c>
      <c r="H17" s="9">
        <v>0</v>
      </c>
      <c r="I17" s="14" t="str">
        <f>+'PMG(D) segun remuneracion'!$K$1</f>
        <v>01-09-2026</v>
      </c>
      <c r="J17" s="14" t="str">
        <f>+'PMG(D) segun remuneracion'!$K$2</f>
        <v>30-09-2026</v>
      </c>
      <c r="K17" s="9">
        <f>+'PMG(D) segun remuneracion'!$K$3</f>
        <v>2</v>
      </c>
      <c r="L17" s="9">
        <f>+'PMG(D) segun remuneracion'!$K$4</f>
        <v>1</v>
      </c>
    </row>
    <row r="18" spans="1:12">
      <c r="A18" s="9">
        <v>15</v>
      </c>
      <c r="B18" s="9" t="s">
        <v>142</v>
      </c>
      <c r="C18" s="9">
        <v>220</v>
      </c>
      <c r="D18" s="9" t="s">
        <v>1578</v>
      </c>
      <c r="E18" s="9">
        <v>5</v>
      </c>
      <c r="F18" s="44">
        <v>50.823999999999998</v>
      </c>
      <c r="G18" s="9" t="s">
        <v>6617</v>
      </c>
      <c r="H18" s="9">
        <v>0</v>
      </c>
      <c r="I18" s="14" t="str">
        <f>+'PMG(D) segun remuneracion'!$K$1</f>
        <v>01-09-2026</v>
      </c>
      <c r="J18" s="14" t="str">
        <f>+'PMG(D) segun remuneracion'!$K$2</f>
        <v>30-09-2026</v>
      </c>
      <c r="K18" s="9">
        <f>+'PMG(D) segun remuneracion'!$K$3</f>
        <v>2</v>
      </c>
      <c r="L18" s="9">
        <f>+'PMG(D) segun remuneracion'!$K$4</f>
        <v>1</v>
      </c>
    </row>
    <row r="19" spans="1:12">
      <c r="A19" s="9">
        <v>15</v>
      </c>
      <c r="B19" s="9" t="s">
        <v>142</v>
      </c>
      <c r="C19" s="9">
        <v>220</v>
      </c>
      <c r="D19" s="9" t="s">
        <v>1579</v>
      </c>
      <c r="E19" s="9">
        <v>6</v>
      </c>
      <c r="F19" s="44">
        <v>62.433999999999997</v>
      </c>
      <c r="G19" s="9" t="s">
        <v>6617</v>
      </c>
      <c r="H19" s="9">
        <v>0</v>
      </c>
      <c r="I19" s="14" t="str">
        <f>+'PMG(D) segun remuneracion'!$K$1</f>
        <v>01-09-2026</v>
      </c>
      <c r="J19" s="14" t="str">
        <f>+'PMG(D) segun remuneracion'!$K$2</f>
        <v>30-09-2026</v>
      </c>
      <c r="K19" s="9">
        <f>+'PMG(D) segun remuneracion'!$K$3</f>
        <v>2</v>
      </c>
      <c r="L19" s="9">
        <f>+'PMG(D) segun remuneracion'!$K$4</f>
        <v>1</v>
      </c>
    </row>
    <row r="20" spans="1:12">
      <c r="A20" s="9">
        <v>15</v>
      </c>
      <c r="B20" s="9" t="s">
        <v>151</v>
      </c>
      <c r="C20" s="9">
        <v>220</v>
      </c>
      <c r="D20" s="9" t="s">
        <v>1574</v>
      </c>
      <c r="E20" s="9">
        <v>1</v>
      </c>
      <c r="F20" s="44">
        <v>56.168999999999997</v>
      </c>
      <c r="G20" s="9" t="s">
        <v>6617</v>
      </c>
      <c r="H20" s="9">
        <v>0</v>
      </c>
      <c r="I20" s="14" t="str">
        <f>+'PMG(D) segun remuneracion'!$K$1</f>
        <v>01-09-2026</v>
      </c>
      <c r="J20" s="14" t="str">
        <f>+'PMG(D) segun remuneracion'!$K$2</f>
        <v>30-09-2026</v>
      </c>
      <c r="K20" s="9">
        <f>+'PMG(D) segun remuneracion'!$K$3</f>
        <v>2</v>
      </c>
      <c r="L20" s="9">
        <f>+'PMG(D) segun remuneracion'!$K$4</f>
        <v>1</v>
      </c>
    </row>
    <row r="21" spans="1:12">
      <c r="A21" s="9">
        <v>15</v>
      </c>
      <c r="B21" s="9" t="s">
        <v>151</v>
      </c>
      <c r="C21" s="9">
        <v>220</v>
      </c>
      <c r="D21" s="9" t="s">
        <v>1575</v>
      </c>
      <c r="E21" s="9">
        <v>2</v>
      </c>
      <c r="F21" s="44">
        <v>56.069000000000003</v>
      </c>
      <c r="G21" s="9" t="s">
        <v>6617</v>
      </c>
      <c r="H21" s="9">
        <v>0</v>
      </c>
      <c r="I21" s="14" t="str">
        <f>+'PMG(D) segun remuneracion'!$K$1</f>
        <v>01-09-2026</v>
      </c>
      <c r="J21" s="14" t="str">
        <f>+'PMG(D) segun remuneracion'!$K$2</f>
        <v>30-09-2026</v>
      </c>
      <c r="K21" s="9">
        <f>+'PMG(D) segun remuneracion'!$K$3</f>
        <v>2</v>
      </c>
      <c r="L21" s="9">
        <f>+'PMG(D) segun remuneracion'!$K$4</f>
        <v>1</v>
      </c>
    </row>
    <row r="22" spans="1:12">
      <c r="A22" s="9">
        <v>15</v>
      </c>
      <c r="B22" s="9" t="s">
        <v>151</v>
      </c>
      <c r="C22" s="9">
        <v>220</v>
      </c>
      <c r="D22" s="9" t="s">
        <v>1576</v>
      </c>
      <c r="E22" s="9">
        <v>3</v>
      </c>
      <c r="F22" s="44">
        <v>39.165999999999997</v>
      </c>
      <c r="G22" s="9" t="s">
        <v>6617</v>
      </c>
      <c r="H22" s="9">
        <v>0</v>
      </c>
      <c r="I22" s="14" t="str">
        <f>+'PMG(D) segun remuneracion'!$K$1</f>
        <v>01-09-2026</v>
      </c>
      <c r="J22" s="14" t="str">
        <f>+'PMG(D) segun remuneracion'!$K$2</f>
        <v>30-09-2026</v>
      </c>
      <c r="K22" s="9">
        <f>+'PMG(D) segun remuneracion'!$K$3</f>
        <v>2</v>
      </c>
      <c r="L22" s="9">
        <f>+'PMG(D) segun remuneracion'!$K$4</f>
        <v>1</v>
      </c>
    </row>
    <row r="23" spans="1:12">
      <c r="A23" s="9">
        <v>15</v>
      </c>
      <c r="B23" s="9" t="s">
        <v>151</v>
      </c>
      <c r="C23" s="9">
        <v>220</v>
      </c>
      <c r="D23" s="9" t="s">
        <v>1577</v>
      </c>
      <c r="E23" s="9">
        <v>4</v>
      </c>
      <c r="F23" s="44">
        <v>38.67</v>
      </c>
      <c r="G23" s="9" t="s">
        <v>6617</v>
      </c>
      <c r="H23" s="9">
        <v>0</v>
      </c>
      <c r="I23" s="14" t="str">
        <f>+'PMG(D) segun remuneracion'!$K$1</f>
        <v>01-09-2026</v>
      </c>
      <c r="J23" s="14" t="str">
        <f>+'PMG(D) segun remuneracion'!$K$2</f>
        <v>30-09-2026</v>
      </c>
      <c r="K23" s="9">
        <f>+'PMG(D) segun remuneracion'!$K$3</f>
        <v>2</v>
      </c>
      <c r="L23" s="9">
        <f>+'PMG(D) segun remuneracion'!$K$4</f>
        <v>1</v>
      </c>
    </row>
    <row r="24" spans="1:12">
      <c r="A24" s="9">
        <v>15</v>
      </c>
      <c r="B24" s="9" t="s">
        <v>151</v>
      </c>
      <c r="C24" s="9">
        <v>220</v>
      </c>
      <c r="D24" s="9" t="s">
        <v>1578</v>
      </c>
      <c r="E24" s="9">
        <v>5</v>
      </c>
      <c r="F24" s="44">
        <v>50.823999999999998</v>
      </c>
      <c r="G24" s="9" t="s">
        <v>6617</v>
      </c>
      <c r="H24" s="9">
        <v>0</v>
      </c>
      <c r="I24" s="14" t="str">
        <f>+'PMG(D) segun remuneracion'!$K$1</f>
        <v>01-09-2026</v>
      </c>
      <c r="J24" s="14" t="str">
        <f>+'PMG(D) segun remuneracion'!$K$2</f>
        <v>30-09-2026</v>
      </c>
      <c r="K24" s="9">
        <f>+'PMG(D) segun remuneracion'!$K$3</f>
        <v>2</v>
      </c>
      <c r="L24" s="9">
        <f>+'PMG(D) segun remuneracion'!$K$4</f>
        <v>1</v>
      </c>
    </row>
    <row r="25" spans="1:12">
      <c r="A25" s="9">
        <v>15</v>
      </c>
      <c r="B25" s="9" t="s">
        <v>151</v>
      </c>
      <c r="C25" s="9">
        <v>220</v>
      </c>
      <c r="D25" s="9" t="s">
        <v>1579</v>
      </c>
      <c r="E25" s="9">
        <v>6</v>
      </c>
      <c r="F25" s="44">
        <v>62.457999999999998</v>
      </c>
      <c r="G25" s="9" t="s">
        <v>6617</v>
      </c>
      <c r="H25" s="9">
        <v>0</v>
      </c>
      <c r="I25" s="14" t="str">
        <f>+'PMG(D) segun remuneracion'!$K$1</f>
        <v>01-09-2026</v>
      </c>
      <c r="J25" s="14" t="str">
        <f>+'PMG(D) segun remuneracion'!$K$2</f>
        <v>30-09-2026</v>
      </c>
      <c r="K25" s="9">
        <f>+'PMG(D) segun remuneracion'!$K$3</f>
        <v>2</v>
      </c>
      <c r="L25" s="9">
        <f>+'PMG(D) segun remuneracion'!$K$4</f>
        <v>1</v>
      </c>
    </row>
    <row r="26" spans="1:12">
      <c r="A26" s="9">
        <v>15</v>
      </c>
      <c r="B26" s="9" t="s">
        <v>182</v>
      </c>
      <c r="C26" s="9">
        <v>220</v>
      </c>
      <c r="D26" s="9" t="s">
        <v>1574</v>
      </c>
      <c r="E26" s="9">
        <v>1</v>
      </c>
      <c r="F26" s="44">
        <v>55.036999999999999</v>
      </c>
      <c r="G26" s="9" t="s">
        <v>6617</v>
      </c>
      <c r="H26" s="9">
        <v>0</v>
      </c>
      <c r="I26" s="14" t="str">
        <f>+'PMG(D) segun remuneracion'!$K$1</f>
        <v>01-09-2026</v>
      </c>
      <c r="J26" s="14" t="str">
        <f>+'PMG(D) segun remuneracion'!$K$2</f>
        <v>30-09-2026</v>
      </c>
      <c r="K26" s="9">
        <f>+'PMG(D) segun remuneracion'!$K$3</f>
        <v>2</v>
      </c>
      <c r="L26" s="9">
        <f>+'PMG(D) segun remuneracion'!$K$4</f>
        <v>1</v>
      </c>
    </row>
    <row r="27" spans="1:12">
      <c r="A27" s="9">
        <v>15</v>
      </c>
      <c r="B27" s="9" t="s">
        <v>182</v>
      </c>
      <c r="C27" s="9">
        <v>220</v>
      </c>
      <c r="D27" s="9" t="s">
        <v>1575</v>
      </c>
      <c r="E27" s="9">
        <v>2</v>
      </c>
      <c r="F27" s="44">
        <v>54.956000000000003</v>
      </c>
      <c r="G27" s="9" t="s">
        <v>6617</v>
      </c>
      <c r="H27" s="9">
        <v>0</v>
      </c>
      <c r="I27" s="14" t="str">
        <f>+'PMG(D) segun remuneracion'!$K$1</f>
        <v>01-09-2026</v>
      </c>
      <c r="J27" s="14" t="str">
        <f>+'PMG(D) segun remuneracion'!$K$2</f>
        <v>30-09-2026</v>
      </c>
      <c r="K27" s="9">
        <f>+'PMG(D) segun remuneracion'!$K$3</f>
        <v>2</v>
      </c>
      <c r="L27" s="9">
        <f>+'PMG(D) segun remuneracion'!$K$4</f>
        <v>1</v>
      </c>
    </row>
    <row r="28" spans="1:12">
      <c r="A28" s="9">
        <v>15</v>
      </c>
      <c r="B28" s="9" t="s">
        <v>182</v>
      </c>
      <c r="C28" s="9">
        <v>220</v>
      </c>
      <c r="D28" s="9" t="s">
        <v>1576</v>
      </c>
      <c r="E28" s="9">
        <v>3</v>
      </c>
      <c r="F28" s="44">
        <v>39.203000000000003</v>
      </c>
      <c r="G28" s="9" t="s">
        <v>6617</v>
      </c>
      <c r="H28" s="9">
        <v>0</v>
      </c>
      <c r="I28" s="14" t="str">
        <f>+'PMG(D) segun remuneracion'!$K$1</f>
        <v>01-09-2026</v>
      </c>
      <c r="J28" s="14" t="str">
        <f>+'PMG(D) segun remuneracion'!$K$2</f>
        <v>30-09-2026</v>
      </c>
      <c r="K28" s="9">
        <f>+'PMG(D) segun remuneracion'!$K$3</f>
        <v>2</v>
      </c>
      <c r="L28" s="9">
        <f>+'PMG(D) segun remuneracion'!$K$4</f>
        <v>1</v>
      </c>
    </row>
    <row r="29" spans="1:12">
      <c r="A29" s="9">
        <v>15</v>
      </c>
      <c r="B29" s="9" t="s">
        <v>182</v>
      </c>
      <c r="C29" s="9">
        <v>220</v>
      </c>
      <c r="D29" s="9" t="s">
        <v>1577</v>
      </c>
      <c r="E29" s="9">
        <v>4</v>
      </c>
      <c r="F29" s="44">
        <v>38.652999999999999</v>
      </c>
      <c r="G29" s="9" t="s">
        <v>6617</v>
      </c>
      <c r="H29" s="9">
        <v>0</v>
      </c>
      <c r="I29" s="14" t="str">
        <f>+'PMG(D) segun remuneracion'!$K$1</f>
        <v>01-09-2026</v>
      </c>
      <c r="J29" s="14" t="str">
        <f>+'PMG(D) segun remuneracion'!$K$2</f>
        <v>30-09-2026</v>
      </c>
      <c r="K29" s="9">
        <f>+'PMG(D) segun remuneracion'!$K$3</f>
        <v>2</v>
      </c>
      <c r="L29" s="9">
        <f>+'PMG(D) segun remuneracion'!$K$4</f>
        <v>1</v>
      </c>
    </row>
    <row r="30" spans="1:12">
      <c r="A30" s="9">
        <v>15</v>
      </c>
      <c r="B30" s="9" t="s">
        <v>182</v>
      </c>
      <c r="C30" s="9">
        <v>220</v>
      </c>
      <c r="D30" s="9" t="s">
        <v>1578</v>
      </c>
      <c r="E30" s="9">
        <v>5</v>
      </c>
      <c r="F30" s="44">
        <v>49.816000000000003</v>
      </c>
      <c r="G30" s="9" t="s">
        <v>6617</v>
      </c>
      <c r="H30" s="9">
        <v>0</v>
      </c>
      <c r="I30" s="14" t="str">
        <f>+'PMG(D) segun remuneracion'!$K$1</f>
        <v>01-09-2026</v>
      </c>
      <c r="J30" s="14" t="str">
        <f>+'PMG(D) segun remuneracion'!$K$2</f>
        <v>30-09-2026</v>
      </c>
      <c r="K30" s="9">
        <f>+'PMG(D) segun remuneracion'!$K$3</f>
        <v>2</v>
      </c>
      <c r="L30" s="9">
        <f>+'PMG(D) segun remuneracion'!$K$4</f>
        <v>1</v>
      </c>
    </row>
    <row r="31" spans="1:12">
      <c r="A31" s="9">
        <v>15</v>
      </c>
      <c r="B31" s="9" t="s">
        <v>182</v>
      </c>
      <c r="C31" s="9">
        <v>220</v>
      </c>
      <c r="D31" s="9" t="s">
        <v>1579</v>
      </c>
      <c r="E31" s="9">
        <v>6</v>
      </c>
      <c r="F31" s="44">
        <v>60.801000000000002</v>
      </c>
      <c r="G31" s="9" t="s">
        <v>6617</v>
      </c>
      <c r="H31" s="9">
        <v>0</v>
      </c>
      <c r="I31" s="14" t="str">
        <f>+'PMG(D) segun remuneracion'!$K$1</f>
        <v>01-09-2026</v>
      </c>
      <c r="J31" s="14" t="str">
        <f>+'PMG(D) segun remuneracion'!$K$2</f>
        <v>30-09-2026</v>
      </c>
      <c r="K31" s="9">
        <f>+'PMG(D) segun remuneracion'!$K$3</f>
        <v>2</v>
      </c>
      <c r="L31" s="9">
        <f>+'PMG(D) segun remuneracion'!$K$4</f>
        <v>1</v>
      </c>
    </row>
    <row r="32" spans="1:12">
      <c r="A32" s="9">
        <v>15</v>
      </c>
      <c r="B32" s="9" t="s">
        <v>218</v>
      </c>
      <c r="C32" s="9">
        <v>220</v>
      </c>
      <c r="D32" s="9" t="s">
        <v>1574</v>
      </c>
      <c r="E32" s="9">
        <v>1</v>
      </c>
      <c r="F32" s="44">
        <v>53.277000000000001</v>
      </c>
      <c r="G32" s="9" t="s">
        <v>6617</v>
      </c>
      <c r="H32" s="9">
        <v>0</v>
      </c>
      <c r="I32" s="14" t="str">
        <f>+'PMG(D) segun remuneracion'!$K$1</f>
        <v>01-09-2026</v>
      </c>
      <c r="J32" s="14" t="str">
        <f>+'PMG(D) segun remuneracion'!$K$2</f>
        <v>30-09-2026</v>
      </c>
      <c r="K32" s="9">
        <f>+'PMG(D) segun remuneracion'!$K$3</f>
        <v>2</v>
      </c>
      <c r="L32" s="9">
        <f>+'PMG(D) segun remuneracion'!$K$4</f>
        <v>1</v>
      </c>
    </row>
    <row r="33" spans="1:12">
      <c r="A33" s="9">
        <v>15</v>
      </c>
      <c r="B33" s="9" t="s">
        <v>218</v>
      </c>
      <c r="C33" s="9">
        <v>220</v>
      </c>
      <c r="D33" s="9" t="s">
        <v>1575</v>
      </c>
      <c r="E33" s="9">
        <v>2</v>
      </c>
      <c r="F33" s="44">
        <v>53.445999999999998</v>
      </c>
      <c r="G33" s="9" t="s">
        <v>6617</v>
      </c>
      <c r="H33" s="9">
        <v>0</v>
      </c>
      <c r="I33" s="14" t="str">
        <f>+'PMG(D) segun remuneracion'!$K$1</f>
        <v>01-09-2026</v>
      </c>
      <c r="J33" s="14" t="str">
        <f>+'PMG(D) segun remuneracion'!$K$2</f>
        <v>30-09-2026</v>
      </c>
      <c r="K33" s="9">
        <f>+'PMG(D) segun remuneracion'!$K$3</f>
        <v>2</v>
      </c>
      <c r="L33" s="9">
        <f>+'PMG(D) segun remuneracion'!$K$4</f>
        <v>1</v>
      </c>
    </row>
    <row r="34" spans="1:12">
      <c r="A34" s="9">
        <v>15</v>
      </c>
      <c r="B34" s="9" t="s">
        <v>218</v>
      </c>
      <c r="C34" s="9">
        <v>220</v>
      </c>
      <c r="D34" s="9" t="s">
        <v>1576</v>
      </c>
      <c r="E34" s="9">
        <v>3</v>
      </c>
      <c r="F34" s="44">
        <v>39.104999999999997</v>
      </c>
      <c r="G34" s="9" t="s">
        <v>6617</v>
      </c>
      <c r="H34" s="9">
        <v>0</v>
      </c>
      <c r="I34" s="14" t="str">
        <f>+'PMG(D) segun remuneracion'!$K$1</f>
        <v>01-09-2026</v>
      </c>
      <c r="J34" s="14" t="str">
        <f>+'PMG(D) segun remuneracion'!$K$2</f>
        <v>30-09-2026</v>
      </c>
      <c r="K34" s="9">
        <f>+'PMG(D) segun remuneracion'!$K$3</f>
        <v>2</v>
      </c>
      <c r="L34" s="9">
        <f>+'PMG(D) segun remuneracion'!$K$4</f>
        <v>1</v>
      </c>
    </row>
    <row r="35" spans="1:12">
      <c r="A35" s="9">
        <v>15</v>
      </c>
      <c r="B35" s="9" t="s">
        <v>218</v>
      </c>
      <c r="C35" s="9">
        <v>220</v>
      </c>
      <c r="D35" s="9" t="s">
        <v>1577</v>
      </c>
      <c r="E35" s="9">
        <v>4</v>
      </c>
      <c r="F35" s="44">
        <v>38.667000000000002</v>
      </c>
      <c r="G35" s="9" t="s">
        <v>6617</v>
      </c>
      <c r="H35" s="9">
        <v>0</v>
      </c>
      <c r="I35" s="14" t="str">
        <f>+'PMG(D) segun remuneracion'!$K$1</f>
        <v>01-09-2026</v>
      </c>
      <c r="J35" s="14" t="str">
        <f>+'PMG(D) segun remuneracion'!$K$2</f>
        <v>30-09-2026</v>
      </c>
      <c r="K35" s="9">
        <f>+'PMG(D) segun remuneracion'!$K$3</f>
        <v>2</v>
      </c>
      <c r="L35" s="9">
        <f>+'PMG(D) segun remuneracion'!$K$4</f>
        <v>1</v>
      </c>
    </row>
    <row r="36" spans="1:12">
      <c r="A36" s="9">
        <v>15</v>
      </c>
      <c r="B36" s="9" t="s">
        <v>218</v>
      </c>
      <c r="C36" s="9">
        <v>220</v>
      </c>
      <c r="D36" s="9" t="s">
        <v>1578</v>
      </c>
      <c r="E36" s="9">
        <v>5</v>
      </c>
      <c r="F36" s="44">
        <v>49.026000000000003</v>
      </c>
      <c r="G36" s="9" t="s">
        <v>6617</v>
      </c>
      <c r="H36" s="9">
        <v>0</v>
      </c>
      <c r="I36" s="14" t="str">
        <f>+'PMG(D) segun remuneracion'!$K$1</f>
        <v>01-09-2026</v>
      </c>
      <c r="J36" s="14" t="str">
        <f>+'PMG(D) segun remuneracion'!$K$2</f>
        <v>30-09-2026</v>
      </c>
      <c r="K36" s="9">
        <f>+'PMG(D) segun remuneracion'!$K$3</f>
        <v>2</v>
      </c>
      <c r="L36" s="9">
        <f>+'PMG(D) segun remuneracion'!$K$4</f>
        <v>1</v>
      </c>
    </row>
    <row r="37" spans="1:12">
      <c r="A37" s="9">
        <v>15</v>
      </c>
      <c r="B37" s="9" t="s">
        <v>218</v>
      </c>
      <c r="C37" s="9">
        <v>220</v>
      </c>
      <c r="D37" s="9" t="s">
        <v>1579</v>
      </c>
      <c r="E37" s="9">
        <v>6</v>
      </c>
      <c r="F37" s="44">
        <v>57.997</v>
      </c>
      <c r="G37" s="9" t="s">
        <v>6617</v>
      </c>
      <c r="H37" s="9">
        <v>0</v>
      </c>
      <c r="I37" s="14" t="str">
        <f>+'PMG(D) segun remuneracion'!$K$1</f>
        <v>01-09-2026</v>
      </c>
      <c r="J37" s="14" t="str">
        <f>+'PMG(D) segun remuneracion'!$K$2</f>
        <v>30-09-2026</v>
      </c>
      <c r="K37" s="9">
        <f>+'PMG(D) segun remuneracion'!$K$3</f>
        <v>2</v>
      </c>
      <c r="L37" s="9">
        <f>+'PMG(D) segun remuneracion'!$K$4</f>
        <v>1</v>
      </c>
    </row>
    <row r="38" spans="1:12">
      <c r="A38" s="9">
        <v>15</v>
      </c>
      <c r="B38" s="9" t="s">
        <v>248</v>
      </c>
      <c r="C38" s="9">
        <v>220</v>
      </c>
      <c r="D38" s="9" t="s">
        <v>1574</v>
      </c>
      <c r="E38" s="9">
        <v>1</v>
      </c>
      <c r="F38" s="44">
        <v>54.328000000000003</v>
      </c>
      <c r="G38" s="9" t="s">
        <v>6617</v>
      </c>
      <c r="H38" s="9">
        <v>0</v>
      </c>
      <c r="I38" s="14" t="str">
        <f>+'PMG(D) segun remuneracion'!$K$1</f>
        <v>01-09-2026</v>
      </c>
      <c r="J38" s="14" t="str">
        <f>+'PMG(D) segun remuneracion'!$K$2</f>
        <v>30-09-2026</v>
      </c>
      <c r="K38" s="9">
        <f>+'PMG(D) segun remuneracion'!$K$3</f>
        <v>2</v>
      </c>
      <c r="L38" s="9">
        <f>+'PMG(D) segun remuneracion'!$K$4</f>
        <v>1</v>
      </c>
    </row>
    <row r="39" spans="1:12">
      <c r="A39" s="9">
        <v>15</v>
      </c>
      <c r="B39" s="9" t="s">
        <v>248</v>
      </c>
      <c r="C39" s="9">
        <v>220</v>
      </c>
      <c r="D39" s="9" t="s">
        <v>1575</v>
      </c>
      <c r="E39" s="9">
        <v>2</v>
      </c>
      <c r="F39" s="44">
        <v>54.436999999999998</v>
      </c>
      <c r="G39" s="9" t="s">
        <v>6617</v>
      </c>
      <c r="H39" s="9">
        <v>0</v>
      </c>
      <c r="I39" s="14" t="str">
        <f>+'PMG(D) segun remuneracion'!$K$1</f>
        <v>01-09-2026</v>
      </c>
      <c r="J39" s="14" t="str">
        <f>+'PMG(D) segun remuneracion'!$K$2</f>
        <v>30-09-2026</v>
      </c>
      <c r="K39" s="9">
        <f>+'PMG(D) segun remuneracion'!$K$3</f>
        <v>2</v>
      </c>
      <c r="L39" s="9">
        <f>+'PMG(D) segun remuneracion'!$K$4</f>
        <v>1</v>
      </c>
    </row>
    <row r="40" spans="1:12">
      <c r="A40" s="9">
        <v>15</v>
      </c>
      <c r="B40" s="9" t="s">
        <v>248</v>
      </c>
      <c r="C40" s="9">
        <v>220</v>
      </c>
      <c r="D40" s="9" t="s">
        <v>1576</v>
      </c>
      <c r="E40" s="9">
        <v>3</v>
      </c>
      <c r="F40" s="44">
        <v>39.161000000000001</v>
      </c>
      <c r="G40" s="9" t="s">
        <v>6617</v>
      </c>
      <c r="H40" s="9">
        <v>0</v>
      </c>
      <c r="I40" s="14" t="str">
        <f>+'PMG(D) segun remuneracion'!$K$1</f>
        <v>01-09-2026</v>
      </c>
      <c r="J40" s="14" t="str">
        <f>+'PMG(D) segun remuneracion'!$K$2</f>
        <v>30-09-2026</v>
      </c>
      <c r="K40" s="9">
        <f>+'PMG(D) segun remuneracion'!$K$3</f>
        <v>2</v>
      </c>
      <c r="L40" s="9">
        <f>+'PMG(D) segun remuneracion'!$K$4</f>
        <v>1</v>
      </c>
    </row>
    <row r="41" spans="1:12">
      <c r="A41" s="9">
        <v>15</v>
      </c>
      <c r="B41" s="9" t="s">
        <v>248</v>
      </c>
      <c r="C41" s="9">
        <v>220</v>
      </c>
      <c r="D41" s="9" t="s">
        <v>1577</v>
      </c>
      <c r="E41" s="9">
        <v>4</v>
      </c>
      <c r="F41" s="44">
        <v>38.674999999999997</v>
      </c>
      <c r="G41" s="9" t="s">
        <v>6617</v>
      </c>
      <c r="H41" s="9">
        <v>0</v>
      </c>
      <c r="I41" s="14" t="str">
        <f>+'PMG(D) segun remuneracion'!$K$1</f>
        <v>01-09-2026</v>
      </c>
      <c r="J41" s="14" t="str">
        <f>+'PMG(D) segun remuneracion'!$K$2</f>
        <v>30-09-2026</v>
      </c>
      <c r="K41" s="9">
        <f>+'PMG(D) segun remuneracion'!$K$3</f>
        <v>2</v>
      </c>
      <c r="L41" s="9">
        <f>+'PMG(D) segun remuneracion'!$K$4</f>
        <v>1</v>
      </c>
    </row>
    <row r="42" spans="1:12">
      <c r="A42" s="9">
        <v>15</v>
      </c>
      <c r="B42" s="9" t="s">
        <v>248</v>
      </c>
      <c r="C42" s="9">
        <v>220</v>
      </c>
      <c r="D42" s="9" t="s">
        <v>1578</v>
      </c>
      <c r="E42" s="9">
        <v>5</v>
      </c>
      <c r="F42" s="44">
        <v>49.055</v>
      </c>
      <c r="G42" s="9" t="s">
        <v>6617</v>
      </c>
      <c r="H42" s="9">
        <v>0</v>
      </c>
      <c r="I42" s="14" t="str">
        <f>+'PMG(D) segun remuneracion'!$K$1</f>
        <v>01-09-2026</v>
      </c>
      <c r="J42" s="14" t="str">
        <f>+'PMG(D) segun remuneracion'!$K$2</f>
        <v>30-09-2026</v>
      </c>
      <c r="K42" s="9">
        <f>+'PMG(D) segun remuneracion'!$K$3</f>
        <v>2</v>
      </c>
      <c r="L42" s="9">
        <f>+'PMG(D) segun remuneracion'!$K$4</f>
        <v>1</v>
      </c>
    </row>
    <row r="43" spans="1:12">
      <c r="A43" s="9">
        <v>15</v>
      </c>
      <c r="B43" s="9" t="s">
        <v>248</v>
      </c>
      <c r="C43" s="9">
        <v>220</v>
      </c>
      <c r="D43" s="9" t="s">
        <v>1579</v>
      </c>
      <c r="E43" s="9">
        <v>6</v>
      </c>
      <c r="F43" s="44">
        <v>58.87</v>
      </c>
      <c r="G43" s="9" t="s">
        <v>6617</v>
      </c>
      <c r="H43" s="9">
        <v>0</v>
      </c>
      <c r="I43" s="14" t="str">
        <f>+'PMG(D) segun remuneracion'!$K$1</f>
        <v>01-09-2026</v>
      </c>
      <c r="J43" s="14" t="str">
        <f>+'PMG(D) segun remuneracion'!$K$2</f>
        <v>30-09-2026</v>
      </c>
      <c r="K43" s="9">
        <f>+'PMG(D) segun remuneracion'!$K$3</f>
        <v>2</v>
      </c>
      <c r="L43" s="9">
        <f>+'PMG(D) segun remuneracion'!$K$4</f>
        <v>1</v>
      </c>
    </row>
    <row r="44" spans="1:12">
      <c r="A44" s="9">
        <v>15</v>
      </c>
      <c r="B44" s="9" t="s">
        <v>521</v>
      </c>
      <c r="C44" s="9">
        <v>220</v>
      </c>
      <c r="D44" s="9" t="s">
        <v>1574</v>
      </c>
      <c r="E44" s="9">
        <v>1</v>
      </c>
      <c r="F44" s="44">
        <v>54.655999999999999</v>
      </c>
      <c r="G44" s="9" t="s">
        <v>6617</v>
      </c>
      <c r="H44" s="9">
        <v>0</v>
      </c>
      <c r="I44" s="14" t="str">
        <f>+'PMG(D) segun remuneracion'!$K$1</f>
        <v>01-09-2026</v>
      </c>
      <c r="J44" s="14" t="str">
        <f>+'PMG(D) segun remuneracion'!$K$2</f>
        <v>30-09-2026</v>
      </c>
      <c r="K44" s="9">
        <f>+'PMG(D) segun remuneracion'!$K$3</f>
        <v>2</v>
      </c>
      <c r="L44" s="9">
        <f>+'PMG(D) segun remuneracion'!$K$4</f>
        <v>1</v>
      </c>
    </row>
    <row r="45" spans="1:12">
      <c r="A45" s="9">
        <v>15</v>
      </c>
      <c r="B45" s="9" t="s">
        <v>521</v>
      </c>
      <c r="C45" s="9">
        <v>220</v>
      </c>
      <c r="D45" s="9" t="s">
        <v>1575</v>
      </c>
      <c r="E45" s="9">
        <v>2</v>
      </c>
      <c r="F45" s="44">
        <v>54.720999999999997</v>
      </c>
      <c r="G45" s="9" t="s">
        <v>6617</v>
      </c>
      <c r="H45" s="9">
        <v>0</v>
      </c>
      <c r="I45" s="14" t="str">
        <f>+'PMG(D) segun remuneracion'!$K$1</f>
        <v>01-09-2026</v>
      </c>
      <c r="J45" s="14" t="str">
        <f>+'PMG(D) segun remuneracion'!$K$2</f>
        <v>30-09-2026</v>
      </c>
      <c r="K45" s="9">
        <f>+'PMG(D) segun remuneracion'!$K$3</f>
        <v>2</v>
      </c>
      <c r="L45" s="9">
        <f>+'PMG(D) segun remuneracion'!$K$4</f>
        <v>1</v>
      </c>
    </row>
    <row r="46" spans="1:12">
      <c r="A46" s="9">
        <v>15</v>
      </c>
      <c r="B46" s="9" t="s">
        <v>521</v>
      </c>
      <c r="C46" s="9">
        <v>220</v>
      </c>
      <c r="D46" s="9" t="s">
        <v>1576</v>
      </c>
      <c r="E46" s="9">
        <v>3</v>
      </c>
      <c r="F46" s="44">
        <v>39.21</v>
      </c>
      <c r="G46" s="9" t="s">
        <v>6617</v>
      </c>
      <c r="H46" s="9">
        <v>0</v>
      </c>
      <c r="I46" s="14" t="str">
        <f>+'PMG(D) segun remuneracion'!$K$1</f>
        <v>01-09-2026</v>
      </c>
      <c r="J46" s="14" t="str">
        <f>+'PMG(D) segun remuneracion'!$K$2</f>
        <v>30-09-2026</v>
      </c>
      <c r="K46" s="9">
        <f>+'PMG(D) segun remuneracion'!$K$3</f>
        <v>2</v>
      </c>
      <c r="L46" s="9">
        <f>+'PMG(D) segun remuneracion'!$K$4</f>
        <v>1</v>
      </c>
    </row>
    <row r="47" spans="1:12">
      <c r="A47" s="9">
        <v>15</v>
      </c>
      <c r="B47" s="9" t="s">
        <v>521</v>
      </c>
      <c r="C47" s="9">
        <v>220</v>
      </c>
      <c r="D47" s="9" t="s">
        <v>1577</v>
      </c>
      <c r="E47" s="9">
        <v>4</v>
      </c>
      <c r="F47" s="44">
        <v>38.832999999999998</v>
      </c>
      <c r="G47" s="9" t="s">
        <v>6617</v>
      </c>
      <c r="H47" s="9">
        <v>0</v>
      </c>
      <c r="I47" s="14" t="str">
        <f>+'PMG(D) segun remuneracion'!$K$1</f>
        <v>01-09-2026</v>
      </c>
      <c r="J47" s="14" t="str">
        <f>+'PMG(D) segun remuneracion'!$K$2</f>
        <v>30-09-2026</v>
      </c>
      <c r="K47" s="9">
        <f>+'PMG(D) segun remuneracion'!$K$3</f>
        <v>2</v>
      </c>
      <c r="L47" s="9">
        <f>+'PMG(D) segun remuneracion'!$K$4</f>
        <v>1</v>
      </c>
    </row>
    <row r="48" spans="1:12">
      <c r="A48" s="9">
        <v>15</v>
      </c>
      <c r="B48" s="9" t="s">
        <v>521</v>
      </c>
      <c r="C48" s="9">
        <v>220</v>
      </c>
      <c r="D48" s="9" t="s">
        <v>1578</v>
      </c>
      <c r="E48" s="9">
        <v>5</v>
      </c>
      <c r="F48" s="44">
        <v>49.430999999999997</v>
      </c>
      <c r="G48" s="9" t="s">
        <v>6617</v>
      </c>
      <c r="H48" s="9">
        <v>0</v>
      </c>
      <c r="I48" s="14" t="str">
        <f>+'PMG(D) segun remuneracion'!$K$1</f>
        <v>01-09-2026</v>
      </c>
      <c r="J48" s="14" t="str">
        <f>+'PMG(D) segun remuneracion'!$K$2</f>
        <v>30-09-2026</v>
      </c>
      <c r="K48" s="9">
        <f>+'PMG(D) segun remuneracion'!$K$3</f>
        <v>2</v>
      </c>
      <c r="L48" s="9">
        <f>+'PMG(D) segun remuneracion'!$K$4</f>
        <v>1</v>
      </c>
    </row>
    <row r="49" spans="1:12">
      <c r="A49" s="9">
        <v>15</v>
      </c>
      <c r="B49" s="9" t="s">
        <v>521</v>
      </c>
      <c r="C49" s="9">
        <v>220</v>
      </c>
      <c r="D49" s="9" t="s">
        <v>1579</v>
      </c>
      <c r="E49" s="9">
        <v>6</v>
      </c>
      <c r="F49" s="44">
        <v>59.482999999999997</v>
      </c>
      <c r="G49" s="9" t="s">
        <v>6617</v>
      </c>
      <c r="H49" s="9">
        <v>0</v>
      </c>
      <c r="I49" s="14" t="str">
        <f>+'PMG(D) segun remuneracion'!$K$1</f>
        <v>01-09-2026</v>
      </c>
      <c r="J49" s="14" t="str">
        <f>+'PMG(D) segun remuneracion'!$K$2</f>
        <v>30-09-2026</v>
      </c>
      <c r="K49" s="9">
        <f>+'PMG(D) segun remuneracion'!$K$3</f>
        <v>2</v>
      </c>
      <c r="L49" s="9">
        <f>+'PMG(D) segun remuneracion'!$K$4</f>
        <v>1</v>
      </c>
    </row>
    <row r="50" spans="1:12">
      <c r="A50" s="9">
        <v>15</v>
      </c>
      <c r="B50" s="9" t="s">
        <v>548</v>
      </c>
      <c r="C50" s="9">
        <v>220</v>
      </c>
      <c r="D50" s="9" t="s">
        <v>1574</v>
      </c>
      <c r="E50" s="9">
        <v>1</v>
      </c>
      <c r="F50" s="44">
        <v>55.128</v>
      </c>
      <c r="G50" s="9" t="s">
        <v>6617</v>
      </c>
      <c r="H50" s="9">
        <v>0</v>
      </c>
      <c r="I50" s="14" t="str">
        <f>+'PMG(D) segun remuneracion'!$K$1</f>
        <v>01-09-2026</v>
      </c>
      <c r="J50" s="14" t="str">
        <f>+'PMG(D) segun remuneracion'!$K$2</f>
        <v>30-09-2026</v>
      </c>
      <c r="K50" s="9">
        <f>+'PMG(D) segun remuneracion'!$K$3</f>
        <v>2</v>
      </c>
      <c r="L50" s="9">
        <f>+'PMG(D) segun remuneracion'!$K$4</f>
        <v>1</v>
      </c>
    </row>
    <row r="51" spans="1:12">
      <c r="A51" s="9">
        <v>15</v>
      </c>
      <c r="B51" s="9" t="s">
        <v>548</v>
      </c>
      <c r="C51" s="9">
        <v>220</v>
      </c>
      <c r="D51" s="9" t="s">
        <v>1575</v>
      </c>
      <c r="E51" s="9">
        <v>2</v>
      </c>
      <c r="F51" s="44">
        <v>55.256999999999998</v>
      </c>
      <c r="G51" s="9" t="s">
        <v>6617</v>
      </c>
      <c r="H51" s="9">
        <v>0</v>
      </c>
      <c r="I51" s="14" t="str">
        <f>+'PMG(D) segun remuneracion'!$K$1</f>
        <v>01-09-2026</v>
      </c>
      <c r="J51" s="14" t="str">
        <f>+'PMG(D) segun remuneracion'!$K$2</f>
        <v>30-09-2026</v>
      </c>
      <c r="K51" s="9">
        <f>+'PMG(D) segun remuneracion'!$K$3</f>
        <v>2</v>
      </c>
      <c r="L51" s="9">
        <f>+'PMG(D) segun remuneracion'!$K$4</f>
        <v>1</v>
      </c>
    </row>
    <row r="52" spans="1:12">
      <c r="A52" s="9">
        <v>15</v>
      </c>
      <c r="B52" s="9" t="s">
        <v>548</v>
      </c>
      <c r="C52" s="9">
        <v>220</v>
      </c>
      <c r="D52" s="9" t="s">
        <v>1576</v>
      </c>
      <c r="E52" s="9">
        <v>3</v>
      </c>
      <c r="F52" s="44">
        <v>39.152000000000001</v>
      </c>
      <c r="G52" s="9" t="s">
        <v>6617</v>
      </c>
      <c r="H52" s="9">
        <v>0</v>
      </c>
      <c r="I52" s="14" t="str">
        <f>+'PMG(D) segun remuneracion'!$K$1</f>
        <v>01-09-2026</v>
      </c>
      <c r="J52" s="14" t="str">
        <f>+'PMG(D) segun remuneracion'!$K$2</f>
        <v>30-09-2026</v>
      </c>
      <c r="K52" s="9">
        <f>+'PMG(D) segun remuneracion'!$K$3</f>
        <v>2</v>
      </c>
      <c r="L52" s="9">
        <f>+'PMG(D) segun remuneracion'!$K$4</f>
        <v>1</v>
      </c>
    </row>
    <row r="53" spans="1:12">
      <c r="A53" s="9">
        <v>15</v>
      </c>
      <c r="B53" s="9" t="s">
        <v>548</v>
      </c>
      <c r="C53" s="9">
        <v>220</v>
      </c>
      <c r="D53" s="9" t="s">
        <v>1577</v>
      </c>
      <c r="E53" s="9">
        <v>4</v>
      </c>
      <c r="F53" s="44">
        <v>38.615000000000002</v>
      </c>
      <c r="G53" s="9" t="s">
        <v>6617</v>
      </c>
      <c r="H53" s="9">
        <v>0</v>
      </c>
      <c r="I53" s="14" t="str">
        <f>+'PMG(D) segun remuneracion'!$K$1</f>
        <v>01-09-2026</v>
      </c>
      <c r="J53" s="14" t="str">
        <f>+'PMG(D) segun remuneracion'!$K$2</f>
        <v>30-09-2026</v>
      </c>
      <c r="K53" s="9">
        <f>+'PMG(D) segun remuneracion'!$K$3</f>
        <v>2</v>
      </c>
      <c r="L53" s="9">
        <f>+'PMG(D) segun remuneracion'!$K$4</f>
        <v>1</v>
      </c>
    </row>
    <row r="54" spans="1:12">
      <c r="A54" s="9">
        <v>15</v>
      </c>
      <c r="B54" s="9" t="s">
        <v>548</v>
      </c>
      <c r="C54" s="9">
        <v>220</v>
      </c>
      <c r="D54" s="9" t="s">
        <v>1578</v>
      </c>
      <c r="E54" s="9">
        <v>5</v>
      </c>
      <c r="F54" s="44">
        <v>46.902000000000001</v>
      </c>
      <c r="G54" s="9" t="s">
        <v>6617</v>
      </c>
      <c r="H54" s="9">
        <v>0</v>
      </c>
      <c r="I54" s="14" t="str">
        <f>+'PMG(D) segun remuneracion'!$K$1</f>
        <v>01-09-2026</v>
      </c>
      <c r="J54" s="14" t="str">
        <f>+'PMG(D) segun remuneracion'!$K$2</f>
        <v>30-09-2026</v>
      </c>
      <c r="K54" s="9">
        <f>+'PMG(D) segun remuneracion'!$K$3</f>
        <v>2</v>
      </c>
      <c r="L54" s="9">
        <f>+'PMG(D) segun remuneracion'!$K$4</f>
        <v>1</v>
      </c>
    </row>
    <row r="55" spans="1:12">
      <c r="A55" s="9">
        <v>15</v>
      </c>
      <c r="B55" s="9" t="s">
        <v>548</v>
      </c>
      <c r="C55" s="9">
        <v>220</v>
      </c>
      <c r="D55" s="9" t="s">
        <v>1579</v>
      </c>
      <c r="E55" s="9">
        <v>6</v>
      </c>
      <c r="F55" s="44">
        <v>58.256</v>
      </c>
      <c r="G55" s="9" t="s">
        <v>6617</v>
      </c>
      <c r="H55" s="9">
        <v>0</v>
      </c>
      <c r="I55" s="14" t="str">
        <f>+'PMG(D) segun remuneracion'!$K$1</f>
        <v>01-09-2026</v>
      </c>
      <c r="J55" s="14" t="str">
        <f>+'PMG(D) segun remuneracion'!$K$2</f>
        <v>30-09-2026</v>
      </c>
      <c r="K55" s="9">
        <f>+'PMG(D) segun remuneracion'!$K$3</f>
        <v>2</v>
      </c>
      <c r="L55" s="9">
        <f>+'PMG(D) segun remuneracion'!$K$4</f>
        <v>1</v>
      </c>
    </row>
    <row r="56" spans="1:12">
      <c r="A56" s="9">
        <v>15</v>
      </c>
      <c r="B56" s="9" t="s">
        <v>589</v>
      </c>
      <c r="C56" s="9">
        <v>220</v>
      </c>
      <c r="D56" s="9" t="s">
        <v>1574</v>
      </c>
      <c r="E56" s="9">
        <v>1</v>
      </c>
      <c r="F56" s="44">
        <v>57.201999999999998</v>
      </c>
      <c r="G56" s="9" t="s">
        <v>6617</v>
      </c>
      <c r="H56" s="9">
        <v>0</v>
      </c>
      <c r="I56" s="14" t="str">
        <f>+'PMG(D) segun remuneracion'!$K$1</f>
        <v>01-09-2026</v>
      </c>
      <c r="J56" s="14" t="str">
        <f>+'PMG(D) segun remuneracion'!$K$2</f>
        <v>30-09-2026</v>
      </c>
      <c r="K56" s="9">
        <f>+'PMG(D) segun remuneracion'!$K$3</f>
        <v>2</v>
      </c>
      <c r="L56" s="9">
        <f>+'PMG(D) segun remuneracion'!$K$4</f>
        <v>1</v>
      </c>
    </row>
    <row r="57" spans="1:12">
      <c r="A57" s="9">
        <v>15</v>
      </c>
      <c r="B57" s="9" t="s">
        <v>589</v>
      </c>
      <c r="C57" s="9">
        <v>220</v>
      </c>
      <c r="D57" s="9" t="s">
        <v>1575</v>
      </c>
      <c r="E57" s="9">
        <v>2</v>
      </c>
      <c r="F57" s="44">
        <v>57.142000000000003</v>
      </c>
      <c r="G57" s="9" t="s">
        <v>6617</v>
      </c>
      <c r="H57" s="9">
        <v>0</v>
      </c>
      <c r="I57" s="14" t="str">
        <f>+'PMG(D) segun remuneracion'!$K$1</f>
        <v>01-09-2026</v>
      </c>
      <c r="J57" s="14" t="str">
        <f>+'PMG(D) segun remuneracion'!$K$2</f>
        <v>30-09-2026</v>
      </c>
      <c r="K57" s="9">
        <f>+'PMG(D) segun remuneracion'!$K$3</f>
        <v>2</v>
      </c>
      <c r="L57" s="9">
        <f>+'PMG(D) segun remuneracion'!$K$4</f>
        <v>1</v>
      </c>
    </row>
    <row r="58" spans="1:12">
      <c r="A58" s="9">
        <v>15</v>
      </c>
      <c r="B58" s="9" t="s">
        <v>589</v>
      </c>
      <c r="C58" s="9">
        <v>220</v>
      </c>
      <c r="D58" s="9" t="s">
        <v>1576</v>
      </c>
      <c r="E58" s="9">
        <v>3</v>
      </c>
      <c r="F58" s="44">
        <v>39.238</v>
      </c>
      <c r="G58" s="9" t="s">
        <v>6617</v>
      </c>
      <c r="H58" s="9">
        <v>0</v>
      </c>
      <c r="I58" s="14" t="str">
        <f>+'PMG(D) segun remuneracion'!$K$1</f>
        <v>01-09-2026</v>
      </c>
      <c r="J58" s="14" t="str">
        <f>+'PMG(D) segun remuneracion'!$K$2</f>
        <v>30-09-2026</v>
      </c>
      <c r="K58" s="9">
        <f>+'PMG(D) segun remuneracion'!$K$3</f>
        <v>2</v>
      </c>
      <c r="L58" s="9">
        <f>+'PMG(D) segun remuneracion'!$K$4</f>
        <v>1</v>
      </c>
    </row>
    <row r="59" spans="1:12">
      <c r="A59" s="9">
        <v>15</v>
      </c>
      <c r="B59" s="9" t="s">
        <v>589</v>
      </c>
      <c r="C59" s="9">
        <v>220</v>
      </c>
      <c r="D59" s="9" t="s">
        <v>1577</v>
      </c>
      <c r="E59" s="9">
        <v>4</v>
      </c>
      <c r="F59" s="44">
        <v>38.674999999999997</v>
      </c>
      <c r="G59" s="9" t="s">
        <v>6617</v>
      </c>
      <c r="H59" s="9">
        <v>0</v>
      </c>
      <c r="I59" s="14" t="str">
        <f>+'PMG(D) segun remuneracion'!$K$1</f>
        <v>01-09-2026</v>
      </c>
      <c r="J59" s="14" t="str">
        <f>+'PMG(D) segun remuneracion'!$K$2</f>
        <v>30-09-2026</v>
      </c>
      <c r="K59" s="9">
        <f>+'PMG(D) segun remuneracion'!$K$3</f>
        <v>2</v>
      </c>
      <c r="L59" s="9">
        <f>+'PMG(D) segun remuneracion'!$K$4</f>
        <v>1</v>
      </c>
    </row>
    <row r="60" spans="1:12">
      <c r="A60" s="9">
        <v>15</v>
      </c>
      <c r="B60" s="9" t="s">
        <v>589</v>
      </c>
      <c r="C60" s="9">
        <v>220</v>
      </c>
      <c r="D60" s="9" t="s">
        <v>1578</v>
      </c>
      <c r="E60" s="9">
        <v>5</v>
      </c>
      <c r="F60" s="44">
        <v>51.384999999999998</v>
      </c>
      <c r="G60" s="9" t="s">
        <v>6617</v>
      </c>
      <c r="H60" s="9">
        <v>0</v>
      </c>
      <c r="I60" s="14" t="str">
        <f>+'PMG(D) segun remuneracion'!$K$1</f>
        <v>01-09-2026</v>
      </c>
      <c r="J60" s="14" t="str">
        <f>+'PMG(D) segun remuneracion'!$K$2</f>
        <v>30-09-2026</v>
      </c>
      <c r="K60" s="9">
        <f>+'PMG(D) segun remuneracion'!$K$3</f>
        <v>2</v>
      </c>
      <c r="L60" s="9">
        <f>+'PMG(D) segun remuneracion'!$K$4</f>
        <v>1</v>
      </c>
    </row>
    <row r="61" spans="1:12">
      <c r="A61" s="9">
        <v>15</v>
      </c>
      <c r="B61" s="9" t="s">
        <v>589</v>
      </c>
      <c r="C61" s="9">
        <v>220</v>
      </c>
      <c r="D61" s="9" t="s">
        <v>1579</v>
      </c>
      <c r="E61" s="9">
        <v>6</v>
      </c>
      <c r="F61" s="44">
        <v>63.296999999999997</v>
      </c>
      <c r="G61" s="9" t="s">
        <v>6617</v>
      </c>
      <c r="H61" s="9">
        <v>0</v>
      </c>
      <c r="I61" s="14" t="str">
        <f>+'PMG(D) segun remuneracion'!$K$1</f>
        <v>01-09-2026</v>
      </c>
      <c r="J61" s="14" t="str">
        <f>+'PMG(D) segun remuneracion'!$K$2</f>
        <v>30-09-2026</v>
      </c>
      <c r="K61" s="9">
        <f>+'PMG(D) segun remuneracion'!$K$3</f>
        <v>2</v>
      </c>
      <c r="L61" s="9">
        <f>+'PMG(D) segun remuneracion'!$K$4</f>
        <v>1</v>
      </c>
    </row>
    <row r="62" spans="1:12">
      <c r="A62" s="9">
        <v>15</v>
      </c>
      <c r="B62" s="9" t="s">
        <v>635</v>
      </c>
      <c r="C62" s="9">
        <v>220</v>
      </c>
      <c r="D62" s="9" t="s">
        <v>1574</v>
      </c>
      <c r="E62" s="9">
        <v>1</v>
      </c>
      <c r="F62" s="44">
        <v>54.554000000000002</v>
      </c>
      <c r="G62" s="9" t="s">
        <v>6617</v>
      </c>
      <c r="H62" s="9">
        <v>0</v>
      </c>
      <c r="I62" s="14" t="str">
        <f>+'PMG(D) segun remuneracion'!$K$1</f>
        <v>01-09-2026</v>
      </c>
      <c r="J62" s="14" t="str">
        <f>+'PMG(D) segun remuneracion'!$K$2</f>
        <v>30-09-2026</v>
      </c>
      <c r="K62" s="9">
        <f>+'PMG(D) segun remuneracion'!$K$3</f>
        <v>2</v>
      </c>
      <c r="L62" s="9">
        <f>+'PMG(D) segun remuneracion'!$K$4</f>
        <v>1</v>
      </c>
    </row>
    <row r="63" spans="1:12">
      <c r="A63" s="9">
        <v>15</v>
      </c>
      <c r="B63" s="9" t="s">
        <v>635</v>
      </c>
      <c r="C63" s="9">
        <v>220</v>
      </c>
      <c r="D63" s="9" t="s">
        <v>1575</v>
      </c>
      <c r="E63" s="9">
        <v>2</v>
      </c>
      <c r="F63" s="44">
        <v>54.600999999999999</v>
      </c>
      <c r="G63" s="9" t="s">
        <v>6617</v>
      </c>
      <c r="H63" s="9">
        <v>0</v>
      </c>
      <c r="I63" s="14" t="str">
        <f>+'PMG(D) segun remuneracion'!$K$1</f>
        <v>01-09-2026</v>
      </c>
      <c r="J63" s="14" t="str">
        <f>+'PMG(D) segun remuneracion'!$K$2</f>
        <v>30-09-2026</v>
      </c>
      <c r="K63" s="9">
        <f>+'PMG(D) segun remuneracion'!$K$3</f>
        <v>2</v>
      </c>
      <c r="L63" s="9">
        <f>+'PMG(D) segun remuneracion'!$K$4</f>
        <v>1</v>
      </c>
    </row>
    <row r="64" spans="1:12">
      <c r="A64" s="9">
        <v>15</v>
      </c>
      <c r="B64" s="9" t="s">
        <v>635</v>
      </c>
      <c r="C64" s="9">
        <v>220</v>
      </c>
      <c r="D64" s="9" t="s">
        <v>1576</v>
      </c>
      <c r="E64" s="9">
        <v>3</v>
      </c>
      <c r="F64" s="44">
        <v>39.219000000000001</v>
      </c>
      <c r="G64" s="9" t="s">
        <v>6617</v>
      </c>
      <c r="H64" s="9">
        <v>0</v>
      </c>
      <c r="I64" s="14" t="str">
        <f>+'PMG(D) segun remuneracion'!$K$1</f>
        <v>01-09-2026</v>
      </c>
      <c r="J64" s="14" t="str">
        <f>+'PMG(D) segun remuneracion'!$K$2</f>
        <v>30-09-2026</v>
      </c>
      <c r="K64" s="9">
        <f>+'PMG(D) segun remuneracion'!$K$3</f>
        <v>2</v>
      </c>
      <c r="L64" s="9">
        <f>+'PMG(D) segun remuneracion'!$K$4</f>
        <v>1</v>
      </c>
    </row>
    <row r="65" spans="1:12">
      <c r="A65" s="9">
        <v>15</v>
      </c>
      <c r="B65" s="9" t="s">
        <v>635</v>
      </c>
      <c r="C65" s="9">
        <v>220</v>
      </c>
      <c r="D65" s="9" t="s">
        <v>1577</v>
      </c>
      <c r="E65" s="9">
        <v>4</v>
      </c>
      <c r="F65" s="44">
        <v>38.890999999999998</v>
      </c>
      <c r="G65" s="9" t="s">
        <v>6617</v>
      </c>
      <c r="H65" s="9">
        <v>0</v>
      </c>
      <c r="I65" s="14" t="str">
        <f>+'PMG(D) segun remuneracion'!$K$1</f>
        <v>01-09-2026</v>
      </c>
      <c r="J65" s="14" t="str">
        <f>+'PMG(D) segun remuneracion'!$K$2</f>
        <v>30-09-2026</v>
      </c>
      <c r="K65" s="9">
        <f>+'PMG(D) segun remuneracion'!$K$3</f>
        <v>2</v>
      </c>
      <c r="L65" s="9">
        <f>+'PMG(D) segun remuneracion'!$K$4</f>
        <v>1</v>
      </c>
    </row>
    <row r="66" spans="1:12">
      <c r="A66" s="9">
        <v>15</v>
      </c>
      <c r="B66" s="9" t="s">
        <v>635</v>
      </c>
      <c r="C66" s="9">
        <v>220</v>
      </c>
      <c r="D66" s="9" t="s">
        <v>1578</v>
      </c>
      <c r="E66" s="9">
        <v>5</v>
      </c>
      <c r="F66" s="44">
        <v>49.421999999999997</v>
      </c>
      <c r="G66" s="9" t="s">
        <v>6617</v>
      </c>
      <c r="H66" s="9">
        <v>0</v>
      </c>
      <c r="I66" s="14" t="str">
        <f>+'PMG(D) segun remuneracion'!$K$1</f>
        <v>01-09-2026</v>
      </c>
      <c r="J66" s="14" t="str">
        <f>+'PMG(D) segun remuneracion'!$K$2</f>
        <v>30-09-2026</v>
      </c>
      <c r="K66" s="9">
        <f>+'PMG(D) segun remuneracion'!$K$3</f>
        <v>2</v>
      </c>
      <c r="L66" s="9">
        <f>+'PMG(D) segun remuneracion'!$K$4</f>
        <v>1</v>
      </c>
    </row>
    <row r="67" spans="1:12">
      <c r="A67" s="9">
        <v>15</v>
      </c>
      <c r="B67" s="9" t="s">
        <v>635</v>
      </c>
      <c r="C67" s="9">
        <v>220</v>
      </c>
      <c r="D67" s="9" t="s">
        <v>1579</v>
      </c>
      <c r="E67" s="9">
        <v>6</v>
      </c>
      <c r="F67" s="44">
        <v>59.421999999999997</v>
      </c>
      <c r="G67" s="9" t="s">
        <v>6617</v>
      </c>
      <c r="H67" s="9">
        <v>0</v>
      </c>
      <c r="I67" s="14" t="str">
        <f>+'PMG(D) segun remuneracion'!$K$1</f>
        <v>01-09-2026</v>
      </c>
      <c r="J67" s="14" t="str">
        <f>+'PMG(D) segun remuneracion'!$K$2</f>
        <v>30-09-2026</v>
      </c>
      <c r="K67" s="9">
        <f>+'PMG(D) segun remuneracion'!$K$3</f>
        <v>2</v>
      </c>
      <c r="L67" s="9">
        <f>+'PMG(D) segun remuneracion'!$K$4</f>
        <v>1</v>
      </c>
    </row>
    <row r="68" spans="1:12">
      <c r="A68" s="9">
        <v>15</v>
      </c>
      <c r="B68" s="9" t="s">
        <v>911</v>
      </c>
      <c r="C68" s="9">
        <v>220</v>
      </c>
      <c r="D68" s="9" t="s">
        <v>1574</v>
      </c>
      <c r="E68" s="9">
        <v>1</v>
      </c>
      <c r="F68" s="44">
        <v>55.404000000000003</v>
      </c>
      <c r="G68" s="9" t="s">
        <v>6617</v>
      </c>
      <c r="H68" s="9">
        <v>0</v>
      </c>
      <c r="I68" s="14" t="str">
        <f>+'PMG(D) segun remuneracion'!$K$1</f>
        <v>01-09-2026</v>
      </c>
      <c r="J68" s="14" t="str">
        <f>+'PMG(D) segun remuneracion'!$K$2</f>
        <v>30-09-2026</v>
      </c>
      <c r="K68" s="9">
        <f>+'PMG(D) segun remuneracion'!$K$3</f>
        <v>2</v>
      </c>
      <c r="L68" s="9">
        <f>+'PMG(D) segun remuneracion'!$K$4</f>
        <v>1</v>
      </c>
    </row>
    <row r="69" spans="1:12">
      <c r="A69" s="9">
        <v>15</v>
      </c>
      <c r="B69" s="9" t="s">
        <v>911</v>
      </c>
      <c r="C69" s="9">
        <v>220</v>
      </c>
      <c r="D69" s="9" t="s">
        <v>1575</v>
      </c>
      <c r="E69" s="9">
        <v>2</v>
      </c>
      <c r="F69" s="44">
        <v>55.06</v>
      </c>
      <c r="G69" s="9" t="s">
        <v>6617</v>
      </c>
      <c r="H69" s="9">
        <v>0</v>
      </c>
      <c r="I69" s="14" t="str">
        <f>+'PMG(D) segun remuneracion'!$K$1</f>
        <v>01-09-2026</v>
      </c>
      <c r="J69" s="14" t="str">
        <f>+'PMG(D) segun remuneracion'!$K$2</f>
        <v>30-09-2026</v>
      </c>
      <c r="K69" s="9">
        <f>+'PMG(D) segun remuneracion'!$K$3</f>
        <v>2</v>
      </c>
      <c r="L69" s="9">
        <f>+'PMG(D) segun remuneracion'!$K$4</f>
        <v>1</v>
      </c>
    </row>
    <row r="70" spans="1:12">
      <c r="A70" s="9">
        <v>15</v>
      </c>
      <c r="B70" s="9" t="s">
        <v>911</v>
      </c>
      <c r="C70" s="9">
        <v>220</v>
      </c>
      <c r="D70" s="9" t="s">
        <v>1576</v>
      </c>
      <c r="E70" s="9">
        <v>3</v>
      </c>
      <c r="F70" s="44">
        <v>39.090000000000003</v>
      </c>
      <c r="G70" s="9" t="s">
        <v>6617</v>
      </c>
      <c r="H70" s="9">
        <v>0</v>
      </c>
      <c r="I70" s="14" t="str">
        <f>+'PMG(D) segun remuneracion'!$K$1</f>
        <v>01-09-2026</v>
      </c>
      <c r="J70" s="14" t="str">
        <f>+'PMG(D) segun remuneracion'!$K$2</f>
        <v>30-09-2026</v>
      </c>
      <c r="K70" s="9">
        <f>+'PMG(D) segun remuneracion'!$K$3</f>
        <v>2</v>
      </c>
      <c r="L70" s="9">
        <f>+'PMG(D) segun remuneracion'!$K$4</f>
        <v>1</v>
      </c>
    </row>
    <row r="71" spans="1:12">
      <c r="A71" s="9">
        <v>15</v>
      </c>
      <c r="B71" s="9" t="s">
        <v>911</v>
      </c>
      <c r="C71" s="9">
        <v>220</v>
      </c>
      <c r="D71" s="9" t="s">
        <v>1577</v>
      </c>
      <c r="E71" s="9">
        <v>4</v>
      </c>
      <c r="F71" s="44">
        <v>38.667999999999999</v>
      </c>
      <c r="G71" s="9" t="s">
        <v>6617</v>
      </c>
      <c r="H71" s="9">
        <v>0</v>
      </c>
      <c r="I71" s="14" t="str">
        <f>+'PMG(D) segun remuneracion'!$K$1</f>
        <v>01-09-2026</v>
      </c>
      <c r="J71" s="14" t="str">
        <f>+'PMG(D) segun remuneracion'!$K$2</f>
        <v>30-09-2026</v>
      </c>
      <c r="K71" s="9">
        <f>+'PMG(D) segun remuneracion'!$K$3</f>
        <v>2</v>
      </c>
      <c r="L71" s="9">
        <f>+'PMG(D) segun remuneracion'!$K$4</f>
        <v>1</v>
      </c>
    </row>
    <row r="72" spans="1:12">
      <c r="A72" s="9">
        <v>15</v>
      </c>
      <c r="B72" s="9" t="s">
        <v>911</v>
      </c>
      <c r="C72" s="9">
        <v>220</v>
      </c>
      <c r="D72" s="9" t="s">
        <v>1578</v>
      </c>
      <c r="E72" s="9">
        <v>5</v>
      </c>
      <c r="F72" s="44">
        <v>50.594000000000001</v>
      </c>
      <c r="G72" s="9" t="s">
        <v>6617</v>
      </c>
      <c r="H72" s="9">
        <v>0</v>
      </c>
      <c r="I72" s="14" t="str">
        <f>+'PMG(D) segun remuneracion'!$K$1</f>
        <v>01-09-2026</v>
      </c>
      <c r="J72" s="14" t="str">
        <f>+'PMG(D) segun remuneracion'!$K$2</f>
        <v>30-09-2026</v>
      </c>
      <c r="K72" s="9">
        <f>+'PMG(D) segun remuneracion'!$K$3</f>
        <v>2</v>
      </c>
      <c r="L72" s="9">
        <f>+'PMG(D) segun remuneracion'!$K$4</f>
        <v>1</v>
      </c>
    </row>
    <row r="73" spans="1:12">
      <c r="A73" s="9">
        <v>15</v>
      </c>
      <c r="B73" s="9" t="s">
        <v>911</v>
      </c>
      <c r="C73" s="9">
        <v>220</v>
      </c>
      <c r="D73" s="9" t="s">
        <v>1579</v>
      </c>
      <c r="E73" s="9">
        <v>6</v>
      </c>
      <c r="F73" s="44">
        <v>61.845999999999997</v>
      </c>
      <c r="G73" s="9" t="s">
        <v>6617</v>
      </c>
      <c r="H73" s="9">
        <v>0</v>
      </c>
      <c r="I73" s="14" t="str">
        <f>+'PMG(D) segun remuneracion'!$K$1</f>
        <v>01-09-2026</v>
      </c>
      <c r="J73" s="14" t="str">
        <f>+'PMG(D) segun remuneracion'!$K$2</f>
        <v>30-09-2026</v>
      </c>
      <c r="K73" s="9">
        <f>+'PMG(D) segun remuneracion'!$K$3</f>
        <v>2</v>
      </c>
      <c r="L73" s="9">
        <f>+'PMG(D) segun remuneracion'!$K$4</f>
        <v>1</v>
      </c>
    </row>
    <row r="74" spans="1:12">
      <c r="A74" s="9">
        <v>15</v>
      </c>
      <c r="B74" s="9" t="s">
        <v>1090</v>
      </c>
      <c r="C74" s="9">
        <v>220</v>
      </c>
      <c r="D74" s="9" t="s">
        <v>1574</v>
      </c>
      <c r="E74" s="9">
        <v>1</v>
      </c>
      <c r="F74" s="44">
        <v>56.158000000000001</v>
      </c>
      <c r="G74" s="9" t="s">
        <v>6617</v>
      </c>
      <c r="H74" s="9">
        <v>0</v>
      </c>
      <c r="I74" s="14" t="str">
        <f>+'PMG(D) segun remuneracion'!$K$1</f>
        <v>01-09-2026</v>
      </c>
      <c r="J74" s="14" t="str">
        <f>+'PMG(D) segun remuneracion'!$K$2</f>
        <v>30-09-2026</v>
      </c>
      <c r="K74" s="9">
        <f>+'PMG(D) segun remuneracion'!$K$3</f>
        <v>2</v>
      </c>
      <c r="L74" s="9">
        <f>+'PMG(D) segun remuneracion'!$K$4</f>
        <v>1</v>
      </c>
    </row>
    <row r="75" spans="1:12">
      <c r="A75" s="9">
        <v>15</v>
      </c>
      <c r="B75" s="9" t="s">
        <v>1090</v>
      </c>
      <c r="C75" s="9">
        <v>220</v>
      </c>
      <c r="D75" s="9" t="s">
        <v>1575</v>
      </c>
      <c r="E75" s="9">
        <v>2</v>
      </c>
      <c r="F75" s="44">
        <v>56.052</v>
      </c>
      <c r="G75" s="9" t="s">
        <v>6617</v>
      </c>
      <c r="H75" s="9">
        <v>0</v>
      </c>
      <c r="I75" s="14" t="str">
        <f>+'PMG(D) segun remuneracion'!$K$1</f>
        <v>01-09-2026</v>
      </c>
      <c r="J75" s="14" t="str">
        <f>+'PMG(D) segun remuneracion'!$K$2</f>
        <v>30-09-2026</v>
      </c>
      <c r="K75" s="9">
        <f>+'PMG(D) segun remuneracion'!$K$3</f>
        <v>2</v>
      </c>
      <c r="L75" s="9">
        <f>+'PMG(D) segun remuneracion'!$K$4</f>
        <v>1</v>
      </c>
    </row>
    <row r="76" spans="1:12">
      <c r="A76" s="9">
        <v>15</v>
      </c>
      <c r="B76" s="9" t="s">
        <v>1090</v>
      </c>
      <c r="C76" s="9">
        <v>220</v>
      </c>
      <c r="D76" s="9" t="s">
        <v>1576</v>
      </c>
      <c r="E76" s="9">
        <v>3</v>
      </c>
      <c r="F76" s="44">
        <v>39.154000000000003</v>
      </c>
      <c r="G76" s="9" t="s">
        <v>6617</v>
      </c>
      <c r="H76" s="9">
        <v>0</v>
      </c>
      <c r="I76" s="14" t="str">
        <f>+'PMG(D) segun remuneracion'!$K$1</f>
        <v>01-09-2026</v>
      </c>
      <c r="J76" s="14" t="str">
        <f>+'PMG(D) segun remuneracion'!$K$2</f>
        <v>30-09-2026</v>
      </c>
      <c r="K76" s="9">
        <f>+'PMG(D) segun remuneracion'!$K$3</f>
        <v>2</v>
      </c>
      <c r="L76" s="9">
        <f>+'PMG(D) segun remuneracion'!$K$4</f>
        <v>1</v>
      </c>
    </row>
    <row r="77" spans="1:12">
      <c r="A77" s="9">
        <v>15</v>
      </c>
      <c r="B77" s="9" t="s">
        <v>1090</v>
      </c>
      <c r="C77" s="9">
        <v>220</v>
      </c>
      <c r="D77" s="9" t="s">
        <v>1577</v>
      </c>
      <c r="E77" s="9">
        <v>4</v>
      </c>
      <c r="F77" s="44">
        <v>38.667999999999999</v>
      </c>
      <c r="G77" s="9" t="s">
        <v>6617</v>
      </c>
      <c r="H77" s="9">
        <v>0</v>
      </c>
      <c r="I77" s="14" t="str">
        <f>+'PMG(D) segun remuneracion'!$K$1</f>
        <v>01-09-2026</v>
      </c>
      <c r="J77" s="14" t="str">
        <f>+'PMG(D) segun remuneracion'!$K$2</f>
        <v>30-09-2026</v>
      </c>
      <c r="K77" s="9">
        <f>+'PMG(D) segun remuneracion'!$K$3</f>
        <v>2</v>
      </c>
      <c r="L77" s="9">
        <f>+'PMG(D) segun remuneracion'!$K$4</f>
        <v>1</v>
      </c>
    </row>
    <row r="78" spans="1:12">
      <c r="A78" s="9">
        <v>15</v>
      </c>
      <c r="B78" s="9" t="s">
        <v>1090</v>
      </c>
      <c r="C78" s="9">
        <v>220</v>
      </c>
      <c r="D78" s="9" t="s">
        <v>1578</v>
      </c>
      <c r="E78" s="9">
        <v>5</v>
      </c>
      <c r="F78" s="44">
        <v>50.756</v>
      </c>
      <c r="G78" s="9" t="s">
        <v>6617</v>
      </c>
      <c r="H78" s="9">
        <v>0</v>
      </c>
      <c r="I78" s="14" t="str">
        <f>+'PMG(D) segun remuneracion'!$K$1</f>
        <v>01-09-2026</v>
      </c>
      <c r="J78" s="14" t="str">
        <f>+'PMG(D) segun remuneracion'!$K$2</f>
        <v>30-09-2026</v>
      </c>
      <c r="K78" s="9">
        <f>+'PMG(D) segun remuneracion'!$K$3</f>
        <v>2</v>
      </c>
      <c r="L78" s="9">
        <f>+'PMG(D) segun remuneracion'!$K$4</f>
        <v>1</v>
      </c>
    </row>
    <row r="79" spans="1:12">
      <c r="A79" s="9">
        <v>15</v>
      </c>
      <c r="B79" s="9" t="s">
        <v>1090</v>
      </c>
      <c r="C79" s="9">
        <v>220</v>
      </c>
      <c r="D79" s="9" t="s">
        <v>1579</v>
      </c>
      <c r="E79" s="9">
        <v>6</v>
      </c>
      <c r="F79" s="44">
        <v>62.389000000000003</v>
      </c>
      <c r="G79" s="9" t="s">
        <v>6617</v>
      </c>
      <c r="H79" s="9">
        <v>0</v>
      </c>
      <c r="I79" s="14" t="str">
        <f>+'PMG(D) segun remuneracion'!$K$1</f>
        <v>01-09-2026</v>
      </c>
      <c r="J79" s="14" t="str">
        <f>+'PMG(D) segun remuneracion'!$K$2</f>
        <v>30-09-2026</v>
      </c>
      <c r="K79" s="9">
        <f>+'PMG(D) segun remuneracion'!$K$3</f>
        <v>2</v>
      </c>
      <c r="L79" s="9">
        <f>+'PMG(D) segun remuneracion'!$K$4</f>
        <v>1</v>
      </c>
    </row>
    <row r="80" spans="1:12">
      <c r="A80" s="9">
        <v>15</v>
      </c>
      <c r="B80" s="9" t="s">
        <v>1151</v>
      </c>
      <c r="C80" s="9">
        <v>220</v>
      </c>
      <c r="D80" s="9" t="s">
        <v>1574</v>
      </c>
      <c r="E80" s="9">
        <v>1</v>
      </c>
      <c r="F80" s="44">
        <v>55.87</v>
      </c>
      <c r="G80" s="9" t="s">
        <v>6617</v>
      </c>
      <c r="H80" s="9">
        <v>0</v>
      </c>
      <c r="I80" s="14" t="str">
        <f>+'PMG(D) segun remuneracion'!$K$1</f>
        <v>01-09-2026</v>
      </c>
      <c r="J80" s="14" t="str">
        <f>+'PMG(D) segun remuneracion'!$K$2</f>
        <v>30-09-2026</v>
      </c>
      <c r="K80" s="9">
        <f>+'PMG(D) segun remuneracion'!$K$3</f>
        <v>2</v>
      </c>
      <c r="L80" s="9">
        <f>+'PMG(D) segun remuneracion'!$K$4</f>
        <v>1</v>
      </c>
    </row>
    <row r="81" spans="1:12">
      <c r="A81" s="9">
        <v>15</v>
      </c>
      <c r="B81" s="9" t="s">
        <v>1151</v>
      </c>
      <c r="C81" s="9">
        <v>220</v>
      </c>
      <c r="D81" s="9" t="s">
        <v>1575</v>
      </c>
      <c r="E81" s="9">
        <v>2</v>
      </c>
      <c r="F81" s="44">
        <v>55.997999999999998</v>
      </c>
      <c r="G81" s="9" t="s">
        <v>6617</v>
      </c>
      <c r="H81" s="9">
        <v>0</v>
      </c>
      <c r="I81" s="14" t="str">
        <f>+'PMG(D) segun remuneracion'!$K$1</f>
        <v>01-09-2026</v>
      </c>
      <c r="J81" s="14" t="str">
        <f>+'PMG(D) segun remuneracion'!$K$2</f>
        <v>30-09-2026</v>
      </c>
      <c r="K81" s="9">
        <f>+'PMG(D) segun remuneracion'!$K$3</f>
        <v>2</v>
      </c>
      <c r="L81" s="9">
        <f>+'PMG(D) segun remuneracion'!$K$4</f>
        <v>1</v>
      </c>
    </row>
    <row r="82" spans="1:12">
      <c r="A82" s="9">
        <v>15</v>
      </c>
      <c r="B82" s="9" t="s">
        <v>1151</v>
      </c>
      <c r="C82" s="9">
        <v>220</v>
      </c>
      <c r="D82" s="9" t="s">
        <v>1576</v>
      </c>
      <c r="E82" s="9">
        <v>3</v>
      </c>
      <c r="F82" s="44">
        <v>39.122999999999998</v>
      </c>
      <c r="G82" s="9" t="s">
        <v>6617</v>
      </c>
      <c r="H82" s="9">
        <v>0</v>
      </c>
      <c r="I82" s="14" t="str">
        <f>+'PMG(D) segun remuneracion'!$K$1</f>
        <v>01-09-2026</v>
      </c>
      <c r="J82" s="14" t="str">
        <f>+'PMG(D) segun remuneracion'!$K$2</f>
        <v>30-09-2026</v>
      </c>
      <c r="K82" s="9">
        <f>+'PMG(D) segun remuneracion'!$K$3</f>
        <v>2</v>
      </c>
      <c r="L82" s="9">
        <f>+'PMG(D) segun remuneracion'!$K$4</f>
        <v>1</v>
      </c>
    </row>
    <row r="83" spans="1:12">
      <c r="A83" s="9">
        <v>15</v>
      </c>
      <c r="B83" s="9" t="s">
        <v>1151</v>
      </c>
      <c r="C83" s="9">
        <v>220</v>
      </c>
      <c r="D83" s="9" t="s">
        <v>1577</v>
      </c>
      <c r="E83" s="9">
        <v>4</v>
      </c>
      <c r="F83" s="44">
        <v>38.651000000000003</v>
      </c>
      <c r="G83" s="9" t="s">
        <v>6617</v>
      </c>
      <c r="H83" s="9">
        <v>0</v>
      </c>
      <c r="I83" s="14" t="str">
        <f>+'PMG(D) segun remuneracion'!$K$1</f>
        <v>01-09-2026</v>
      </c>
      <c r="J83" s="14" t="str">
        <f>+'PMG(D) segun remuneracion'!$K$2</f>
        <v>30-09-2026</v>
      </c>
      <c r="K83" s="9">
        <f>+'PMG(D) segun remuneracion'!$K$3</f>
        <v>2</v>
      </c>
      <c r="L83" s="9">
        <f>+'PMG(D) segun remuneracion'!$K$4</f>
        <v>1</v>
      </c>
    </row>
    <row r="84" spans="1:12">
      <c r="A84" s="9">
        <v>15</v>
      </c>
      <c r="B84" s="9" t="s">
        <v>1151</v>
      </c>
      <c r="C84" s="9">
        <v>220</v>
      </c>
      <c r="D84" s="9" t="s">
        <v>1578</v>
      </c>
      <c r="E84" s="9">
        <v>5</v>
      </c>
      <c r="F84" s="44">
        <v>50.674999999999997</v>
      </c>
      <c r="G84" s="9" t="s">
        <v>6617</v>
      </c>
      <c r="H84" s="9">
        <v>0</v>
      </c>
      <c r="I84" s="14" t="str">
        <f>+'PMG(D) segun remuneracion'!$K$1</f>
        <v>01-09-2026</v>
      </c>
      <c r="J84" s="14" t="str">
        <f>+'PMG(D) segun remuneracion'!$K$2</f>
        <v>30-09-2026</v>
      </c>
      <c r="K84" s="9">
        <f>+'PMG(D) segun remuneracion'!$K$3</f>
        <v>2</v>
      </c>
      <c r="L84" s="9">
        <f>+'PMG(D) segun remuneracion'!$K$4</f>
        <v>1</v>
      </c>
    </row>
    <row r="85" spans="1:12">
      <c r="A85" s="9">
        <v>15</v>
      </c>
      <c r="B85" s="9" t="s">
        <v>1151</v>
      </c>
      <c r="C85" s="9">
        <v>220</v>
      </c>
      <c r="D85" s="9" t="s">
        <v>1579</v>
      </c>
      <c r="E85" s="9">
        <v>6</v>
      </c>
      <c r="F85" s="44">
        <v>61.944000000000003</v>
      </c>
      <c r="G85" s="9" t="s">
        <v>6617</v>
      </c>
      <c r="H85" s="9">
        <v>0</v>
      </c>
      <c r="I85" s="14" t="str">
        <f>+'PMG(D) segun remuneracion'!$K$1</f>
        <v>01-09-2026</v>
      </c>
      <c r="J85" s="14" t="str">
        <f>+'PMG(D) segun remuneracion'!$K$2</f>
        <v>30-09-2026</v>
      </c>
      <c r="K85" s="9">
        <f>+'PMG(D) segun remuneracion'!$K$3</f>
        <v>2</v>
      </c>
      <c r="L85" s="9">
        <f>+'PMG(D) segun remuneracion'!$K$4</f>
        <v>1</v>
      </c>
    </row>
    <row r="86" spans="1:12">
      <c r="A86" s="9">
        <v>15</v>
      </c>
      <c r="B86" s="9" t="s">
        <v>1197</v>
      </c>
      <c r="C86" s="9">
        <v>220</v>
      </c>
      <c r="D86" s="9" t="s">
        <v>1574</v>
      </c>
      <c r="E86" s="9">
        <v>1</v>
      </c>
      <c r="F86" s="44">
        <v>55.825000000000003</v>
      </c>
      <c r="G86" s="9" t="s">
        <v>6617</v>
      </c>
      <c r="H86" s="9">
        <v>0</v>
      </c>
      <c r="I86" s="14" t="str">
        <f>+'PMG(D) segun remuneracion'!$K$1</f>
        <v>01-09-2026</v>
      </c>
      <c r="J86" s="14" t="str">
        <f>+'PMG(D) segun remuneracion'!$K$2</f>
        <v>30-09-2026</v>
      </c>
      <c r="K86" s="9">
        <f>+'PMG(D) segun remuneracion'!$K$3</f>
        <v>2</v>
      </c>
      <c r="L86" s="9">
        <f>+'PMG(D) segun remuneracion'!$K$4</f>
        <v>1</v>
      </c>
    </row>
    <row r="87" spans="1:12">
      <c r="A87" s="9">
        <v>15</v>
      </c>
      <c r="B87" s="9" t="s">
        <v>1197</v>
      </c>
      <c r="C87" s="9">
        <v>220</v>
      </c>
      <c r="D87" s="9" t="s">
        <v>1575</v>
      </c>
      <c r="E87" s="9">
        <v>2</v>
      </c>
      <c r="F87" s="44">
        <v>56.061999999999998</v>
      </c>
      <c r="G87" s="9" t="s">
        <v>6617</v>
      </c>
      <c r="H87" s="9">
        <v>0</v>
      </c>
      <c r="I87" s="14" t="str">
        <f>+'PMG(D) segun remuneracion'!$K$1</f>
        <v>01-09-2026</v>
      </c>
      <c r="J87" s="14" t="str">
        <f>+'PMG(D) segun remuneracion'!$K$2</f>
        <v>30-09-2026</v>
      </c>
      <c r="K87" s="9">
        <f>+'PMG(D) segun remuneracion'!$K$3</f>
        <v>2</v>
      </c>
      <c r="L87" s="9">
        <f>+'PMG(D) segun remuneracion'!$K$4</f>
        <v>1</v>
      </c>
    </row>
    <row r="88" spans="1:12">
      <c r="A88" s="9">
        <v>15</v>
      </c>
      <c r="B88" s="9" t="s">
        <v>1197</v>
      </c>
      <c r="C88" s="9">
        <v>220</v>
      </c>
      <c r="D88" s="9" t="s">
        <v>1576</v>
      </c>
      <c r="E88" s="9">
        <v>3</v>
      </c>
      <c r="F88" s="44">
        <v>39.136000000000003</v>
      </c>
      <c r="G88" s="9" t="s">
        <v>6617</v>
      </c>
      <c r="H88" s="9">
        <v>0</v>
      </c>
      <c r="I88" s="14" t="str">
        <f>+'PMG(D) segun remuneracion'!$K$1</f>
        <v>01-09-2026</v>
      </c>
      <c r="J88" s="14" t="str">
        <f>+'PMG(D) segun remuneracion'!$K$2</f>
        <v>30-09-2026</v>
      </c>
      <c r="K88" s="9">
        <f>+'PMG(D) segun remuneracion'!$K$3</f>
        <v>2</v>
      </c>
      <c r="L88" s="9">
        <f>+'PMG(D) segun remuneracion'!$K$4</f>
        <v>1</v>
      </c>
    </row>
    <row r="89" spans="1:12">
      <c r="A89" s="9">
        <v>15</v>
      </c>
      <c r="B89" s="9" t="s">
        <v>1197</v>
      </c>
      <c r="C89" s="9">
        <v>220</v>
      </c>
      <c r="D89" s="9" t="s">
        <v>1577</v>
      </c>
      <c r="E89" s="9">
        <v>4</v>
      </c>
      <c r="F89" s="44">
        <v>38.625</v>
      </c>
      <c r="G89" s="9" t="s">
        <v>6617</v>
      </c>
      <c r="H89" s="9">
        <v>0</v>
      </c>
      <c r="I89" s="14" t="str">
        <f>+'PMG(D) segun remuneracion'!$K$1</f>
        <v>01-09-2026</v>
      </c>
      <c r="J89" s="14" t="str">
        <f>+'PMG(D) segun remuneracion'!$K$2</f>
        <v>30-09-2026</v>
      </c>
      <c r="K89" s="9">
        <f>+'PMG(D) segun remuneracion'!$K$3</f>
        <v>2</v>
      </c>
      <c r="L89" s="9">
        <f>+'PMG(D) segun remuneracion'!$K$4</f>
        <v>1</v>
      </c>
    </row>
    <row r="90" spans="1:12">
      <c r="A90" s="9">
        <v>15</v>
      </c>
      <c r="B90" s="9" t="s">
        <v>1197</v>
      </c>
      <c r="C90" s="9">
        <v>220</v>
      </c>
      <c r="D90" s="9" t="s">
        <v>1578</v>
      </c>
      <c r="E90" s="9">
        <v>5</v>
      </c>
      <c r="F90" s="44">
        <v>49.764000000000003</v>
      </c>
      <c r="G90" s="9" t="s">
        <v>6617</v>
      </c>
      <c r="H90" s="9">
        <v>0</v>
      </c>
      <c r="I90" s="14" t="str">
        <f>+'PMG(D) segun remuneracion'!$K$1</f>
        <v>01-09-2026</v>
      </c>
      <c r="J90" s="14" t="str">
        <f>+'PMG(D) segun remuneracion'!$K$2</f>
        <v>30-09-2026</v>
      </c>
      <c r="K90" s="9">
        <f>+'PMG(D) segun remuneracion'!$K$3</f>
        <v>2</v>
      </c>
      <c r="L90" s="9">
        <f>+'PMG(D) segun remuneracion'!$K$4</f>
        <v>1</v>
      </c>
    </row>
    <row r="91" spans="1:12">
      <c r="A91" s="9">
        <v>15</v>
      </c>
      <c r="B91" s="9" t="s">
        <v>1197</v>
      </c>
      <c r="C91" s="9">
        <v>220</v>
      </c>
      <c r="D91" s="9" t="s">
        <v>1579</v>
      </c>
      <c r="E91" s="9">
        <v>6</v>
      </c>
      <c r="F91" s="44">
        <v>61.481999999999999</v>
      </c>
      <c r="G91" s="9" t="s">
        <v>6617</v>
      </c>
      <c r="H91" s="9">
        <v>0</v>
      </c>
      <c r="I91" s="14" t="str">
        <f>+'PMG(D) segun remuneracion'!$K$1</f>
        <v>01-09-2026</v>
      </c>
      <c r="J91" s="14" t="str">
        <f>+'PMG(D) segun remuneracion'!$K$2</f>
        <v>30-09-2026</v>
      </c>
      <c r="K91" s="9">
        <f>+'PMG(D) segun remuneracion'!$K$3</f>
        <v>2</v>
      </c>
      <c r="L91" s="9">
        <f>+'PMG(D) segun remuneracion'!$K$4</f>
        <v>1</v>
      </c>
    </row>
    <row r="92" spans="1:12">
      <c r="A92" s="9">
        <v>15</v>
      </c>
      <c r="B92" s="9" t="s">
        <v>1454</v>
      </c>
      <c r="C92" s="9">
        <v>220</v>
      </c>
      <c r="D92" s="9" t="s">
        <v>1574</v>
      </c>
      <c r="E92" s="9">
        <v>1</v>
      </c>
      <c r="F92" s="44">
        <v>53.829000000000001</v>
      </c>
      <c r="G92" s="9" t="s">
        <v>6617</v>
      </c>
      <c r="H92" s="9">
        <v>0</v>
      </c>
      <c r="I92" s="14" t="str">
        <f>+'PMG(D) segun remuneracion'!$K$1</f>
        <v>01-09-2026</v>
      </c>
      <c r="J92" s="14" t="str">
        <f>+'PMG(D) segun remuneracion'!$K$2</f>
        <v>30-09-2026</v>
      </c>
      <c r="K92" s="9">
        <f>+'PMG(D) segun remuneracion'!$K$3</f>
        <v>2</v>
      </c>
      <c r="L92" s="9">
        <f>+'PMG(D) segun remuneracion'!$K$4</f>
        <v>1</v>
      </c>
    </row>
    <row r="93" spans="1:12">
      <c r="A93" s="9">
        <v>15</v>
      </c>
      <c r="B93" s="9" t="s">
        <v>1454</v>
      </c>
      <c r="C93" s="9">
        <v>220</v>
      </c>
      <c r="D93" s="9" t="s">
        <v>1575</v>
      </c>
      <c r="E93" s="9">
        <v>2</v>
      </c>
      <c r="F93" s="44">
        <v>53.953000000000003</v>
      </c>
      <c r="G93" s="9" t="s">
        <v>6617</v>
      </c>
      <c r="H93" s="9">
        <v>0</v>
      </c>
      <c r="I93" s="14" t="str">
        <f>+'PMG(D) segun remuneracion'!$K$1</f>
        <v>01-09-2026</v>
      </c>
      <c r="J93" s="14" t="str">
        <f>+'PMG(D) segun remuneracion'!$K$2</f>
        <v>30-09-2026</v>
      </c>
      <c r="K93" s="9">
        <f>+'PMG(D) segun remuneracion'!$K$3</f>
        <v>2</v>
      </c>
      <c r="L93" s="9">
        <f>+'PMG(D) segun remuneracion'!$K$4</f>
        <v>1</v>
      </c>
    </row>
    <row r="94" spans="1:12">
      <c r="A94" s="9">
        <v>15</v>
      </c>
      <c r="B94" s="9" t="s">
        <v>1454</v>
      </c>
      <c r="C94" s="9">
        <v>220</v>
      </c>
      <c r="D94" s="9" t="s">
        <v>1576</v>
      </c>
      <c r="E94" s="9">
        <v>3</v>
      </c>
      <c r="F94" s="44">
        <v>39.148000000000003</v>
      </c>
      <c r="G94" s="9" t="s">
        <v>6617</v>
      </c>
      <c r="H94" s="9">
        <v>0</v>
      </c>
      <c r="I94" s="14" t="str">
        <f>+'PMG(D) segun remuneracion'!$K$1</f>
        <v>01-09-2026</v>
      </c>
      <c r="J94" s="14" t="str">
        <f>+'PMG(D) segun remuneracion'!$K$2</f>
        <v>30-09-2026</v>
      </c>
      <c r="K94" s="9">
        <f>+'PMG(D) segun remuneracion'!$K$3</f>
        <v>2</v>
      </c>
      <c r="L94" s="9">
        <f>+'PMG(D) segun remuneracion'!$K$4</f>
        <v>1</v>
      </c>
    </row>
    <row r="95" spans="1:12">
      <c r="A95" s="9">
        <v>15</v>
      </c>
      <c r="B95" s="9" t="s">
        <v>1454</v>
      </c>
      <c r="C95" s="9">
        <v>220</v>
      </c>
      <c r="D95" s="9" t="s">
        <v>1577</v>
      </c>
      <c r="E95" s="9">
        <v>4</v>
      </c>
      <c r="F95" s="44">
        <v>38.685000000000002</v>
      </c>
      <c r="G95" s="9" t="s">
        <v>6617</v>
      </c>
      <c r="H95" s="9">
        <v>0</v>
      </c>
      <c r="I95" s="14" t="str">
        <f>+'PMG(D) segun remuneracion'!$K$1</f>
        <v>01-09-2026</v>
      </c>
      <c r="J95" s="14" t="str">
        <f>+'PMG(D) segun remuneracion'!$K$2</f>
        <v>30-09-2026</v>
      </c>
      <c r="K95" s="9">
        <f>+'PMG(D) segun remuneracion'!$K$3</f>
        <v>2</v>
      </c>
      <c r="L95" s="9">
        <f>+'PMG(D) segun remuneracion'!$K$4</f>
        <v>1</v>
      </c>
    </row>
    <row r="96" spans="1:12">
      <c r="A96" s="9">
        <v>15</v>
      </c>
      <c r="B96" s="9" t="s">
        <v>1454</v>
      </c>
      <c r="C96" s="9">
        <v>220</v>
      </c>
      <c r="D96" s="9" t="s">
        <v>1578</v>
      </c>
      <c r="E96" s="9">
        <v>5</v>
      </c>
      <c r="F96" s="44">
        <v>48.414000000000001</v>
      </c>
      <c r="G96" s="9" t="s">
        <v>6617</v>
      </c>
      <c r="H96" s="9">
        <v>0</v>
      </c>
      <c r="I96" s="14" t="str">
        <f>+'PMG(D) segun remuneracion'!$K$1</f>
        <v>01-09-2026</v>
      </c>
      <c r="J96" s="14" t="str">
        <f>+'PMG(D) segun remuneracion'!$K$2</f>
        <v>30-09-2026</v>
      </c>
      <c r="K96" s="9">
        <f>+'PMG(D) segun remuneracion'!$K$3</f>
        <v>2</v>
      </c>
      <c r="L96" s="9">
        <f>+'PMG(D) segun remuneracion'!$K$4</f>
        <v>1</v>
      </c>
    </row>
    <row r="97" spans="1:12">
      <c r="A97" s="9">
        <v>15</v>
      </c>
      <c r="B97" s="9" t="s">
        <v>1454</v>
      </c>
      <c r="C97" s="9">
        <v>220</v>
      </c>
      <c r="D97" s="9" t="s">
        <v>1579</v>
      </c>
      <c r="E97" s="9">
        <v>6</v>
      </c>
      <c r="F97" s="44">
        <v>58.081000000000003</v>
      </c>
      <c r="G97" s="9" t="s">
        <v>6617</v>
      </c>
      <c r="H97" s="9">
        <v>0</v>
      </c>
      <c r="I97" s="14" t="str">
        <f>+'PMG(D) segun remuneracion'!$K$1</f>
        <v>01-09-2026</v>
      </c>
      <c r="J97" s="14" t="str">
        <f>+'PMG(D) segun remuneracion'!$K$2</f>
        <v>30-09-2026</v>
      </c>
      <c r="K97" s="9">
        <f>+'PMG(D) segun remuneracion'!$K$3</f>
        <v>2</v>
      </c>
      <c r="L97" s="9">
        <f>+'PMG(D) segun remuneracion'!$K$4</f>
        <v>1</v>
      </c>
    </row>
    <row r="98" spans="1:12">
      <c r="A98" s="9">
        <v>15</v>
      </c>
      <c r="B98" s="9" t="s">
        <v>195</v>
      </c>
      <c r="C98" s="9">
        <v>220</v>
      </c>
      <c r="D98" s="9" t="s">
        <v>1574</v>
      </c>
      <c r="E98" s="9">
        <v>1</v>
      </c>
      <c r="F98" s="44">
        <v>55.843000000000004</v>
      </c>
      <c r="G98" s="9" t="s">
        <v>6617</v>
      </c>
      <c r="H98" s="9">
        <v>0</v>
      </c>
      <c r="I98" s="14" t="str">
        <f>+'PMG(D) segun remuneracion'!$K$1</f>
        <v>01-09-2026</v>
      </c>
      <c r="J98" s="14" t="str">
        <f>+'PMG(D) segun remuneracion'!$K$2</f>
        <v>30-09-2026</v>
      </c>
      <c r="K98" s="9">
        <f>+'PMG(D) segun remuneracion'!$K$3</f>
        <v>2</v>
      </c>
      <c r="L98" s="9">
        <f>+'PMG(D) segun remuneracion'!$K$4</f>
        <v>1</v>
      </c>
    </row>
    <row r="99" spans="1:12">
      <c r="A99" s="9">
        <v>15</v>
      </c>
      <c r="B99" s="9" t="s">
        <v>195</v>
      </c>
      <c r="C99" s="9">
        <v>220</v>
      </c>
      <c r="D99" s="9" t="s">
        <v>1575</v>
      </c>
      <c r="E99" s="9">
        <v>2</v>
      </c>
      <c r="F99" s="44">
        <v>55.694000000000003</v>
      </c>
      <c r="G99" s="9" t="s">
        <v>6617</v>
      </c>
      <c r="H99" s="9">
        <v>0</v>
      </c>
      <c r="I99" s="14" t="str">
        <f>+'PMG(D) segun remuneracion'!$K$1</f>
        <v>01-09-2026</v>
      </c>
      <c r="J99" s="14" t="str">
        <f>+'PMG(D) segun remuneracion'!$K$2</f>
        <v>30-09-2026</v>
      </c>
      <c r="K99" s="9">
        <f>+'PMG(D) segun remuneracion'!$K$3</f>
        <v>2</v>
      </c>
      <c r="L99" s="9">
        <f>+'PMG(D) segun remuneracion'!$K$4</f>
        <v>1</v>
      </c>
    </row>
    <row r="100" spans="1:12">
      <c r="A100" s="9">
        <v>15</v>
      </c>
      <c r="B100" s="9" t="s">
        <v>195</v>
      </c>
      <c r="C100" s="9">
        <v>220</v>
      </c>
      <c r="D100" s="9" t="s">
        <v>1576</v>
      </c>
      <c r="E100" s="9">
        <v>3</v>
      </c>
      <c r="F100" s="44">
        <v>38.871000000000002</v>
      </c>
      <c r="G100" s="9" t="s">
        <v>6617</v>
      </c>
      <c r="H100" s="9">
        <v>0</v>
      </c>
      <c r="I100" s="14" t="str">
        <f>+'PMG(D) segun remuneracion'!$K$1</f>
        <v>01-09-2026</v>
      </c>
      <c r="J100" s="14" t="str">
        <f>+'PMG(D) segun remuneracion'!$K$2</f>
        <v>30-09-2026</v>
      </c>
      <c r="K100" s="9">
        <f>+'PMG(D) segun remuneracion'!$K$3</f>
        <v>2</v>
      </c>
      <c r="L100" s="9">
        <f>+'PMG(D) segun remuneracion'!$K$4</f>
        <v>1</v>
      </c>
    </row>
    <row r="101" spans="1:12">
      <c r="A101" s="9">
        <v>15</v>
      </c>
      <c r="B101" s="9" t="s">
        <v>195</v>
      </c>
      <c r="C101" s="9">
        <v>220</v>
      </c>
      <c r="D101" s="9" t="s">
        <v>1577</v>
      </c>
      <c r="E101" s="9">
        <v>4</v>
      </c>
      <c r="F101" s="44">
        <v>38.637999999999998</v>
      </c>
      <c r="G101" s="9" t="s">
        <v>6617</v>
      </c>
      <c r="H101" s="9">
        <v>0</v>
      </c>
      <c r="I101" s="14" t="str">
        <f>+'PMG(D) segun remuneracion'!$K$1</f>
        <v>01-09-2026</v>
      </c>
      <c r="J101" s="14" t="str">
        <f>+'PMG(D) segun remuneracion'!$K$2</f>
        <v>30-09-2026</v>
      </c>
      <c r="K101" s="9">
        <f>+'PMG(D) segun remuneracion'!$K$3</f>
        <v>2</v>
      </c>
      <c r="L101" s="9">
        <f>+'PMG(D) segun remuneracion'!$K$4</f>
        <v>1</v>
      </c>
    </row>
    <row r="102" spans="1:12">
      <c r="A102" s="9">
        <v>15</v>
      </c>
      <c r="B102" s="9" t="s">
        <v>195</v>
      </c>
      <c r="C102" s="9">
        <v>220</v>
      </c>
      <c r="D102" s="9" t="s">
        <v>1578</v>
      </c>
      <c r="E102" s="9">
        <v>5</v>
      </c>
      <c r="F102" s="44">
        <v>49.030999999999999</v>
      </c>
      <c r="G102" s="9" t="s">
        <v>6617</v>
      </c>
      <c r="H102" s="9">
        <v>0</v>
      </c>
      <c r="I102" s="14" t="str">
        <f>+'PMG(D) segun remuneracion'!$K$1</f>
        <v>01-09-2026</v>
      </c>
      <c r="J102" s="14" t="str">
        <f>+'PMG(D) segun remuneracion'!$K$2</f>
        <v>30-09-2026</v>
      </c>
      <c r="K102" s="9">
        <f>+'PMG(D) segun remuneracion'!$K$3</f>
        <v>2</v>
      </c>
      <c r="L102" s="9">
        <f>+'PMG(D) segun remuneracion'!$K$4</f>
        <v>1</v>
      </c>
    </row>
    <row r="103" spans="1:12">
      <c r="A103" s="9">
        <v>15</v>
      </c>
      <c r="B103" s="9" t="s">
        <v>195</v>
      </c>
      <c r="C103" s="9">
        <v>220</v>
      </c>
      <c r="D103" s="9" t="s">
        <v>1579</v>
      </c>
      <c r="E103" s="9">
        <v>6</v>
      </c>
      <c r="F103" s="44">
        <v>61.168999999999997</v>
      </c>
      <c r="G103" s="9" t="s">
        <v>6617</v>
      </c>
      <c r="H103" s="9">
        <v>0</v>
      </c>
      <c r="I103" s="14" t="str">
        <f>+'PMG(D) segun remuneracion'!$K$1</f>
        <v>01-09-2026</v>
      </c>
      <c r="J103" s="14" t="str">
        <f>+'PMG(D) segun remuneracion'!$K$2</f>
        <v>30-09-2026</v>
      </c>
      <c r="K103" s="9">
        <f>+'PMG(D) segun remuneracion'!$K$3</f>
        <v>2</v>
      </c>
      <c r="L103" s="9">
        <f>+'PMG(D) segun remuneracion'!$K$4</f>
        <v>1</v>
      </c>
    </row>
    <row r="104" spans="1:12">
      <c r="A104" s="9">
        <v>15</v>
      </c>
      <c r="B104" s="9" t="s">
        <v>606</v>
      </c>
      <c r="C104" s="9">
        <v>220</v>
      </c>
      <c r="D104" s="9" t="s">
        <v>1574</v>
      </c>
      <c r="E104" s="9">
        <v>1</v>
      </c>
      <c r="F104" s="45">
        <v>56.076999999999998</v>
      </c>
      <c r="G104" s="9" t="s">
        <v>6617</v>
      </c>
      <c r="H104" s="9">
        <v>0</v>
      </c>
      <c r="I104" s="14" t="str">
        <f>+'PMG(D) segun remuneracion'!$K$1</f>
        <v>01-09-2026</v>
      </c>
      <c r="J104" s="14" t="str">
        <f>+'PMG(D) segun remuneracion'!$K$2</f>
        <v>30-09-2026</v>
      </c>
      <c r="K104" s="9">
        <f>+'PMG(D) segun remuneracion'!$K$3</f>
        <v>2</v>
      </c>
      <c r="L104" s="9">
        <f>+'PMG(D) segun remuneracion'!$K$4</f>
        <v>1</v>
      </c>
    </row>
    <row r="105" spans="1:12">
      <c r="A105" s="9">
        <v>15</v>
      </c>
      <c r="B105" s="9" t="s">
        <v>606</v>
      </c>
      <c r="C105" s="9">
        <v>220</v>
      </c>
      <c r="D105" s="9" t="s">
        <v>1575</v>
      </c>
      <c r="E105" s="9">
        <v>2</v>
      </c>
      <c r="F105" s="45">
        <v>56.247</v>
      </c>
      <c r="G105" s="9" t="s">
        <v>6617</v>
      </c>
      <c r="H105" s="9">
        <v>0</v>
      </c>
      <c r="I105" s="14" t="str">
        <f>+'PMG(D) segun remuneracion'!$K$1</f>
        <v>01-09-2026</v>
      </c>
      <c r="J105" s="14" t="str">
        <f>+'PMG(D) segun remuneracion'!$K$2</f>
        <v>30-09-2026</v>
      </c>
      <c r="K105" s="9">
        <f>+'PMG(D) segun remuneracion'!$K$3</f>
        <v>2</v>
      </c>
      <c r="L105" s="9">
        <f>+'PMG(D) segun remuneracion'!$K$4</f>
        <v>1</v>
      </c>
    </row>
    <row r="106" spans="1:12">
      <c r="A106" s="9">
        <v>15</v>
      </c>
      <c r="B106" s="9" t="s">
        <v>606</v>
      </c>
      <c r="C106" s="9">
        <v>220</v>
      </c>
      <c r="D106" s="9" t="s">
        <v>1576</v>
      </c>
      <c r="E106" s="9">
        <v>3</v>
      </c>
      <c r="F106" s="45">
        <v>39.034999999999997</v>
      </c>
      <c r="G106" s="9" t="s">
        <v>6617</v>
      </c>
      <c r="H106" s="9">
        <v>0</v>
      </c>
      <c r="I106" s="14" t="str">
        <f>+'PMG(D) segun remuneracion'!$K$1</f>
        <v>01-09-2026</v>
      </c>
      <c r="J106" s="14" t="str">
        <f>+'PMG(D) segun remuneracion'!$K$2</f>
        <v>30-09-2026</v>
      </c>
      <c r="K106" s="9">
        <f>+'PMG(D) segun remuneracion'!$K$3</f>
        <v>2</v>
      </c>
      <c r="L106" s="9">
        <f>+'PMG(D) segun remuneracion'!$K$4</f>
        <v>1</v>
      </c>
    </row>
    <row r="107" spans="1:12">
      <c r="A107" s="9">
        <v>15</v>
      </c>
      <c r="B107" s="9" t="s">
        <v>606</v>
      </c>
      <c r="C107" s="9">
        <v>220</v>
      </c>
      <c r="D107" s="9" t="s">
        <v>1577</v>
      </c>
      <c r="E107" s="9">
        <v>4</v>
      </c>
      <c r="F107" s="45">
        <v>38.645000000000003</v>
      </c>
      <c r="G107" s="9" t="s">
        <v>6617</v>
      </c>
      <c r="H107" s="9">
        <v>0</v>
      </c>
      <c r="I107" s="14" t="str">
        <f>+'PMG(D) segun remuneracion'!$K$1</f>
        <v>01-09-2026</v>
      </c>
      <c r="J107" s="14" t="str">
        <f>+'PMG(D) segun remuneracion'!$K$2</f>
        <v>30-09-2026</v>
      </c>
      <c r="K107" s="9">
        <f>+'PMG(D) segun remuneracion'!$K$3</f>
        <v>2</v>
      </c>
      <c r="L107" s="9">
        <f>+'PMG(D) segun remuneracion'!$K$4</f>
        <v>1</v>
      </c>
    </row>
    <row r="108" spans="1:12">
      <c r="A108" s="9">
        <v>15</v>
      </c>
      <c r="B108" s="9" t="s">
        <v>606</v>
      </c>
      <c r="C108" s="9">
        <v>220</v>
      </c>
      <c r="D108" s="9" t="s">
        <v>1578</v>
      </c>
      <c r="E108" s="9">
        <v>5</v>
      </c>
      <c r="F108" s="45">
        <v>51.24</v>
      </c>
      <c r="G108" s="9" t="s">
        <v>6617</v>
      </c>
      <c r="H108" s="9">
        <v>0</v>
      </c>
      <c r="I108" s="14" t="str">
        <f>+'PMG(D) segun remuneracion'!$K$1</f>
        <v>01-09-2026</v>
      </c>
      <c r="J108" s="14" t="str">
        <f>+'PMG(D) segun remuneracion'!$K$2</f>
        <v>30-09-2026</v>
      </c>
      <c r="K108" s="9">
        <f>+'PMG(D) segun remuneracion'!$K$3</f>
        <v>2</v>
      </c>
      <c r="L108" s="9">
        <f>+'PMG(D) segun remuneracion'!$K$4</f>
        <v>1</v>
      </c>
    </row>
    <row r="109" spans="1:12">
      <c r="A109" s="9">
        <v>15</v>
      </c>
      <c r="B109" s="9" t="s">
        <v>606</v>
      </c>
      <c r="C109" s="9">
        <v>220</v>
      </c>
      <c r="D109" s="9" t="s">
        <v>1579</v>
      </c>
      <c r="E109" s="9">
        <v>6</v>
      </c>
      <c r="F109" s="45">
        <v>62.18</v>
      </c>
      <c r="G109" s="9" t="s">
        <v>6617</v>
      </c>
      <c r="H109" s="9">
        <v>0</v>
      </c>
      <c r="I109" s="14" t="str">
        <f>+'PMG(D) segun remuneracion'!$K$1</f>
        <v>01-09-2026</v>
      </c>
      <c r="J109" s="14" t="str">
        <f>+'PMG(D) segun remuneracion'!$K$2</f>
        <v>30-09-2026</v>
      </c>
      <c r="K109" s="9">
        <f>+'PMG(D) segun remuneracion'!$K$3</f>
        <v>2</v>
      </c>
      <c r="L109" s="9">
        <f>+'PMG(D) segun remuneracion'!$K$4</f>
        <v>1</v>
      </c>
    </row>
    <row r="110" spans="1:12">
      <c r="A110" s="9">
        <v>15</v>
      </c>
      <c r="B110" s="9" t="s">
        <v>795</v>
      </c>
      <c r="C110" s="9">
        <v>220</v>
      </c>
      <c r="D110" s="9" t="s">
        <v>1574</v>
      </c>
      <c r="E110" s="9">
        <v>1</v>
      </c>
      <c r="F110" s="45">
        <v>55.704999999999998</v>
      </c>
      <c r="G110" s="9" t="s">
        <v>6617</v>
      </c>
      <c r="H110" s="9">
        <v>0</v>
      </c>
      <c r="I110" s="14" t="str">
        <f>+'PMG(D) segun remuneracion'!$K$1</f>
        <v>01-09-2026</v>
      </c>
      <c r="J110" s="14" t="str">
        <f>+'PMG(D) segun remuneracion'!$K$2</f>
        <v>30-09-2026</v>
      </c>
      <c r="K110" s="9">
        <f>+'PMG(D) segun remuneracion'!$K$3</f>
        <v>2</v>
      </c>
      <c r="L110" s="9">
        <f>+'PMG(D) segun remuneracion'!$K$4</f>
        <v>1</v>
      </c>
    </row>
    <row r="111" spans="1:12">
      <c r="A111" s="9">
        <v>15</v>
      </c>
      <c r="B111" s="9" t="s">
        <v>795</v>
      </c>
      <c r="C111" s="9">
        <v>220</v>
      </c>
      <c r="D111" s="9" t="s">
        <v>1575</v>
      </c>
      <c r="E111" s="9">
        <v>2</v>
      </c>
      <c r="F111" s="45">
        <v>55.51</v>
      </c>
      <c r="G111" s="9" t="s">
        <v>6617</v>
      </c>
      <c r="H111" s="9">
        <v>0</v>
      </c>
      <c r="I111" s="14" t="str">
        <f>+'PMG(D) segun remuneracion'!$K$1</f>
        <v>01-09-2026</v>
      </c>
      <c r="J111" s="14" t="str">
        <f>+'PMG(D) segun remuneracion'!$K$2</f>
        <v>30-09-2026</v>
      </c>
      <c r="K111" s="9">
        <f>+'PMG(D) segun remuneracion'!$K$3</f>
        <v>2</v>
      </c>
      <c r="L111" s="9">
        <f>+'PMG(D) segun remuneracion'!$K$4</f>
        <v>1</v>
      </c>
    </row>
    <row r="112" spans="1:12">
      <c r="A112" s="9">
        <v>15</v>
      </c>
      <c r="B112" s="9" t="s">
        <v>795</v>
      </c>
      <c r="C112" s="9">
        <v>220</v>
      </c>
      <c r="D112" s="9" t="s">
        <v>1576</v>
      </c>
      <c r="E112" s="9">
        <v>3</v>
      </c>
      <c r="F112" s="45">
        <v>38.847000000000001</v>
      </c>
      <c r="G112" s="9" t="s">
        <v>6617</v>
      </c>
      <c r="H112" s="9">
        <v>0</v>
      </c>
      <c r="I112" s="14" t="str">
        <f>+'PMG(D) segun remuneracion'!$K$1</f>
        <v>01-09-2026</v>
      </c>
      <c r="J112" s="14" t="str">
        <f>+'PMG(D) segun remuneracion'!$K$2</f>
        <v>30-09-2026</v>
      </c>
      <c r="K112" s="9">
        <f>+'PMG(D) segun remuneracion'!$K$3</f>
        <v>2</v>
      </c>
      <c r="L112" s="9">
        <f>+'PMG(D) segun remuneracion'!$K$4</f>
        <v>1</v>
      </c>
    </row>
    <row r="113" spans="1:12">
      <c r="A113" s="9">
        <v>15</v>
      </c>
      <c r="B113" s="9" t="s">
        <v>795</v>
      </c>
      <c r="C113" s="9">
        <v>220</v>
      </c>
      <c r="D113" s="9" t="s">
        <v>1577</v>
      </c>
      <c r="E113" s="9">
        <v>4</v>
      </c>
      <c r="F113" s="45">
        <v>38.637999999999998</v>
      </c>
      <c r="G113" s="9" t="s">
        <v>6617</v>
      </c>
      <c r="H113" s="9">
        <v>0</v>
      </c>
      <c r="I113" s="14" t="str">
        <f>+'PMG(D) segun remuneracion'!$K$1</f>
        <v>01-09-2026</v>
      </c>
      <c r="J113" s="14" t="str">
        <f>+'PMG(D) segun remuneracion'!$K$2</f>
        <v>30-09-2026</v>
      </c>
      <c r="K113" s="9">
        <f>+'PMG(D) segun remuneracion'!$K$3</f>
        <v>2</v>
      </c>
      <c r="L113" s="9">
        <f>+'PMG(D) segun remuneracion'!$K$4</f>
        <v>1</v>
      </c>
    </row>
    <row r="114" spans="1:12">
      <c r="A114" s="9">
        <v>15</v>
      </c>
      <c r="B114" s="9" t="s">
        <v>795</v>
      </c>
      <c r="C114" s="9">
        <v>220</v>
      </c>
      <c r="D114" s="9" t="s">
        <v>1578</v>
      </c>
      <c r="E114" s="9">
        <v>5</v>
      </c>
      <c r="F114" s="45">
        <v>48.972000000000001</v>
      </c>
      <c r="G114" s="9" t="s">
        <v>6617</v>
      </c>
      <c r="H114" s="9">
        <v>0</v>
      </c>
      <c r="I114" s="14" t="str">
        <f>+'PMG(D) segun remuneracion'!$K$1</f>
        <v>01-09-2026</v>
      </c>
      <c r="J114" s="14" t="str">
        <f>+'PMG(D) segun remuneracion'!$K$2</f>
        <v>30-09-2026</v>
      </c>
      <c r="K114" s="9">
        <f>+'PMG(D) segun remuneracion'!$K$3</f>
        <v>2</v>
      </c>
      <c r="L114" s="9">
        <f>+'PMG(D) segun remuneracion'!$K$4</f>
        <v>1</v>
      </c>
    </row>
    <row r="115" spans="1:12">
      <c r="A115" s="9">
        <v>15</v>
      </c>
      <c r="B115" s="9" t="s">
        <v>795</v>
      </c>
      <c r="C115" s="9">
        <v>220</v>
      </c>
      <c r="D115" s="9" t="s">
        <v>1579</v>
      </c>
      <c r="E115" s="9">
        <v>6</v>
      </c>
      <c r="F115" s="45">
        <v>60.866999999999997</v>
      </c>
      <c r="G115" s="9" t="s">
        <v>6617</v>
      </c>
      <c r="H115" s="9">
        <v>0</v>
      </c>
      <c r="I115" s="14" t="str">
        <f>+'PMG(D) segun remuneracion'!$K$1</f>
        <v>01-09-2026</v>
      </c>
      <c r="J115" s="14" t="str">
        <f>+'PMG(D) segun remuneracion'!$K$2</f>
        <v>30-09-2026</v>
      </c>
      <c r="K115" s="9">
        <f>+'PMG(D) segun remuneracion'!$K$3</f>
        <v>2</v>
      </c>
      <c r="L115" s="9">
        <f>+'PMG(D) segun remuneracion'!$K$4</f>
        <v>1</v>
      </c>
    </row>
    <row r="116" spans="1:12">
      <c r="A116" s="9">
        <v>15</v>
      </c>
      <c r="B116" s="9" t="s">
        <v>948</v>
      </c>
      <c r="C116" s="9">
        <v>220</v>
      </c>
      <c r="D116" s="9" t="s">
        <v>1574</v>
      </c>
      <c r="E116" s="9">
        <v>1</v>
      </c>
      <c r="F116" s="45">
        <v>55.716000000000001</v>
      </c>
      <c r="G116" s="9" t="s">
        <v>6617</v>
      </c>
      <c r="H116" s="9">
        <v>0</v>
      </c>
      <c r="I116" s="14" t="str">
        <f>+'PMG(D) segun remuneracion'!$K$1</f>
        <v>01-09-2026</v>
      </c>
      <c r="J116" s="14" t="str">
        <f>+'PMG(D) segun remuneracion'!$K$2</f>
        <v>30-09-2026</v>
      </c>
      <c r="K116" s="9">
        <f>+'PMG(D) segun remuneracion'!$K$3</f>
        <v>2</v>
      </c>
      <c r="L116" s="9">
        <f>+'PMG(D) segun remuneracion'!$K$4</f>
        <v>1</v>
      </c>
    </row>
    <row r="117" spans="1:12">
      <c r="A117" s="9">
        <v>15</v>
      </c>
      <c r="B117" s="9" t="s">
        <v>948</v>
      </c>
      <c r="C117" s="9">
        <v>220</v>
      </c>
      <c r="D117" s="9" t="s">
        <v>1575</v>
      </c>
      <c r="E117" s="9">
        <v>2</v>
      </c>
      <c r="F117" s="45">
        <v>55.588999999999999</v>
      </c>
      <c r="G117" s="9" t="s">
        <v>6617</v>
      </c>
      <c r="H117" s="9">
        <v>0</v>
      </c>
      <c r="I117" s="14" t="str">
        <f>+'PMG(D) segun remuneracion'!$K$1</f>
        <v>01-09-2026</v>
      </c>
      <c r="J117" s="14" t="str">
        <f>+'PMG(D) segun remuneracion'!$K$2</f>
        <v>30-09-2026</v>
      </c>
      <c r="K117" s="9">
        <f>+'PMG(D) segun remuneracion'!$K$3</f>
        <v>2</v>
      </c>
      <c r="L117" s="9">
        <f>+'PMG(D) segun remuneracion'!$K$4</f>
        <v>1</v>
      </c>
    </row>
    <row r="118" spans="1:12">
      <c r="A118" s="9">
        <v>15</v>
      </c>
      <c r="B118" s="9" t="s">
        <v>948</v>
      </c>
      <c r="C118" s="9">
        <v>220</v>
      </c>
      <c r="D118" s="9" t="s">
        <v>1576</v>
      </c>
      <c r="E118" s="9">
        <v>3</v>
      </c>
      <c r="F118" s="45">
        <v>39</v>
      </c>
      <c r="G118" s="9" t="s">
        <v>6617</v>
      </c>
      <c r="H118" s="9">
        <v>0</v>
      </c>
      <c r="I118" s="14" t="str">
        <f>+'PMG(D) segun remuneracion'!$K$1</f>
        <v>01-09-2026</v>
      </c>
      <c r="J118" s="14" t="str">
        <f>+'PMG(D) segun remuneracion'!$K$2</f>
        <v>30-09-2026</v>
      </c>
      <c r="K118" s="9">
        <f>+'PMG(D) segun remuneracion'!$K$3</f>
        <v>2</v>
      </c>
      <c r="L118" s="9">
        <f>+'PMG(D) segun remuneracion'!$K$4</f>
        <v>1</v>
      </c>
    </row>
    <row r="119" spans="1:12">
      <c r="A119" s="9">
        <v>15</v>
      </c>
      <c r="B119" s="9" t="s">
        <v>948</v>
      </c>
      <c r="C119" s="9">
        <v>220</v>
      </c>
      <c r="D119" s="9" t="s">
        <v>1577</v>
      </c>
      <c r="E119" s="9">
        <v>4</v>
      </c>
      <c r="F119" s="45">
        <v>38.643000000000001</v>
      </c>
      <c r="G119" s="9" t="s">
        <v>6617</v>
      </c>
      <c r="H119" s="9">
        <v>0</v>
      </c>
      <c r="I119" s="14" t="str">
        <f>+'PMG(D) segun remuneracion'!$K$1</f>
        <v>01-09-2026</v>
      </c>
      <c r="J119" s="14" t="str">
        <f>+'PMG(D) segun remuneracion'!$K$2</f>
        <v>30-09-2026</v>
      </c>
      <c r="K119" s="9">
        <f>+'PMG(D) segun remuneracion'!$K$3</f>
        <v>2</v>
      </c>
      <c r="L119" s="9">
        <f>+'PMG(D) segun remuneracion'!$K$4</f>
        <v>1</v>
      </c>
    </row>
    <row r="120" spans="1:12">
      <c r="A120" s="9">
        <v>15</v>
      </c>
      <c r="B120" s="9" t="s">
        <v>948</v>
      </c>
      <c r="C120" s="9">
        <v>220</v>
      </c>
      <c r="D120" s="9" t="s">
        <v>1578</v>
      </c>
      <c r="E120" s="9">
        <v>5</v>
      </c>
      <c r="F120" s="45">
        <v>49.264000000000003</v>
      </c>
      <c r="G120" s="9" t="s">
        <v>6617</v>
      </c>
      <c r="H120" s="9">
        <v>0</v>
      </c>
      <c r="I120" s="14" t="str">
        <f>+'PMG(D) segun remuneracion'!$K$1</f>
        <v>01-09-2026</v>
      </c>
      <c r="J120" s="14" t="str">
        <f>+'PMG(D) segun remuneracion'!$K$2</f>
        <v>30-09-2026</v>
      </c>
      <c r="K120" s="9">
        <f>+'PMG(D) segun remuneracion'!$K$3</f>
        <v>2</v>
      </c>
      <c r="L120" s="9">
        <f>+'PMG(D) segun remuneracion'!$K$4</f>
        <v>1</v>
      </c>
    </row>
    <row r="121" spans="1:12">
      <c r="A121" s="9">
        <v>15</v>
      </c>
      <c r="B121" s="9" t="s">
        <v>948</v>
      </c>
      <c r="C121" s="9">
        <v>220</v>
      </c>
      <c r="D121" s="9" t="s">
        <v>1579</v>
      </c>
      <c r="E121" s="9">
        <v>6</v>
      </c>
      <c r="F121" s="45">
        <v>61.28</v>
      </c>
      <c r="G121" s="9" t="s">
        <v>6617</v>
      </c>
      <c r="H121" s="9">
        <v>0</v>
      </c>
      <c r="I121" s="14" t="str">
        <f>+'PMG(D) segun remuneracion'!$K$1</f>
        <v>01-09-2026</v>
      </c>
      <c r="J121" s="14" t="str">
        <f>+'PMG(D) segun remuneracion'!$K$2</f>
        <v>30-09-2026</v>
      </c>
      <c r="K121" s="9">
        <f>+'PMG(D) segun remuneracion'!$K$3</f>
        <v>2</v>
      </c>
      <c r="L121" s="9">
        <f>+'PMG(D) segun remuneracion'!$K$4</f>
        <v>1</v>
      </c>
    </row>
    <row r="122" spans="1:12">
      <c r="A122" s="9">
        <v>15</v>
      </c>
      <c r="B122" s="9" t="s">
        <v>1187</v>
      </c>
      <c r="C122" s="9">
        <v>220</v>
      </c>
      <c r="D122" s="9" t="s">
        <v>1574</v>
      </c>
      <c r="E122" s="9">
        <v>1</v>
      </c>
      <c r="F122" s="45">
        <v>45.207000000000001</v>
      </c>
      <c r="G122" s="9" t="s">
        <v>6617</v>
      </c>
      <c r="H122" s="9">
        <v>0</v>
      </c>
      <c r="I122" s="14" t="str">
        <f>+'PMG(D) segun remuneracion'!$K$1</f>
        <v>01-09-2026</v>
      </c>
      <c r="J122" s="14" t="str">
        <f>+'PMG(D) segun remuneracion'!$K$2</f>
        <v>30-09-2026</v>
      </c>
      <c r="K122" s="9">
        <f>+'PMG(D) segun remuneracion'!$K$3</f>
        <v>2</v>
      </c>
      <c r="L122" s="9">
        <f>+'PMG(D) segun remuneracion'!$K$4</f>
        <v>1</v>
      </c>
    </row>
    <row r="123" spans="1:12">
      <c r="A123" s="9">
        <v>15</v>
      </c>
      <c r="B123" s="9" t="s">
        <v>1187</v>
      </c>
      <c r="C123" s="9">
        <v>220</v>
      </c>
      <c r="D123" s="9" t="s">
        <v>1575</v>
      </c>
      <c r="E123" s="9">
        <v>2</v>
      </c>
      <c r="F123" s="45">
        <v>45.886000000000003</v>
      </c>
      <c r="G123" s="9" t="s">
        <v>6617</v>
      </c>
      <c r="H123" s="9">
        <v>0</v>
      </c>
      <c r="I123" s="14" t="str">
        <f>+'PMG(D) segun remuneracion'!$K$1</f>
        <v>01-09-2026</v>
      </c>
      <c r="J123" s="14" t="str">
        <f>+'PMG(D) segun remuneracion'!$K$2</f>
        <v>30-09-2026</v>
      </c>
      <c r="K123" s="9">
        <f>+'PMG(D) segun remuneracion'!$K$3</f>
        <v>2</v>
      </c>
      <c r="L123" s="9">
        <f>+'PMG(D) segun remuneracion'!$K$4</f>
        <v>1</v>
      </c>
    </row>
    <row r="124" spans="1:12">
      <c r="A124" s="9">
        <v>15</v>
      </c>
      <c r="B124" s="9" t="s">
        <v>1187</v>
      </c>
      <c r="C124" s="9">
        <v>220</v>
      </c>
      <c r="D124" s="9" t="s">
        <v>1576</v>
      </c>
      <c r="E124" s="9">
        <v>3</v>
      </c>
      <c r="F124" s="45">
        <v>49.164000000000001</v>
      </c>
      <c r="G124" s="9" t="s">
        <v>6617</v>
      </c>
      <c r="H124" s="9">
        <v>0</v>
      </c>
      <c r="I124" s="14" t="str">
        <f>+'PMG(D) segun remuneracion'!$K$1</f>
        <v>01-09-2026</v>
      </c>
      <c r="J124" s="14" t="str">
        <f>+'PMG(D) segun remuneracion'!$K$2</f>
        <v>30-09-2026</v>
      </c>
      <c r="K124" s="9">
        <f>+'PMG(D) segun remuneracion'!$K$3</f>
        <v>2</v>
      </c>
      <c r="L124" s="9">
        <f>+'PMG(D) segun remuneracion'!$K$4</f>
        <v>1</v>
      </c>
    </row>
    <row r="125" spans="1:12">
      <c r="A125" s="9">
        <v>15</v>
      </c>
      <c r="B125" s="9" t="s">
        <v>1187</v>
      </c>
      <c r="C125" s="9">
        <v>220</v>
      </c>
      <c r="D125" s="9" t="s">
        <v>1577</v>
      </c>
      <c r="E125" s="9">
        <v>4</v>
      </c>
      <c r="F125" s="45">
        <v>54.362000000000002</v>
      </c>
      <c r="G125" s="9" t="s">
        <v>6617</v>
      </c>
      <c r="H125" s="9">
        <v>0</v>
      </c>
      <c r="I125" s="14" t="str">
        <f>+'PMG(D) segun remuneracion'!$K$1</f>
        <v>01-09-2026</v>
      </c>
      <c r="J125" s="14" t="str">
        <f>+'PMG(D) segun remuneracion'!$K$2</f>
        <v>30-09-2026</v>
      </c>
      <c r="K125" s="9">
        <f>+'PMG(D) segun remuneracion'!$K$3</f>
        <v>2</v>
      </c>
      <c r="L125" s="9">
        <f>+'PMG(D) segun remuneracion'!$K$4</f>
        <v>1</v>
      </c>
    </row>
    <row r="126" spans="1:12">
      <c r="A126" s="9">
        <v>15</v>
      </c>
      <c r="B126" s="9" t="s">
        <v>1187</v>
      </c>
      <c r="C126" s="9">
        <v>220</v>
      </c>
      <c r="D126" s="9" t="s">
        <v>1578</v>
      </c>
      <c r="E126" s="9">
        <v>5</v>
      </c>
      <c r="F126" s="45">
        <v>51.253999999999998</v>
      </c>
      <c r="G126" s="9" t="s">
        <v>6617</v>
      </c>
      <c r="H126" s="9">
        <v>0</v>
      </c>
      <c r="I126" s="14" t="str">
        <f>+'PMG(D) segun remuneracion'!$K$1</f>
        <v>01-09-2026</v>
      </c>
      <c r="J126" s="14" t="str">
        <f>+'PMG(D) segun remuneracion'!$K$2</f>
        <v>30-09-2026</v>
      </c>
      <c r="K126" s="9">
        <f>+'PMG(D) segun remuneracion'!$K$3</f>
        <v>2</v>
      </c>
      <c r="L126" s="9">
        <f>+'PMG(D) segun remuneracion'!$K$4</f>
        <v>1</v>
      </c>
    </row>
    <row r="127" spans="1:12">
      <c r="A127" s="9">
        <v>15</v>
      </c>
      <c r="B127" s="9" t="s">
        <v>1187</v>
      </c>
      <c r="C127" s="9">
        <v>220</v>
      </c>
      <c r="D127" s="9" t="s">
        <v>1579</v>
      </c>
      <c r="E127" s="9">
        <v>6</v>
      </c>
      <c r="F127" s="45">
        <v>49.13</v>
      </c>
      <c r="G127" s="9" t="s">
        <v>6617</v>
      </c>
      <c r="H127" s="9">
        <v>0</v>
      </c>
      <c r="I127" s="14" t="str">
        <f>+'PMG(D) segun remuneracion'!$K$1</f>
        <v>01-09-2026</v>
      </c>
      <c r="J127" s="14" t="str">
        <f>+'PMG(D) segun remuneracion'!$K$2</f>
        <v>30-09-2026</v>
      </c>
      <c r="K127" s="9">
        <f>+'PMG(D) segun remuneracion'!$K$3</f>
        <v>2</v>
      </c>
      <c r="L127" s="9">
        <f>+'PMG(D) segun remuneracion'!$K$4</f>
        <v>1</v>
      </c>
    </row>
    <row r="128" spans="1:12">
      <c r="I128" s="14"/>
      <c r="J128" s="14"/>
    </row>
    <row r="129" spans="9:10">
      <c r="I129" s="14"/>
      <c r="J129" s="14"/>
    </row>
    <row r="130" spans="9:10">
      <c r="I130" s="14"/>
      <c r="J130" s="14"/>
    </row>
    <row r="131" spans="9:10">
      <c r="I131" s="14"/>
      <c r="J131" s="14"/>
    </row>
    <row r="132" spans="9:10">
      <c r="I132" s="14"/>
      <c r="J132" s="14"/>
    </row>
    <row r="133" spans="9:10">
      <c r="I133" s="14"/>
      <c r="J133" s="14"/>
    </row>
    <row r="134" spans="9:10">
      <c r="I134" s="14"/>
      <c r="J134" s="14"/>
    </row>
    <row r="135" spans="9:10">
      <c r="I135" s="14"/>
      <c r="J135" s="14"/>
    </row>
    <row r="136" spans="9:10">
      <c r="I136" s="14"/>
      <c r="J136" s="14"/>
    </row>
    <row r="137" spans="9:10">
      <c r="I137" s="14"/>
      <c r="J137" s="14"/>
    </row>
    <row r="138" spans="9:10">
      <c r="I138" s="14"/>
      <c r="J138" s="14"/>
    </row>
    <row r="139" spans="9:10">
      <c r="I139" s="14"/>
      <c r="J139" s="14"/>
    </row>
    <row r="140" spans="9:10">
      <c r="I140" s="14"/>
      <c r="J140" s="14"/>
    </row>
    <row r="141" spans="9:10">
      <c r="I141" s="14"/>
      <c r="J141" s="14"/>
    </row>
    <row r="142" spans="9:10">
      <c r="I142" s="14"/>
      <c r="J142" s="14"/>
    </row>
    <row r="143" spans="9:10">
      <c r="I143" s="14"/>
      <c r="J143" s="14"/>
    </row>
    <row r="144" spans="9:10">
      <c r="I144" s="14"/>
      <c r="J144" s="14"/>
    </row>
    <row r="145" spans="9:10">
      <c r="I145" s="14"/>
      <c r="J145" s="14"/>
    </row>
    <row r="146" spans="9:10">
      <c r="I146" s="14"/>
      <c r="J146" s="14"/>
    </row>
    <row r="147" spans="9:10">
      <c r="I147" s="14"/>
      <c r="J147" s="14"/>
    </row>
    <row r="148" spans="9:10">
      <c r="I148" s="14"/>
      <c r="J148" s="14"/>
    </row>
    <row r="149" spans="9:10">
      <c r="I149" s="14"/>
      <c r="J149" s="14"/>
    </row>
    <row r="150" spans="9:10">
      <c r="I150" s="14"/>
      <c r="J150" s="14"/>
    </row>
    <row r="151" spans="9:10">
      <c r="I151" s="14"/>
      <c r="J151" s="14"/>
    </row>
    <row r="152" spans="9:10">
      <c r="I152" s="14"/>
      <c r="J152" s="14"/>
    </row>
    <row r="153" spans="9:10">
      <c r="I153" s="14"/>
      <c r="J153" s="14"/>
    </row>
    <row r="154" spans="9:10">
      <c r="I154" s="14"/>
      <c r="J154" s="14"/>
    </row>
    <row r="155" spans="9:10">
      <c r="I155" s="14"/>
      <c r="J155" s="14"/>
    </row>
    <row r="156" spans="9:10">
      <c r="I156" s="14"/>
      <c r="J156" s="14"/>
    </row>
    <row r="157" spans="9:10">
      <c r="I157" s="14"/>
      <c r="J157" s="14"/>
    </row>
    <row r="158" spans="9:10">
      <c r="I158" s="14"/>
      <c r="J158" s="14"/>
    </row>
    <row r="159" spans="9:10">
      <c r="I159" s="14"/>
      <c r="J159" s="14"/>
    </row>
    <row r="160" spans="9:10">
      <c r="I160" s="14"/>
      <c r="J160" s="14"/>
    </row>
    <row r="161" spans="9:10">
      <c r="I161" s="14"/>
      <c r="J161" s="14"/>
    </row>
    <row r="162" spans="9:10">
      <c r="I162" s="14"/>
      <c r="J162" s="14"/>
    </row>
    <row r="163" spans="9:10">
      <c r="I163" s="14"/>
      <c r="J163" s="14"/>
    </row>
    <row r="164" spans="9:10">
      <c r="I164" s="14"/>
      <c r="J164" s="14"/>
    </row>
    <row r="165" spans="9:10">
      <c r="I165" s="14"/>
      <c r="J165" s="14"/>
    </row>
    <row r="166" spans="9:10">
      <c r="I166" s="14"/>
      <c r="J166" s="14"/>
    </row>
    <row r="167" spans="9:10">
      <c r="I167" s="14"/>
      <c r="J167" s="14"/>
    </row>
    <row r="168" spans="9:10">
      <c r="I168" s="14"/>
      <c r="J168" s="14"/>
    </row>
    <row r="169" spans="9:10">
      <c r="I169" s="14"/>
      <c r="J169" s="14"/>
    </row>
    <row r="170" spans="9:10">
      <c r="I170" s="14"/>
      <c r="J170" s="14"/>
    </row>
    <row r="171" spans="9:10">
      <c r="I171" s="14"/>
      <c r="J171" s="14"/>
    </row>
    <row r="172" spans="9:10">
      <c r="I172" s="14"/>
      <c r="J172" s="14"/>
    </row>
    <row r="173" spans="9:10">
      <c r="I173" s="14"/>
      <c r="J173" s="14"/>
    </row>
    <row r="174" spans="9:10">
      <c r="I174" s="14"/>
      <c r="J174" s="14"/>
    </row>
    <row r="175" spans="9:10">
      <c r="I175" s="14"/>
      <c r="J175" s="14"/>
    </row>
    <row r="176" spans="9:10">
      <c r="I176" s="14"/>
      <c r="J176" s="14"/>
    </row>
    <row r="177" spans="9:10">
      <c r="I177" s="14"/>
      <c r="J177" s="14"/>
    </row>
    <row r="178" spans="9:10">
      <c r="I178" s="14"/>
      <c r="J178" s="14"/>
    </row>
    <row r="179" spans="9:10">
      <c r="I179" s="14"/>
      <c r="J179" s="14"/>
    </row>
    <row r="180" spans="9:10">
      <c r="I180" s="14"/>
      <c r="J180" s="14"/>
    </row>
    <row r="181" spans="9:10">
      <c r="I181" s="14"/>
      <c r="J181" s="14"/>
    </row>
    <row r="182" spans="9:10">
      <c r="I182" s="14"/>
      <c r="J182" s="14"/>
    </row>
    <row r="183" spans="9:10">
      <c r="I183" s="14"/>
      <c r="J183" s="14"/>
    </row>
    <row r="184" spans="9:10">
      <c r="I184" s="14"/>
      <c r="J184" s="14"/>
    </row>
    <row r="185" spans="9:10">
      <c r="I185" s="14"/>
      <c r="J185" s="14"/>
    </row>
    <row r="186" spans="9:10">
      <c r="I186" s="14"/>
      <c r="J186" s="14"/>
    </row>
    <row r="187" spans="9:10">
      <c r="I187" s="14"/>
      <c r="J187" s="14"/>
    </row>
    <row r="188" spans="9:10">
      <c r="I188" s="14"/>
      <c r="J188" s="14"/>
    </row>
    <row r="189" spans="9:10">
      <c r="I189" s="14"/>
      <c r="J189" s="14"/>
    </row>
    <row r="190" spans="9:10">
      <c r="I190" s="14"/>
      <c r="J190" s="14"/>
    </row>
    <row r="191" spans="9:10">
      <c r="I191" s="14"/>
      <c r="J191" s="14"/>
    </row>
    <row r="192" spans="9:10">
      <c r="I192" s="14"/>
      <c r="J192" s="14"/>
    </row>
    <row r="193" spans="9:10">
      <c r="I193" s="14"/>
      <c r="J193" s="14"/>
    </row>
  </sheetData>
  <autoFilter ref="A1:L193" xr:uid="{9DB54426-26C1-4CD6-AAB6-BB9B49727BD1}">
    <sortState xmlns:xlrd2="http://schemas.microsoft.com/office/spreadsheetml/2017/richdata2" ref="A2:L193">
      <sortCondition ref="B1:B193"/>
    </sortState>
  </autoFilter>
  <phoneticPr fontId="20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trae_PE_Decreto">
                <anchor moveWithCells="1" sizeWithCells="1">
                  <from>
                    <xdr:col>12</xdr:col>
                    <xdr:colOff>466725</xdr:colOff>
                    <xdr:row>6</xdr:row>
                    <xdr:rowOff>38100</xdr:rowOff>
                  </from>
                  <to>
                    <xdr:col>12</xdr:col>
                    <xdr:colOff>2152650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Extraer_Precios_Estabilizados">
                <anchor moveWithCells="1" sizeWithCells="1">
                  <from>
                    <xdr:col>12</xdr:col>
                    <xdr:colOff>561975</xdr:colOff>
                    <xdr:row>0</xdr:row>
                    <xdr:rowOff>180975</xdr:rowOff>
                  </from>
                  <to>
                    <xdr:col>12</xdr:col>
                    <xdr:colOff>2105025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945D6-0A14-4696-A992-181A13292EE3}">
  <sheetPr codeName="Hoja4">
    <tabColor rgb="FF0070C0"/>
  </sheetPr>
  <dimension ref="A1:S114"/>
  <sheetViews>
    <sheetView topLeftCell="A85" zoomScale="90" zoomScaleNormal="90" workbookViewId="0">
      <selection activeCell="D109" sqref="D109"/>
    </sheetView>
  </sheetViews>
  <sheetFormatPr baseColWidth="10" defaultRowHeight="15"/>
  <cols>
    <col min="1" max="1" width="8" bestFit="1" customWidth="1"/>
    <col min="2" max="2" width="27.140625" customWidth="1"/>
    <col min="3" max="3" width="15.42578125" bestFit="1" customWidth="1"/>
    <col min="4" max="4" width="15" bestFit="1" customWidth="1"/>
    <col min="5" max="5" width="15.28515625" bestFit="1" customWidth="1"/>
    <col min="6" max="6" width="9" bestFit="1" customWidth="1"/>
    <col min="7" max="7" width="19.28515625" bestFit="1" customWidth="1"/>
    <col min="8" max="8" width="17.140625" bestFit="1" customWidth="1"/>
    <col min="9" max="9" width="12" bestFit="1" customWidth="1"/>
    <col min="10" max="10" width="7.85546875" bestFit="1" customWidth="1"/>
    <col min="11" max="11" width="7.85546875" customWidth="1"/>
    <col min="12" max="12" width="36.42578125" customWidth="1"/>
    <col min="13" max="13" width="7" customWidth="1"/>
    <col min="14" max="14" width="18.28515625" style="19" bestFit="1" customWidth="1"/>
    <col min="15" max="15" width="23.28515625" style="19" customWidth="1"/>
    <col min="16" max="16" width="9.7109375" customWidth="1"/>
    <col min="17" max="17" width="15" bestFit="1" customWidth="1"/>
    <col min="18" max="18" width="15.28515625" bestFit="1" customWidth="1"/>
    <col min="19" max="19" width="15.7109375" customWidth="1"/>
    <col min="21" max="21" width="16.5703125" bestFit="1" customWidth="1"/>
  </cols>
  <sheetData>
    <row r="1" spans="1:19" ht="15.75" thickBot="1">
      <c r="A1" s="29" t="s">
        <v>1555</v>
      </c>
      <c r="B1" s="29" t="s">
        <v>1556</v>
      </c>
      <c r="C1" s="29" t="s">
        <v>1557</v>
      </c>
      <c r="D1" s="29" t="s">
        <v>1559</v>
      </c>
      <c r="E1" s="29" t="s">
        <v>1560</v>
      </c>
      <c r="F1" s="29" t="s">
        <v>1585</v>
      </c>
      <c r="G1" s="29" t="s">
        <v>1586</v>
      </c>
      <c r="H1" s="29" t="s">
        <v>1587</v>
      </c>
      <c r="I1" s="29" t="s">
        <v>1565</v>
      </c>
      <c r="J1" s="29" t="s">
        <v>1573</v>
      </c>
      <c r="K1" s="9"/>
      <c r="L1" s="42" t="s">
        <v>6598</v>
      </c>
      <c r="N1" s="20" t="s">
        <v>1584</v>
      </c>
      <c r="O1" s="20" t="s">
        <v>3308</v>
      </c>
      <c r="P1" s="9"/>
      <c r="Q1" s="12" t="s">
        <v>1559</v>
      </c>
      <c r="R1" s="12" t="s">
        <v>1560</v>
      </c>
      <c r="S1" s="15" t="s">
        <v>3256</v>
      </c>
    </row>
    <row r="2" spans="1:19">
      <c r="A2">
        <v>15</v>
      </c>
      <c r="B2" t="s">
        <v>248</v>
      </c>
      <c r="C2">
        <v>220</v>
      </c>
      <c r="D2" t="s">
        <v>903</v>
      </c>
      <c r="E2">
        <v>23</v>
      </c>
      <c r="F2">
        <v>1</v>
      </c>
      <c r="G2" s="14" t="str">
        <f>+'PMG(D) segun remuneracion'!$K$1</f>
        <v>01-09-2026</v>
      </c>
      <c r="H2" s="14" t="str">
        <f>+'PMG(D) segun remuneracion'!$K$2</f>
        <v>30-09-2026</v>
      </c>
      <c r="I2" s="9">
        <f>+'PMG(D) segun remuneracion'!$K$3</f>
        <v>2</v>
      </c>
      <c r="J2" s="9">
        <f>+'PMG(D) segun remuneracion'!$K$4</f>
        <v>1</v>
      </c>
      <c r="K2" s="9"/>
      <c r="N2" s="19" t="str">
        <f>+D2&amp;"_"&amp;E2</f>
        <v>NEGRETE_23</v>
      </c>
      <c r="O2" s="19" t="str">
        <f>+VLOOKUP(B2,'DECRETOS PESTABILIZADO'!B:B,1,0)</f>
        <v>CHARRUA</v>
      </c>
      <c r="P2" s="9"/>
      <c r="Q2" s="31" t="s">
        <v>903</v>
      </c>
      <c r="R2" s="32">
        <v>23</v>
      </c>
      <c r="S2" s="13">
        <f t="shared" ref="S2:S25" si="0">+SUMIFS(F:F,D:D,Q2,E:E,R2)</f>
        <v>1</v>
      </c>
    </row>
    <row r="3" spans="1:19">
      <c r="A3">
        <v>15</v>
      </c>
      <c r="B3" t="s">
        <v>9</v>
      </c>
      <c r="C3">
        <v>220</v>
      </c>
      <c r="D3" t="s">
        <v>545</v>
      </c>
      <c r="E3">
        <v>66</v>
      </c>
      <c r="F3">
        <v>0.74762438015834221</v>
      </c>
      <c r="G3" s="14" t="str">
        <f>+'PMG(D) segun remuneracion'!$K$1</f>
        <v>01-09-2026</v>
      </c>
      <c r="H3" s="14" t="str">
        <f>+'PMG(D) segun remuneracion'!$K$2</f>
        <v>30-09-2026</v>
      </c>
      <c r="I3" s="9">
        <f>+'PMG(D) segun remuneracion'!$K$3</f>
        <v>2</v>
      </c>
      <c r="J3" s="9">
        <f>+'PMG(D) segun remuneracion'!$K$4</f>
        <v>1</v>
      </c>
      <c r="K3" s="9"/>
      <c r="N3" s="19" t="str">
        <f t="shared" ref="N3:N59" si="1">+D3&amp;"_"&amp;E3</f>
        <v>ISLADMAIPO_66</v>
      </c>
      <c r="O3" s="19" t="str">
        <f>+VLOOKUP(B3,'DECRETOS PESTABILIZADO'!B:B,1,0)</f>
        <v>A.JAHUEL</v>
      </c>
      <c r="P3" s="9"/>
      <c r="Q3" s="31" t="s">
        <v>545</v>
      </c>
      <c r="R3" s="32">
        <v>66</v>
      </c>
      <c r="S3" s="13">
        <f t="shared" si="0"/>
        <v>1</v>
      </c>
    </row>
    <row r="4" spans="1:19">
      <c r="A4">
        <v>15</v>
      </c>
      <c r="B4" t="s">
        <v>248</v>
      </c>
      <c r="C4">
        <v>220</v>
      </c>
      <c r="D4" t="s">
        <v>545</v>
      </c>
      <c r="E4">
        <v>66</v>
      </c>
      <c r="F4">
        <v>5.0250767883426341E-3</v>
      </c>
      <c r="G4" s="14" t="str">
        <f>+'PMG(D) segun remuneracion'!$K$1</f>
        <v>01-09-2026</v>
      </c>
      <c r="H4" s="14" t="str">
        <f>+'PMG(D) segun remuneracion'!$K$2</f>
        <v>30-09-2026</v>
      </c>
      <c r="I4" s="9">
        <f>+'PMG(D) segun remuneracion'!$K$3</f>
        <v>2</v>
      </c>
      <c r="J4" s="9">
        <f>+'PMG(D) segun remuneracion'!$K$4</f>
        <v>1</v>
      </c>
      <c r="K4" s="9"/>
      <c r="N4" s="19" t="str">
        <f t="shared" si="1"/>
        <v>ISLADMAIPO_66</v>
      </c>
      <c r="O4" s="19" t="str">
        <f>+VLOOKUP(B4,'DECRETOS PESTABILIZADO'!B:B,1,0)</f>
        <v>CHARRUA</v>
      </c>
      <c r="P4" s="9"/>
      <c r="Q4" s="33" t="s">
        <v>191</v>
      </c>
      <c r="R4" s="34">
        <v>23</v>
      </c>
      <c r="S4" s="13">
        <f t="shared" si="0"/>
        <v>1</v>
      </c>
    </row>
    <row r="5" spans="1:19">
      <c r="A5">
        <v>15</v>
      </c>
      <c r="B5" t="s">
        <v>548</v>
      </c>
      <c r="C5">
        <v>220</v>
      </c>
      <c r="D5" t="s">
        <v>545</v>
      </c>
      <c r="E5">
        <v>66</v>
      </c>
      <c r="F5">
        <v>0.15649019759877419</v>
      </c>
      <c r="G5" s="14" t="str">
        <f>+'PMG(D) segun remuneracion'!$K$1</f>
        <v>01-09-2026</v>
      </c>
      <c r="H5" s="14" t="str">
        <f>+'PMG(D) segun remuneracion'!$K$2</f>
        <v>30-09-2026</v>
      </c>
      <c r="I5" s="9">
        <f>+'PMG(D) segun remuneracion'!$K$3</f>
        <v>2</v>
      </c>
      <c r="J5" s="9">
        <f>+'PMG(D) segun remuneracion'!$K$4</f>
        <v>1</v>
      </c>
      <c r="K5" s="9"/>
      <c r="N5" s="19" t="str">
        <f t="shared" si="1"/>
        <v>ISLADMAIPO_66</v>
      </c>
      <c r="O5" s="19" t="str">
        <f>+VLOOKUP(B5,'DECRETOS PESTABILIZADO'!B:B,1,0)</f>
        <v>ITAHUE</v>
      </c>
      <c r="P5" s="9"/>
      <c r="Q5" s="33" t="s">
        <v>1056</v>
      </c>
      <c r="R5" s="34">
        <v>23</v>
      </c>
      <c r="S5" s="13">
        <f t="shared" si="0"/>
        <v>0.99999999999999989</v>
      </c>
    </row>
    <row r="6" spans="1:19">
      <c r="A6">
        <v>15</v>
      </c>
      <c r="B6" t="s">
        <v>14</v>
      </c>
      <c r="C6">
        <v>220</v>
      </c>
      <c r="D6" t="s">
        <v>545</v>
      </c>
      <c r="E6">
        <v>66</v>
      </c>
      <c r="F6">
        <v>7.9018417909434938E-2</v>
      </c>
      <c r="G6" s="14" t="str">
        <f>+'PMG(D) segun remuneracion'!$K$1</f>
        <v>01-09-2026</v>
      </c>
      <c r="H6" s="14" t="str">
        <f>+'PMG(D) segun remuneracion'!$K$2</f>
        <v>30-09-2026</v>
      </c>
      <c r="I6" s="9">
        <f>+'PMG(D) segun remuneracion'!$K$3</f>
        <v>2</v>
      </c>
      <c r="J6" s="9">
        <f>+'PMG(D) segun remuneracion'!$K$4</f>
        <v>1</v>
      </c>
      <c r="K6" s="9"/>
      <c r="N6" s="19" t="str">
        <f t="shared" si="1"/>
        <v>ISLADMAIPO_66</v>
      </c>
      <c r="O6" s="19" t="str">
        <f>+VLOOKUP(B6,'DECRETOS PESTABILIZADO'!B:B,1,0)</f>
        <v>A.MELIP</v>
      </c>
      <c r="P6" s="9"/>
      <c r="Q6" s="33" t="s">
        <v>1166</v>
      </c>
      <c r="R6" s="34">
        <v>13</v>
      </c>
      <c r="S6" s="13">
        <f t="shared" si="0"/>
        <v>1.0000000000000002</v>
      </c>
    </row>
    <row r="7" spans="1:19">
      <c r="A7">
        <v>15</v>
      </c>
      <c r="B7" t="s">
        <v>1197</v>
      </c>
      <c r="C7">
        <v>220</v>
      </c>
      <c r="D7" t="s">
        <v>545</v>
      </c>
      <c r="E7">
        <v>66</v>
      </c>
      <c r="F7">
        <v>1.1841927545105992E-2</v>
      </c>
      <c r="G7" s="14" t="str">
        <f>+'PMG(D) segun remuneracion'!$K$1</f>
        <v>01-09-2026</v>
      </c>
      <c r="H7" s="14" t="str">
        <f>+'PMG(D) segun remuneracion'!$K$2</f>
        <v>30-09-2026</v>
      </c>
      <c r="I7" s="9">
        <f>+'PMG(D) segun remuneracion'!$K$3</f>
        <v>2</v>
      </c>
      <c r="J7" s="9">
        <f>+'PMG(D) segun remuneracion'!$K$4</f>
        <v>1</v>
      </c>
      <c r="K7" s="9"/>
      <c r="N7" s="19" t="str">
        <f t="shared" si="1"/>
        <v>ISLADMAIPO_66</v>
      </c>
      <c r="O7" s="19" t="str">
        <f>+VLOOKUP(B7,'DECRETOS PESTABILIZADO'!B:B,1,0)</f>
        <v>RAPEL</v>
      </c>
      <c r="P7" s="9"/>
      <c r="Q7" s="33" t="s">
        <v>1318</v>
      </c>
      <c r="R7" s="34">
        <v>13</v>
      </c>
      <c r="S7" s="13">
        <f t="shared" si="0"/>
        <v>1</v>
      </c>
    </row>
    <row r="8" spans="1:19">
      <c r="A8">
        <v>15</v>
      </c>
      <c r="B8" t="s">
        <v>248</v>
      </c>
      <c r="C8">
        <v>220</v>
      </c>
      <c r="D8" t="s">
        <v>191</v>
      </c>
      <c r="E8">
        <v>23</v>
      </c>
      <c r="F8">
        <v>0.49375171445114874</v>
      </c>
      <c r="G8" s="14" t="str">
        <f>+'PMG(D) segun remuneracion'!$K$1</f>
        <v>01-09-2026</v>
      </c>
      <c r="H8" s="14" t="str">
        <f>+'PMG(D) segun remuneracion'!$K$2</f>
        <v>30-09-2026</v>
      </c>
      <c r="I8" s="9">
        <f>+'PMG(D) segun remuneracion'!$K$3</f>
        <v>2</v>
      </c>
      <c r="J8" s="9">
        <f>+'PMG(D) segun remuneracion'!$K$4</f>
        <v>1</v>
      </c>
      <c r="K8" s="9"/>
      <c r="N8" s="19" t="str">
        <f t="shared" si="1"/>
        <v>CARAMPANGUE_23</v>
      </c>
      <c r="O8" s="19" t="str">
        <f>+VLOOKUP(B8,'DECRETOS PESTABILIZADO'!B:B,1,0)</f>
        <v>CHARRUA</v>
      </c>
      <c r="P8" s="9"/>
      <c r="Q8" s="33" t="s">
        <v>1460</v>
      </c>
      <c r="R8" s="34">
        <v>13</v>
      </c>
      <c r="S8" s="13">
        <f t="shared" si="0"/>
        <v>1.0000000000000002</v>
      </c>
    </row>
    <row r="9" spans="1:19">
      <c r="A9">
        <v>15</v>
      </c>
      <c r="B9" t="s">
        <v>521</v>
      </c>
      <c r="C9">
        <v>220</v>
      </c>
      <c r="D9" t="s">
        <v>191</v>
      </c>
      <c r="E9">
        <v>23</v>
      </c>
      <c r="F9">
        <v>0.16069558105366977</v>
      </c>
      <c r="G9" s="14" t="str">
        <f>+'PMG(D) segun remuneracion'!$K$1</f>
        <v>01-09-2026</v>
      </c>
      <c r="H9" s="14" t="str">
        <f>+'PMG(D) segun remuneracion'!$K$2</f>
        <v>30-09-2026</v>
      </c>
      <c r="I9" s="9">
        <f>+'PMG(D) segun remuneracion'!$K$3</f>
        <v>2</v>
      </c>
      <c r="J9" s="9">
        <f>+'PMG(D) segun remuneracion'!$K$4</f>
        <v>1</v>
      </c>
      <c r="K9" s="9"/>
      <c r="N9" s="19" t="str">
        <f t="shared" si="1"/>
        <v>CARAMPANGUE_23</v>
      </c>
      <c r="O9" s="19" t="str">
        <f>+VLOOKUP(B9,'DECRETOS PESTABILIZADO'!B:B,1,0)</f>
        <v>HUALPEN</v>
      </c>
      <c r="P9" s="9"/>
      <c r="Q9" s="33" t="s">
        <v>1286</v>
      </c>
      <c r="R9" s="34">
        <v>13</v>
      </c>
      <c r="S9" s="13">
        <f t="shared" si="0"/>
        <v>1</v>
      </c>
    </row>
    <row r="10" spans="1:19">
      <c r="A10">
        <v>15</v>
      </c>
      <c r="B10" t="s">
        <v>635</v>
      </c>
      <c r="C10">
        <v>220</v>
      </c>
      <c r="D10" t="s">
        <v>191</v>
      </c>
      <c r="E10">
        <v>23</v>
      </c>
      <c r="F10">
        <v>0.3455527044951815</v>
      </c>
      <c r="G10" s="14" t="str">
        <f>+'PMG(D) segun remuneracion'!$K$1</f>
        <v>01-09-2026</v>
      </c>
      <c r="H10" s="14" t="str">
        <f>+'PMG(D) segun remuneracion'!$K$2</f>
        <v>30-09-2026</v>
      </c>
      <c r="I10" s="9">
        <f>+'PMG(D) segun remuneracion'!$K$3</f>
        <v>2</v>
      </c>
      <c r="J10" s="9">
        <f>+'PMG(D) segun remuneracion'!$K$4</f>
        <v>1</v>
      </c>
      <c r="K10" s="9"/>
      <c r="N10" s="19" t="str">
        <f t="shared" si="1"/>
        <v>CARAMPANGUE_23</v>
      </c>
      <c r="O10" s="19" t="str">
        <f>+VLOOKUP(B10,'DECRETOS PESTABILIZADO'!B:B,1,0)</f>
        <v>LAGUNILLAS</v>
      </c>
      <c r="P10" s="9"/>
      <c r="Q10" s="33" t="s">
        <v>1347</v>
      </c>
      <c r="R10" s="34">
        <v>23</v>
      </c>
      <c r="S10" s="13">
        <f t="shared" si="0"/>
        <v>1</v>
      </c>
    </row>
    <row r="11" spans="1:19">
      <c r="A11">
        <v>15</v>
      </c>
      <c r="B11" t="s">
        <v>218</v>
      </c>
      <c r="C11">
        <v>220</v>
      </c>
      <c r="D11" t="s">
        <v>1056</v>
      </c>
      <c r="E11">
        <v>23</v>
      </c>
      <c r="F11">
        <v>0.17053978115576962</v>
      </c>
      <c r="G11" s="14" t="str">
        <f>+'PMG(D) segun remuneracion'!$K$1</f>
        <v>01-09-2026</v>
      </c>
      <c r="H11" s="14" t="str">
        <f>+'PMG(D) segun remuneracion'!$K$2</f>
        <v>30-09-2026</v>
      </c>
      <c r="I11" s="9">
        <f>+'PMG(D) segun remuneracion'!$K$3</f>
        <v>2</v>
      </c>
      <c r="J11" s="9">
        <f>+'PMG(D) segun remuneracion'!$K$4</f>
        <v>1</v>
      </c>
      <c r="K11" s="9"/>
      <c r="N11" s="19" t="str">
        <f t="shared" si="1"/>
        <v>PICOLTUE_23</v>
      </c>
      <c r="O11" s="19" t="str">
        <f>+VLOOKUP(B11,'DECRETOS PESTABILIZADO'!B:B,1,0)</f>
        <v>CAUTIN</v>
      </c>
      <c r="P11" s="9"/>
      <c r="Q11" s="33" t="s">
        <v>474</v>
      </c>
      <c r="R11" s="34">
        <v>13</v>
      </c>
      <c r="S11" s="13">
        <f t="shared" si="0"/>
        <v>1</v>
      </c>
    </row>
    <row r="12" spans="1:19">
      <c r="A12">
        <v>15</v>
      </c>
      <c r="B12" t="s">
        <v>248</v>
      </c>
      <c r="C12">
        <v>220</v>
      </c>
      <c r="D12" t="s">
        <v>1056</v>
      </c>
      <c r="E12">
        <v>23</v>
      </c>
      <c r="F12">
        <v>0.82946021884423027</v>
      </c>
      <c r="G12" s="14" t="str">
        <f>+'PMG(D) segun remuneracion'!$K$1</f>
        <v>01-09-2026</v>
      </c>
      <c r="H12" s="14" t="str">
        <f>+'PMG(D) segun remuneracion'!$K$2</f>
        <v>30-09-2026</v>
      </c>
      <c r="I12" s="9">
        <f>+'PMG(D) segun remuneracion'!$K$3</f>
        <v>2</v>
      </c>
      <c r="J12" s="9">
        <f>+'PMG(D) segun remuneracion'!$K$4</f>
        <v>1</v>
      </c>
      <c r="K12" s="9"/>
      <c r="N12" s="19" t="str">
        <f t="shared" si="1"/>
        <v>PICOLTUE_23</v>
      </c>
      <c r="O12" s="19" t="str">
        <f>+VLOOKUP(B12,'DECRETOS PESTABILIZADO'!B:B,1,0)</f>
        <v>CHARRUA</v>
      </c>
      <c r="P12" s="9"/>
      <c r="Q12" s="35" t="s">
        <v>1077</v>
      </c>
      <c r="R12" s="32">
        <v>13</v>
      </c>
      <c r="S12" s="13">
        <f t="shared" si="0"/>
        <v>1</v>
      </c>
    </row>
    <row r="13" spans="1:19">
      <c r="A13">
        <v>15</v>
      </c>
      <c r="B13" t="s">
        <v>9</v>
      </c>
      <c r="C13">
        <v>220</v>
      </c>
      <c r="D13" t="s">
        <v>1166</v>
      </c>
      <c r="E13">
        <v>13</v>
      </c>
      <c r="F13">
        <v>0.41753570656539718</v>
      </c>
      <c r="G13" s="14" t="str">
        <f>+'PMG(D) segun remuneracion'!$K$1</f>
        <v>01-09-2026</v>
      </c>
      <c r="H13" s="14" t="str">
        <f>+'PMG(D) segun remuneracion'!$K$2</f>
        <v>30-09-2026</v>
      </c>
      <c r="I13" s="9">
        <f>+'PMG(D) segun remuneracion'!$K$3</f>
        <v>2</v>
      </c>
      <c r="J13" s="9">
        <f>+'PMG(D) segun remuneracion'!$K$4</f>
        <v>1</v>
      </c>
      <c r="K13" s="9"/>
      <c r="N13" s="19" t="str">
        <f t="shared" si="1"/>
        <v>QUINTA_13</v>
      </c>
      <c r="O13" s="19" t="str">
        <f>+VLOOKUP(B13,'DECRETOS PESTABILIZADO'!B:B,1,0)</f>
        <v>A.JAHUEL</v>
      </c>
      <c r="P13" s="9"/>
      <c r="Q13" s="35" t="s">
        <v>858</v>
      </c>
      <c r="R13" s="32">
        <v>13</v>
      </c>
      <c r="S13" s="13">
        <f t="shared" si="0"/>
        <v>1</v>
      </c>
    </row>
    <row r="14" spans="1:19">
      <c r="A14">
        <v>15</v>
      </c>
      <c r="B14" t="s">
        <v>248</v>
      </c>
      <c r="C14">
        <v>220</v>
      </c>
      <c r="D14" t="s">
        <v>1166</v>
      </c>
      <c r="E14">
        <v>13</v>
      </c>
      <c r="F14">
        <v>2.4330795881537828E-2</v>
      </c>
      <c r="G14" s="14" t="str">
        <f>+'PMG(D) segun remuneracion'!$K$1</f>
        <v>01-09-2026</v>
      </c>
      <c r="H14" s="14" t="str">
        <f>+'PMG(D) segun remuneracion'!$K$2</f>
        <v>30-09-2026</v>
      </c>
      <c r="I14" s="9">
        <f>+'PMG(D) segun remuneracion'!$K$3</f>
        <v>2</v>
      </c>
      <c r="J14" s="9">
        <f>+'PMG(D) segun remuneracion'!$K$4</f>
        <v>1</v>
      </c>
      <c r="K14" s="9"/>
      <c r="N14" s="19" t="str">
        <f t="shared" si="1"/>
        <v>QUINTA_13</v>
      </c>
      <c r="O14" s="19" t="str">
        <f>+VLOOKUP(B14,'DECRETOS PESTABILIZADO'!B:B,1,0)</f>
        <v>CHARRUA</v>
      </c>
      <c r="P14" s="9"/>
      <c r="Q14" s="33" t="s">
        <v>161</v>
      </c>
      <c r="R14" s="34">
        <v>13</v>
      </c>
      <c r="S14" s="13">
        <f t="shared" si="0"/>
        <v>1</v>
      </c>
    </row>
    <row r="15" spans="1:19">
      <c r="A15">
        <v>15</v>
      </c>
      <c r="B15" t="s">
        <v>548</v>
      </c>
      <c r="C15">
        <v>220</v>
      </c>
      <c r="D15" t="s">
        <v>1166</v>
      </c>
      <c r="E15">
        <v>13</v>
      </c>
      <c r="F15">
        <v>0.55226921765403536</v>
      </c>
      <c r="G15" s="14" t="str">
        <f>+'PMG(D) segun remuneracion'!$K$1</f>
        <v>01-09-2026</v>
      </c>
      <c r="H15" s="14" t="str">
        <f>+'PMG(D) segun remuneracion'!$K$2</f>
        <v>30-09-2026</v>
      </c>
      <c r="I15" s="9">
        <f>+'PMG(D) segun remuneracion'!$K$3</f>
        <v>2</v>
      </c>
      <c r="J15" s="9">
        <f>+'PMG(D) segun remuneracion'!$K$4</f>
        <v>1</v>
      </c>
      <c r="K15" s="9"/>
      <c r="N15" s="19" t="str">
        <f t="shared" si="1"/>
        <v>QUINTA_13</v>
      </c>
      <c r="O15" s="19" t="str">
        <f>+VLOOKUP(B15,'DECRETOS PESTABILIZADO'!B:B,1,0)</f>
        <v>ITAHUE</v>
      </c>
      <c r="P15" s="9"/>
      <c r="Q15" s="31" t="s">
        <v>1090</v>
      </c>
      <c r="R15" s="32">
        <v>23</v>
      </c>
      <c r="S15" s="13">
        <f t="shared" si="0"/>
        <v>1.0000000000000002</v>
      </c>
    </row>
    <row r="16" spans="1:19">
      <c r="A16">
        <v>15</v>
      </c>
      <c r="B16" t="s">
        <v>14</v>
      </c>
      <c r="C16">
        <v>220</v>
      </c>
      <c r="D16" t="s">
        <v>1166</v>
      </c>
      <c r="E16">
        <v>13</v>
      </c>
      <c r="F16">
        <v>4.1666382840802344E-3</v>
      </c>
      <c r="G16" s="14" t="str">
        <f>+'PMG(D) segun remuneracion'!$K$1</f>
        <v>01-09-2026</v>
      </c>
      <c r="H16" s="14" t="str">
        <f>+'PMG(D) segun remuneracion'!$K$2</f>
        <v>30-09-2026</v>
      </c>
      <c r="I16" s="9">
        <f>+'PMG(D) segun remuneracion'!$K$3</f>
        <v>2</v>
      </c>
      <c r="J16" s="9">
        <f>+'PMG(D) segun remuneracion'!$K$4</f>
        <v>1</v>
      </c>
      <c r="K16" s="9"/>
      <c r="N16" s="19" t="str">
        <f t="shared" si="1"/>
        <v>QUINTA_13</v>
      </c>
      <c r="O16" s="19" t="str">
        <f>+VLOOKUP(B16,'DECRETOS PESTABILIZADO'!B:B,1,0)</f>
        <v>A.MELIP</v>
      </c>
      <c r="P16" s="9"/>
      <c r="Q16" s="31" t="s">
        <v>315</v>
      </c>
      <c r="R16" s="32">
        <v>15</v>
      </c>
      <c r="S16" s="13">
        <f t="shared" si="0"/>
        <v>0.99999999999999989</v>
      </c>
    </row>
    <row r="17" spans="1:19">
      <c r="A17">
        <v>15</v>
      </c>
      <c r="B17" t="s">
        <v>1197</v>
      </c>
      <c r="C17">
        <v>220</v>
      </c>
      <c r="D17" t="s">
        <v>1166</v>
      </c>
      <c r="E17">
        <v>13</v>
      </c>
      <c r="F17">
        <v>1.6976416149494524E-3</v>
      </c>
      <c r="G17" s="14" t="str">
        <f>+'PMG(D) segun remuneracion'!$K$1</f>
        <v>01-09-2026</v>
      </c>
      <c r="H17" s="14" t="str">
        <f>+'PMG(D) segun remuneracion'!$K$2</f>
        <v>30-09-2026</v>
      </c>
      <c r="I17" s="9">
        <f>+'PMG(D) segun remuneracion'!$K$3</f>
        <v>2</v>
      </c>
      <c r="J17" s="9">
        <f>+'PMG(D) segun remuneracion'!$K$4</f>
        <v>1</v>
      </c>
      <c r="K17" s="9"/>
      <c r="N17" s="19" t="str">
        <f t="shared" si="1"/>
        <v>QUINTA_13</v>
      </c>
      <c r="O17" s="19" t="str">
        <f>+VLOOKUP(B17,'DECRETOS PESTABILIZADO'!B:B,1,0)</f>
        <v>RAPEL</v>
      </c>
      <c r="P17" s="9"/>
      <c r="Q17" s="31" t="s">
        <v>3832</v>
      </c>
      <c r="R17" s="32">
        <v>13</v>
      </c>
      <c r="S17" s="13">
        <f t="shared" si="0"/>
        <v>1</v>
      </c>
    </row>
    <row r="18" spans="1:19">
      <c r="A18">
        <v>15</v>
      </c>
      <c r="B18" t="s">
        <v>218</v>
      </c>
      <c r="C18">
        <v>220</v>
      </c>
      <c r="D18" t="s">
        <v>1318</v>
      </c>
      <c r="E18">
        <v>13</v>
      </c>
      <c r="F18">
        <v>3.2744459641234645E-2</v>
      </c>
      <c r="G18" s="14" t="str">
        <f>+'PMG(D) segun remuneracion'!$K$1</f>
        <v>01-09-2026</v>
      </c>
      <c r="H18" s="14" t="str">
        <f>+'PMG(D) segun remuneracion'!$K$2</f>
        <v>30-09-2026</v>
      </c>
      <c r="I18" s="9">
        <f>+'PMG(D) segun remuneracion'!$K$3</f>
        <v>2</v>
      </c>
      <c r="J18" s="9">
        <f>+'PMG(D) segun remuneracion'!$K$4</f>
        <v>1</v>
      </c>
      <c r="K18" s="9"/>
      <c r="N18" s="19" t="str">
        <f t="shared" si="1"/>
        <v>SANTA_BARBARA_13</v>
      </c>
      <c r="O18" s="19" t="str">
        <f>+VLOOKUP(B18,'DECRETOS PESTABILIZADO'!B:B,1,0)</f>
        <v>CAUTIN</v>
      </c>
      <c r="P18" s="9"/>
      <c r="Q18" s="31" t="s">
        <v>215</v>
      </c>
      <c r="R18" s="32">
        <v>13</v>
      </c>
      <c r="S18" s="13">
        <f t="shared" si="0"/>
        <v>1</v>
      </c>
    </row>
    <row r="19" spans="1:19">
      <c r="A19">
        <v>15</v>
      </c>
      <c r="B19" t="s">
        <v>248</v>
      </c>
      <c r="C19">
        <v>220</v>
      </c>
      <c r="D19" t="s">
        <v>1318</v>
      </c>
      <c r="E19">
        <v>13</v>
      </c>
      <c r="F19">
        <v>0.95984957563073792</v>
      </c>
      <c r="G19" s="14" t="str">
        <f>+'PMG(D) segun remuneracion'!$K$1</f>
        <v>01-09-2026</v>
      </c>
      <c r="H19" s="14" t="str">
        <f>+'PMG(D) segun remuneracion'!$K$2</f>
        <v>30-09-2026</v>
      </c>
      <c r="I19" s="9">
        <f>+'PMG(D) segun remuneracion'!$K$3</f>
        <v>2</v>
      </c>
      <c r="J19" s="9">
        <f>+'PMG(D) segun remuneracion'!$K$4</f>
        <v>1</v>
      </c>
      <c r="K19" s="9"/>
      <c r="N19" s="19" t="str">
        <f t="shared" si="1"/>
        <v>SANTA_BARBARA_13</v>
      </c>
      <c r="O19" s="19" t="str">
        <f>+VLOOKUP(B19,'DECRETOS PESTABILIZADO'!B:B,1,0)</f>
        <v>CHARRUA</v>
      </c>
      <c r="P19" s="9"/>
      <c r="Q19" s="31" t="s">
        <v>1373</v>
      </c>
      <c r="R19" s="32">
        <v>13</v>
      </c>
      <c r="S19" s="13">
        <f t="shared" si="0"/>
        <v>1</v>
      </c>
    </row>
    <row r="20" spans="1:19">
      <c r="A20">
        <v>15</v>
      </c>
      <c r="B20" t="s">
        <v>1454</v>
      </c>
      <c r="C20">
        <v>220</v>
      </c>
      <c r="D20" t="s">
        <v>1318</v>
      </c>
      <c r="E20">
        <v>13</v>
      </c>
      <c r="F20">
        <v>7.4059647280275333E-3</v>
      </c>
      <c r="G20" s="14" t="str">
        <f>+'PMG(D) segun remuneracion'!$K$1</f>
        <v>01-09-2026</v>
      </c>
      <c r="H20" s="14" t="str">
        <f>+'PMG(D) segun remuneracion'!$K$2</f>
        <v>30-09-2026</v>
      </c>
      <c r="I20" s="9">
        <f>+'PMG(D) segun remuneracion'!$K$3</f>
        <v>2</v>
      </c>
      <c r="J20" s="9">
        <f>+'PMG(D) segun remuneracion'!$K$4</f>
        <v>1</v>
      </c>
      <c r="K20" s="9"/>
      <c r="N20" s="19" t="str">
        <f t="shared" si="1"/>
        <v>SANTA_BARBARA_13</v>
      </c>
      <c r="O20" s="19" t="str">
        <f>+VLOOKUP(B20,'DECRETOS PESTABILIZADO'!B:B,1,0)</f>
        <v>TEMUCO</v>
      </c>
      <c r="P20" s="9"/>
      <c r="Q20" s="31" t="s">
        <v>355</v>
      </c>
      <c r="R20" s="32">
        <v>23</v>
      </c>
      <c r="S20" s="13">
        <f t="shared" si="0"/>
        <v>1</v>
      </c>
    </row>
    <row r="21" spans="1:19">
      <c r="A21">
        <v>15</v>
      </c>
      <c r="B21" t="s">
        <v>9</v>
      </c>
      <c r="C21">
        <v>220</v>
      </c>
      <c r="D21" t="s">
        <v>1460</v>
      </c>
      <c r="E21">
        <v>13</v>
      </c>
      <c r="F21">
        <v>0.3722988075759851</v>
      </c>
      <c r="G21" s="14" t="str">
        <f>+'PMG(D) segun remuneracion'!$K$1</f>
        <v>01-09-2026</v>
      </c>
      <c r="H21" s="14" t="str">
        <f>+'PMG(D) segun remuneracion'!$K$2</f>
        <v>30-09-2026</v>
      </c>
      <c r="I21" s="9">
        <f>+'PMG(D) segun remuneracion'!$K$3</f>
        <v>2</v>
      </c>
      <c r="J21" s="9">
        <f>+'PMG(D) segun remuneracion'!$K$4</f>
        <v>1</v>
      </c>
      <c r="K21" s="9"/>
      <c r="N21" s="19" t="str">
        <f t="shared" si="1"/>
        <v>TENO_13</v>
      </c>
      <c r="O21" s="19" t="str">
        <f>+VLOOKUP(B21,'DECRETOS PESTABILIZADO'!B:B,1,0)</f>
        <v>A.JAHUEL</v>
      </c>
      <c r="P21" s="9"/>
      <c r="Q21" s="31" t="s">
        <v>204</v>
      </c>
      <c r="R21" s="32">
        <v>23</v>
      </c>
      <c r="S21" s="13">
        <f t="shared" si="0"/>
        <v>1</v>
      </c>
    </row>
    <row r="22" spans="1:19">
      <c r="A22">
        <v>15</v>
      </c>
      <c r="B22" t="s">
        <v>248</v>
      </c>
      <c r="C22">
        <v>220</v>
      </c>
      <c r="D22" t="s">
        <v>1460</v>
      </c>
      <c r="E22">
        <v>13</v>
      </c>
      <c r="F22">
        <v>2.3195094135093675E-2</v>
      </c>
      <c r="G22" s="14" t="str">
        <f>+'PMG(D) segun remuneracion'!$K$1</f>
        <v>01-09-2026</v>
      </c>
      <c r="H22" s="14" t="str">
        <f>+'PMG(D) segun remuneracion'!$K$2</f>
        <v>30-09-2026</v>
      </c>
      <c r="I22" s="9">
        <f>+'PMG(D) segun remuneracion'!$K$3</f>
        <v>2</v>
      </c>
      <c r="J22" s="9">
        <f>+'PMG(D) segun remuneracion'!$K$4</f>
        <v>1</v>
      </c>
      <c r="K22" s="9"/>
      <c r="N22" s="19" t="str">
        <f t="shared" si="1"/>
        <v>TENO_13</v>
      </c>
      <c r="O22" s="19" t="str">
        <f>+VLOOKUP(B22,'DECRETOS PESTABILIZADO'!B:B,1,0)</f>
        <v>CHARRUA</v>
      </c>
      <c r="P22" s="9"/>
      <c r="Q22" s="31" t="s">
        <v>132</v>
      </c>
      <c r="R22" s="32">
        <v>13</v>
      </c>
      <c r="S22" s="13">
        <f t="shared" si="0"/>
        <v>0.99999999999999989</v>
      </c>
    </row>
    <row r="23" spans="1:19">
      <c r="A23">
        <v>15</v>
      </c>
      <c r="B23" t="s">
        <v>548</v>
      </c>
      <c r="C23">
        <v>220</v>
      </c>
      <c r="D23" t="s">
        <v>1460</v>
      </c>
      <c r="E23">
        <v>13</v>
      </c>
      <c r="F23">
        <v>0.59764782165026298</v>
      </c>
      <c r="G23" s="14" t="str">
        <f>+'PMG(D) segun remuneracion'!$K$1</f>
        <v>01-09-2026</v>
      </c>
      <c r="H23" s="14" t="str">
        <f>+'PMG(D) segun remuneracion'!$K$2</f>
        <v>30-09-2026</v>
      </c>
      <c r="I23" s="9">
        <f>+'PMG(D) segun remuneracion'!$K$3</f>
        <v>2</v>
      </c>
      <c r="J23" s="9">
        <f>+'PMG(D) segun remuneracion'!$K$4</f>
        <v>1</v>
      </c>
      <c r="K23" s="9"/>
      <c r="N23" s="19" t="str">
        <f t="shared" si="1"/>
        <v>TENO_13</v>
      </c>
      <c r="O23" s="19" t="str">
        <f>+VLOOKUP(B23,'DECRETOS PESTABILIZADO'!B:B,1,0)</f>
        <v>ITAHUE</v>
      </c>
      <c r="P23" s="9"/>
      <c r="Q23" s="31" t="s">
        <v>48</v>
      </c>
      <c r="R23" s="32">
        <v>23</v>
      </c>
      <c r="S23" s="13">
        <f t="shared" si="0"/>
        <v>1</v>
      </c>
    </row>
    <row r="24" spans="1:19">
      <c r="A24">
        <v>15</v>
      </c>
      <c r="B24" t="s">
        <v>14</v>
      </c>
      <c r="C24">
        <v>220</v>
      </c>
      <c r="D24" t="s">
        <v>1460</v>
      </c>
      <c r="E24">
        <v>13</v>
      </c>
      <c r="F24">
        <v>4.8932021323587109E-3</v>
      </c>
      <c r="G24" s="14" t="str">
        <f>+'PMG(D) segun remuneracion'!$K$1</f>
        <v>01-09-2026</v>
      </c>
      <c r="H24" s="14" t="str">
        <f>+'PMG(D) segun remuneracion'!$K$2</f>
        <v>30-09-2026</v>
      </c>
      <c r="I24" s="9">
        <f>+'PMG(D) segun remuneracion'!$K$3</f>
        <v>2</v>
      </c>
      <c r="J24" s="9">
        <f>+'PMG(D) segun remuneracion'!$K$4</f>
        <v>1</v>
      </c>
      <c r="K24" s="9"/>
      <c r="N24" s="19" t="str">
        <f t="shared" si="1"/>
        <v>TENO_13</v>
      </c>
      <c r="O24" s="19" t="str">
        <f>+VLOOKUP(B24,'DECRETOS PESTABILIZADO'!B:B,1,0)</f>
        <v>A.MELIP</v>
      </c>
      <c r="P24" s="9"/>
      <c r="Q24" s="31" t="s">
        <v>405</v>
      </c>
      <c r="R24" s="32">
        <v>23</v>
      </c>
      <c r="S24" s="13">
        <f t="shared" si="0"/>
        <v>1</v>
      </c>
    </row>
    <row r="25" spans="1:19">
      <c r="A25">
        <v>15</v>
      </c>
      <c r="B25" t="s">
        <v>1197</v>
      </c>
      <c r="C25">
        <v>220</v>
      </c>
      <c r="D25" t="s">
        <v>1460</v>
      </c>
      <c r="E25">
        <v>13</v>
      </c>
      <c r="F25">
        <v>1.965074506299853E-3</v>
      </c>
      <c r="G25" s="14" t="str">
        <f>+'PMG(D) segun remuneracion'!$K$1</f>
        <v>01-09-2026</v>
      </c>
      <c r="H25" s="14" t="str">
        <f>+'PMG(D) segun remuneracion'!$K$2</f>
        <v>30-09-2026</v>
      </c>
      <c r="I25" s="9">
        <f>+'PMG(D) segun remuneracion'!$K$3</f>
        <v>2</v>
      </c>
      <c r="J25" s="9">
        <f>+'PMG(D) segun remuneracion'!$K$4</f>
        <v>1</v>
      </c>
      <c r="K25" s="9"/>
      <c r="N25" s="19" t="str">
        <f t="shared" si="1"/>
        <v>TENO_13</v>
      </c>
      <c r="O25" s="19" t="str">
        <f>+VLOOKUP(B25,'DECRETOS PESTABILIZADO'!B:B,1,0)</f>
        <v>RAPEL</v>
      </c>
      <c r="P25" s="9"/>
      <c r="Q25" s="31" t="s">
        <v>1401</v>
      </c>
      <c r="R25" s="32">
        <v>66</v>
      </c>
      <c r="S25" s="13">
        <f t="shared" si="0"/>
        <v>1.0000000000000002</v>
      </c>
    </row>
    <row r="26" spans="1:19">
      <c r="A26">
        <v>15</v>
      </c>
      <c r="B26" t="s">
        <v>9</v>
      </c>
      <c r="C26">
        <v>220</v>
      </c>
      <c r="D26" t="s">
        <v>1286</v>
      </c>
      <c r="E26">
        <v>13</v>
      </c>
      <c r="F26">
        <v>0.5939223692237211</v>
      </c>
      <c r="G26" s="14" t="str">
        <f>+'PMG(D) segun remuneracion'!$K$1</f>
        <v>01-09-2026</v>
      </c>
      <c r="H26" s="14" t="str">
        <f>+'PMG(D) segun remuneracion'!$K$2</f>
        <v>30-09-2026</v>
      </c>
      <c r="I26" s="9">
        <f>+'PMG(D) segun remuneracion'!$K$3</f>
        <v>2</v>
      </c>
      <c r="J26" s="9">
        <f>+'PMG(D) segun remuneracion'!$K$4</f>
        <v>1</v>
      </c>
      <c r="K26" s="9"/>
      <c r="N26" s="19" t="str">
        <f t="shared" si="1"/>
        <v>S.VICENTETT_13</v>
      </c>
      <c r="O26" s="19" t="str">
        <f>+VLOOKUP(B26,'DECRETOS PESTABILIZADO'!B:B,1,0)</f>
        <v>A.JAHUEL</v>
      </c>
      <c r="P26" s="9"/>
    </row>
    <row r="27" spans="1:19">
      <c r="A27">
        <v>15</v>
      </c>
      <c r="B27" t="s">
        <v>248</v>
      </c>
      <c r="C27">
        <v>220</v>
      </c>
      <c r="D27" t="s">
        <v>1286</v>
      </c>
      <c r="E27">
        <v>13</v>
      </c>
      <c r="F27">
        <v>9.5557898629526749E-3</v>
      </c>
      <c r="G27" s="14" t="str">
        <f>+'PMG(D) segun remuneracion'!$K$1</f>
        <v>01-09-2026</v>
      </c>
      <c r="H27" s="14" t="str">
        <f>+'PMG(D) segun remuneracion'!$K$2</f>
        <v>30-09-2026</v>
      </c>
      <c r="I27" s="9">
        <f>+'PMG(D) segun remuneracion'!$K$3</f>
        <v>2</v>
      </c>
      <c r="J27" s="9">
        <f>+'PMG(D) segun remuneracion'!$K$4</f>
        <v>1</v>
      </c>
      <c r="K27" s="9"/>
      <c r="N27" s="19" t="str">
        <f t="shared" si="1"/>
        <v>S.VICENTETT_13</v>
      </c>
      <c r="O27" s="19" t="str">
        <f>+VLOOKUP(B27,'DECRETOS PESTABILIZADO'!B:B,1,0)</f>
        <v>CHARRUA</v>
      </c>
      <c r="P27" s="9"/>
    </row>
    <row r="28" spans="1:19">
      <c r="A28">
        <v>15</v>
      </c>
      <c r="B28" t="s">
        <v>548</v>
      </c>
      <c r="C28">
        <v>220</v>
      </c>
      <c r="D28" t="s">
        <v>1286</v>
      </c>
      <c r="E28">
        <v>13</v>
      </c>
      <c r="F28">
        <v>0.3875652847354778</v>
      </c>
      <c r="G28" s="14" t="str">
        <f>+'PMG(D) segun remuneracion'!$K$1</f>
        <v>01-09-2026</v>
      </c>
      <c r="H28" s="14" t="str">
        <f>+'PMG(D) segun remuneracion'!$K$2</f>
        <v>30-09-2026</v>
      </c>
      <c r="I28" s="9">
        <f>+'PMG(D) segun remuneracion'!$K$3</f>
        <v>2</v>
      </c>
      <c r="J28" s="9">
        <f>+'PMG(D) segun remuneracion'!$K$4</f>
        <v>1</v>
      </c>
      <c r="K28" s="9"/>
      <c r="N28" s="19" t="str">
        <f t="shared" si="1"/>
        <v>S.VICENTETT_13</v>
      </c>
      <c r="O28" s="19" t="str">
        <f>+VLOOKUP(B28,'DECRETOS PESTABILIZADO'!B:B,1,0)</f>
        <v>ITAHUE</v>
      </c>
      <c r="P28" s="9"/>
    </row>
    <row r="29" spans="1:19">
      <c r="A29">
        <v>15</v>
      </c>
      <c r="B29" t="s">
        <v>14</v>
      </c>
      <c r="C29">
        <v>220</v>
      </c>
      <c r="D29" t="s">
        <v>1286</v>
      </c>
      <c r="E29">
        <v>13</v>
      </c>
      <c r="F29">
        <v>6.4085327207687058E-3</v>
      </c>
      <c r="G29" s="14" t="str">
        <f>+'PMG(D) segun remuneracion'!$K$1</f>
        <v>01-09-2026</v>
      </c>
      <c r="H29" s="14" t="str">
        <f>+'PMG(D) segun remuneracion'!$K$2</f>
        <v>30-09-2026</v>
      </c>
      <c r="I29" s="9">
        <f>+'PMG(D) segun remuneracion'!$K$3</f>
        <v>2</v>
      </c>
      <c r="J29" s="9">
        <f>+'PMG(D) segun remuneracion'!$K$4</f>
        <v>1</v>
      </c>
      <c r="K29" s="9"/>
      <c r="N29" s="19" t="str">
        <f t="shared" si="1"/>
        <v>S.VICENTETT_13</v>
      </c>
      <c r="O29" s="19" t="str">
        <f>+VLOOKUP(B29,'DECRETOS PESTABILIZADO'!B:B,1,0)</f>
        <v>A.MELIP</v>
      </c>
      <c r="P29" s="9"/>
    </row>
    <row r="30" spans="1:19">
      <c r="A30">
        <v>15</v>
      </c>
      <c r="B30" t="s">
        <v>1197</v>
      </c>
      <c r="C30">
        <v>220</v>
      </c>
      <c r="D30" t="s">
        <v>1286</v>
      </c>
      <c r="E30">
        <v>13</v>
      </c>
      <c r="F30">
        <v>2.5480234570798097E-3</v>
      </c>
      <c r="G30" s="14" t="str">
        <f>+'PMG(D) segun remuneracion'!$K$1</f>
        <v>01-09-2026</v>
      </c>
      <c r="H30" s="14" t="str">
        <f>+'PMG(D) segun remuneracion'!$K$2</f>
        <v>30-09-2026</v>
      </c>
      <c r="I30" s="9">
        <f>+'PMG(D) segun remuneracion'!$K$3</f>
        <v>2</v>
      </c>
      <c r="J30" s="9">
        <f>+'PMG(D) segun remuneracion'!$K$4</f>
        <v>1</v>
      </c>
      <c r="K30" s="9"/>
      <c r="N30" s="19" t="str">
        <f t="shared" si="1"/>
        <v>S.VICENTETT_13</v>
      </c>
      <c r="O30" s="19" t="str">
        <f>+VLOOKUP(B30,'DECRETOS PESTABILIZADO'!B:B,1,0)</f>
        <v>RAPEL</v>
      </c>
      <c r="P30" s="9"/>
    </row>
    <row r="31" spans="1:19">
      <c r="A31">
        <v>15</v>
      </c>
      <c r="B31" t="s">
        <v>9</v>
      </c>
      <c r="C31">
        <v>220</v>
      </c>
      <c r="D31" t="s">
        <v>1347</v>
      </c>
      <c r="E31">
        <v>23</v>
      </c>
      <c r="F31">
        <v>1.2725311438939368E-3</v>
      </c>
      <c r="G31" s="14" t="str">
        <f>+'PMG(D) segun remuneracion'!$K$1</f>
        <v>01-09-2026</v>
      </c>
      <c r="H31" s="14" t="str">
        <f>+'PMG(D) segun remuneracion'!$K$2</f>
        <v>30-09-2026</v>
      </c>
      <c r="I31" s="9">
        <f>+'PMG(D) segun remuneracion'!$K$3</f>
        <v>2</v>
      </c>
      <c r="J31" s="9">
        <f>+'PMG(D) segun remuneracion'!$K$4</f>
        <v>1</v>
      </c>
      <c r="K31" s="9"/>
      <c r="N31" s="19" t="str">
        <f t="shared" si="1"/>
        <v>STA.ROSA_23</v>
      </c>
      <c r="O31" s="19" t="str">
        <f>+VLOOKUP(B31,'DECRETOS PESTABILIZADO'!B:B,1,0)</f>
        <v>A.JAHUEL</v>
      </c>
      <c r="P31" s="9"/>
    </row>
    <row r="32" spans="1:19">
      <c r="A32">
        <v>15</v>
      </c>
      <c r="B32" t="s">
        <v>248</v>
      </c>
      <c r="C32">
        <v>220</v>
      </c>
      <c r="D32" t="s">
        <v>1347</v>
      </c>
      <c r="E32">
        <v>23</v>
      </c>
      <c r="F32">
        <v>2.0048574082343448E-3</v>
      </c>
      <c r="G32" s="14" t="str">
        <f>+'PMG(D) segun remuneracion'!$K$1</f>
        <v>01-09-2026</v>
      </c>
      <c r="H32" s="14" t="str">
        <f>+'PMG(D) segun remuneracion'!$K$2</f>
        <v>30-09-2026</v>
      </c>
      <c r="I32" s="9">
        <f>+'PMG(D) segun remuneracion'!$K$3</f>
        <v>2</v>
      </c>
      <c r="J32" s="9">
        <f>+'PMG(D) segun remuneracion'!$K$4</f>
        <v>1</v>
      </c>
      <c r="K32" s="9"/>
      <c r="N32" s="19" t="str">
        <f t="shared" si="1"/>
        <v>STA.ROSA_23</v>
      </c>
      <c r="O32" s="19" t="str">
        <f>+VLOOKUP(B32,'DECRETOS PESTABILIZADO'!B:B,1,0)</f>
        <v>CHARRUA</v>
      </c>
      <c r="P32" s="9"/>
    </row>
    <row r="33" spans="1:16">
      <c r="A33">
        <v>15</v>
      </c>
      <c r="B33" t="s">
        <v>548</v>
      </c>
      <c r="C33">
        <v>220</v>
      </c>
      <c r="D33" t="s">
        <v>1347</v>
      </c>
      <c r="E33">
        <v>23</v>
      </c>
      <c r="F33">
        <v>6.3483513215676591E-3</v>
      </c>
      <c r="G33" s="14" t="str">
        <f>+'PMG(D) segun remuneracion'!$K$1</f>
        <v>01-09-2026</v>
      </c>
      <c r="H33" s="14" t="str">
        <f>+'PMG(D) segun remuneracion'!$K$2</f>
        <v>30-09-2026</v>
      </c>
      <c r="I33" s="9">
        <f>+'PMG(D) segun remuneracion'!$K$3</f>
        <v>2</v>
      </c>
      <c r="J33" s="9">
        <f>+'PMG(D) segun remuneracion'!$K$4</f>
        <v>1</v>
      </c>
      <c r="K33" s="9"/>
      <c r="N33" s="19" t="str">
        <f t="shared" si="1"/>
        <v>STA.ROSA_23</v>
      </c>
      <c r="O33" s="19" t="str">
        <f>+VLOOKUP(B33,'DECRETOS PESTABILIZADO'!B:B,1,0)</f>
        <v>ITAHUE</v>
      </c>
      <c r="P33" s="9"/>
    </row>
    <row r="34" spans="1:16">
      <c r="A34">
        <v>15</v>
      </c>
      <c r="B34" t="s">
        <v>14</v>
      </c>
      <c r="C34">
        <v>220</v>
      </c>
      <c r="D34" t="s">
        <v>1347</v>
      </c>
      <c r="E34">
        <v>23</v>
      </c>
      <c r="F34">
        <v>0.16871387737945528</v>
      </c>
      <c r="G34" s="14" t="str">
        <f>+'PMG(D) segun remuneracion'!$K$1</f>
        <v>01-09-2026</v>
      </c>
      <c r="H34" s="14" t="str">
        <f>+'PMG(D) segun remuneracion'!$K$2</f>
        <v>30-09-2026</v>
      </c>
      <c r="I34" s="9">
        <f>+'PMG(D) segun remuneracion'!$K$3</f>
        <v>2</v>
      </c>
      <c r="J34" s="9">
        <f>+'PMG(D) segun remuneracion'!$K$4</f>
        <v>1</v>
      </c>
      <c r="K34" s="9"/>
      <c r="N34" s="19" t="str">
        <f t="shared" si="1"/>
        <v>STA.ROSA_23</v>
      </c>
      <c r="O34" s="19" t="str">
        <f>+VLOOKUP(B34,'DECRETOS PESTABILIZADO'!B:B,1,0)</f>
        <v>A.MELIP</v>
      </c>
      <c r="P34" s="9"/>
    </row>
    <row r="35" spans="1:16">
      <c r="A35">
        <v>15</v>
      </c>
      <c r="B35" t="s">
        <v>1197</v>
      </c>
      <c r="C35">
        <v>220</v>
      </c>
      <c r="D35" t="s">
        <v>1347</v>
      </c>
      <c r="E35">
        <v>23</v>
      </c>
      <c r="F35">
        <v>0.82166038274684872</v>
      </c>
      <c r="G35" s="14" t="str">
        <f>+'PMG(D) segun remuneracion'!$K$1</f>
        <v>01-09-2026</v>
      </c>
      <c r="H35" s="14" t="str">
        <f>+'PMG(D) segun remuneracion'!$K$2</f>
        <v>30-09-2026</v>
      </c>
      <c r="I35" s="9">
        <f>+'PMG(D) segun remuneracion'!$K$3</f>
        <v>2</v>
      </c>
      <c r="J35" s="9">
        <f>+'PMG(D) segun remuneracion'!$K$4</f>
        <v>1</v>
      </c>
      <c r="K35" s="9"/>
      <c r="N35" s="19" t="str">
        <f t="shared" si="1"/>
        <v>STA.ROSA_23</v>
      </c>
      <c r="O35" s="19" t="str">
        <f>+VLOOKUP(B35,'DECRETOS PESTABILIZADO'!B:B,1,0)</f>
        <v>RAPEL</v>
      </c>
      <c r="P35" s="9"/>
    </row>
    <row r="36" spans="1:16">
      <c r="A36">
        <v>15</v>
      </c>
      <c r="B36" t="s">
        <v>9</v>
      </c>
      <c r="C36">
        <v>220</v>
      </c>
      <c r="D36" t="s">
        <v>474</v>
      </c>
      <c r="E36">
        <v>13</v>
      </c>
      <c r="F36">
        <v>0.27531447313857244</v>
      </c>
      <c r="G36" s="14" t="str">
        <f>+'PMG(D) segun remuneracion'!$K$1</f>
        <v>01-09-2026</v>
      </c>
      <c r="H36" s="14" t="str">
        <f>+'PMG(D) segun remuneracion'!$K$2</f>
        <v>30-09-2026</v>
      </c>
      <c r="I36" s="9">
        <f>+'PMG(D) segun remuneracion'!$K$3</f>
        <v>2</v>
      </c>
      <c r="J36" s="9">
        <f>+'PMG(D) segun remuneracion'!$K$4</f>
        <v>1</v>
      </c>
      <c r="K36" s="9"/>
      <c r="N36" s="19" t="str">
        <f t="shared" si="1"/>
        <v>ESPERANZA_13</v>
      </c>
      <c r="O36" s="19" t="str">
        <f>+VLOOKUP(B36,'DECRETOS PESTABILIZADO'!B:B,1,0)</f>
        <v>A.JAHUEL</v>
      </c>
      <c r="P36" s="9"/>
    </row>
    <row r="37" spans="1:16">
      <c r="A37">
        <v>15</v>
      </c>
      <c r="B37" t="s">
        <v>248</v>
      </c>
      <c r="C37">
        <v>220</v>
      </c>
      <c r="D37" t="s">
        <v>474</v>
      </c>
      <c r="E37">
        <v>13</v>
      </c>
      <c r="F37">
        <v>3.8429576082169695E-2</v>
      </c>
      <c r="G37" s="14" t="str">
        <f>+'PMG(D) segun remuneracion'!$K$1</f>
        <v>01-09-2026</v>
      </c>
      <c r="H37" s="14" t="str">
        <f>+'PMG(D) segun remuneracion'!$K$2</f>
        <v>30-09-2026</v>
      </c>
      <c r="I37" s="9">
        <f>+'PMG(D) segun remuneracion'!$K$3</f>
        <v>2</v>
      </c>
      <c r="J37" s="9">
        <f>+'PMG(D) segun remuneracion'!$K$4</f>
        <v>1</v>
      </c>
      <c r="K37" s="9"/>
      <c r="N37" s="19" t="str">
        <f t="shared" si="1"/>
        <v>ESPERANZA_13</v>
      </c>
      <c r="O37" s="19" t="str">
        <f>+VLOOKUP(B37,'DECRETOS PESTABILIZADO'!B:B,1,0)</f>
        <v>CHARRUA</v>
      </c>
      <c r="P37" s="9"/>
    </row>
    <row r="38" spans="1:16">
      <c r="A38">
        <v>15</v>
      </c>
      <c r="B38" t="s">
        <v>548</v>
      </c>
      <c r="C38">
        <v>220</v>
      </c>
      <c r="D38" t="s">
        <v>474</v>
      </c>
      <c r="E38">
        <v>13</v>
      </c>
      <c r="F38">
        <v>0.41260556912447971</v>
      </c>
      <c r="G38" s="14" t="str">
        <f>+'PMG(D) segun remuneracion'!$K$1</f>
        <v>01-09-2026</v>
      </c>
      <c r="H38" s="14" t="str">
        <f>+'PMG(D) segun remuneracion'!$K$2</f>
        <v>30-09-2026</v>
      </c>
      <c r="I38" s="9">
        <f>+'PMG(D) segun remuneracion'!$K$3</f>
        <v>2</v>
      </c>
      <c r="J38" s="9">
        <f>+'PMG(D) segun remuneracion'!$K$4</f>
        <v>1</v>
      </c>
      <c r="K38" s="9"/>
      <c r="N38" s="19" t="str">
        <f t="shared" si="1"/>
        <v>ESPERANZA_13</v>
      </c>
      <c r="O38" s="19" t="str">
        <f>+VLOOKUP(B38,'DECRETOS PESTABILIZADO'!B:B,1,0)</f>
        <v>ITAHUE</v>
      </c>
      <c r="P38" s="9"/>
    </row>
    <row r="39" spans="1:16">
      <c r="A39">
        <v>15</v>
      </c>
      <c r="B39" t="s">
        <v>14</v>
      </c>
      <c r="C39">
        <v>220</v>
      </c>
      <c r="D39" t="s">
        <v>474</v>
      </c>
      <c r="E39">
        <v>13</v>
      </c>
      <c r="F39">
        <v>5.8817328708917718E-2</v>
      </c>
      <c r="G39" s="14" t="str">
        <f>+'PMG(D) segun remuneracion'!$K$1</f>
        <v>01-09-2026</v>
      </c>
      <c r="H39" s="14" t="str">
        <f>+'PMG(D) segun remuneracion'!$K$2</f>
        <v>30-09-2026</v>
      </c>
      <c r="I39" s="9">
        <f>+'PMG(D) segun remuneracion'!$K$3</f>
        <v>2</v>
      </c>
      <c r="J39" s="9">
        <f>+'PMG(D) segun remuneracion'!$K$4</f>
        <v>1</v>
      </c>
      <c r="K39" s="9"/>
      <c r="N39" s="19" t="str">
        <f t="shared" si="1"/>
        <v>ESPERANZA_13</v>
      </c>
      <c r="O39" s="19" t="str">
        <f>+VLOOKUP(B39,'DECRETOS PESTABILIZADO'!B:B,1,0)</f>
        <v>A.MELIP</v>
      </c>
      <c r="P39" s="9"/>
    </row>
    <row r="40" spans="1:16">
      <c r="A40">
        <v>15</v>
      </c>
      <c r="B40" t="s">
        <v>1197</v>
      </c>
      <c r="C40">
        <v>220</v>
      </c>
      <c r="D40" t="s">
        <v>474</v>
      </c>
      <c r="E40">
        <v>13</v>
      </c>
      <c r="F40">
        <v>0.21483305294586041</v>
      </c>
      <c r="G40" s="14" t="str">
        <f>+'PMG(D) segun remuneracion'!$K$1</f>
        <v>01-09-2026</v>
      </c>
      <c r="H40" s="14" t="str">
        <f>+'PMG(D) segun remuneracion'!$K$2</f>
        <v>30-09-2026</v>
      </c>
      <c r="I40" s="9">
        <f>+'PMG(D) segun remuneracion'!$K$3</f>
        <v>2</v>
      </c>
      <c r="J40" s="9">
        <f>+'PMG(D) segun remuneracion'!$K$4</f>
        <v>1</v>
      </c>
      <c r="K40" s="9"/>
      <c r="N40" s="19" t="str">
        <f t="shared" si="1"/>
        <v>ESPERANZA_13</v>
      </c>
      <c r="O40" s="19" t="str">
        <f>+VLOOKUP(B40,'DECRETOS PESTABILIZADO'!B:B,1,0)</f>
        <v>RAPEL</v>
      </c>
      <c r="P40" s="9"/>
    </row>
    <row r="41" spans="1:16">
      <c r="A41">
        <v>15</v>
      </c>
      <c r="B41" t="s">
        <v>589</v>
      </c>
      <c r="C41">
        <v>220</v>
      </c>
      <c r="D41" t="s">
        <v>1077</v>
      </c>
      <c r="E41">
        <v>13</v>
      </c>
      <c r="F41">
        <v>0.10273379955269334</v>
      </c>
      <c r="G41" s="14" t="str">
        <f>+'PMG(D) segun remuneracion'!$K$1</f>
        <v>01-09-2026</v>
      </c>
      <c r="H41" s="14" t="str">
        <f>+'PMG(D) segun remuneracion'!$K$2</f>
        <v>30-09-2026</v>
      </c>
      <c r="I41" s="9">
        <f>+'PMG(D) segun remuneracion'!$K$3</f>
        <v>2</v>
      </c>
      <c r="J41" s="9">
        <f>+'PMG(D) segun remuneracion'!$K$4</f>
        <v>1</v>
      </c>
      <c r="K41" s="9"/>
      <c r="N41" s="19" t="str">
        <f t="shared" si="1"/>
        <v>PLACERES_13</v>
      </c>
      <c r="O41" s="19" t="str">
        <f>+VLOOKUP(B41,'DECRETOS PESTABILIZADO'!B:B,1,0)</f>
        <v>L.MAQUIS</v>
      </c>
      <c r="P41" s="9"/>
    </row>
    <row r="42" spans="1:16">
      <c r="A42">
        <v>15</v>
      </c>
      <c r="B42" t="s">
        <v>14</v>
      </c>
      <c r="C42">
        <v>220</v>
      </c>
      <c r="D42" t="s">
        <v>1077</v>
      </c>
      <c r="E42">
        <v>13</v>
      </c>
      <c r="F42">
        <v>0.10741200708551434</v>
      </c>
      <c r="G42" s="14" t="str">
        <f>+'PMG(D) segun remuneracion'!$K$1</f>
        <v>01-09-2026</v>
      </c>
      <c r="H42" s="14" t="str">
        <f>+'PMG(D) segun remuneracion'!$K$2</f>
        <v>30-09-2026</v>
      </c>
      <c r="I42" s="9">
        <f>+'PMG(D) segun remuneracion'!$K$3</f>
        <v>2</v>
      </c>
      <c r="J42" s="9">
        <f>+'PMG(D) segun remuneracion'!$K$4</f>
        <v>1</v>
      </c>
      <c r="K42" s="9"/>
      <c r="N42" s="19" t="str">
        <f t="shared" si="1"/>
        <v>PLACERES_13</v>
      </c>
      <c r="O42" s="19" t="str">
        <f>+VLOOKUP(B42,'DECRETOS PESTABILIZADO'!B:B,1,0)</f>
        <v>A.MELIP</v>
      </c>
      <c r="P42" s="9"/>
    </row>
    <row r="43" spans="1:16">
      <c r="A43">
        <v>15</v>
      </c>
      <c r="B43" t="s">
        <v>911</v>
      </c>
      <c r="C43">
        <v>220</v>
      </c>
      <c r="D43" t="s">
        <v>1077</v>
      </c>
      <c r="E43">
        <v>13</v>
      </c>
      <c r="F43">
        <v>0.14420884025433656</v>
      </c>
      <c r="G43" s="14" t="str">
        <f>+'PMG(D) segun remuneracion'!$K$1</f>
        <v>01-09-2026</v>
      </c>
      <c r="H43" s="14" t="str">
        <f>+'PMG(D) segun remuneracion'!$K$2</f>
        <v>30-09-2026</v>
      </c>
      <c r="I43" s="9">
        <f>+'PMG(D) segun remuneracion'!$K$3</f>
        <v>2</v>
      </c>
      <c r="J43" s="9">
        <f>+'PMG(D) segun remuneracion'!$K$4</f>
        <v>1</v>
      </c>
      <c r="K43" s="9"/>
      <c r="N43" s="19" t="str">
        <f t="shared" si="1"/>
        <v>PLACERES_13</v>
      </c>
      <c r="O43" s="19" t="str">
        <f>+VLOOKUP(B43,'DECRETOS PESTABILIZADO'!B:B,1,0)</f>
        <v>NOGALES</v>
      </c>
      <c r="P43" s="9"/>
    </row>
    <row r="44" spans="1:16">
      <c r="A44">
        <v>15</v>
      </c>
      <c r="B44" t="s">
        <v>1151</v>
      </c>
      <c r="C44">
        <v>220</v>
      </c>
      <c r="D44" t="s">
        <v>1077</v>
      </c>
      <c r="E44">
        <v>13</v>
      </c>
      <c r="F44">
        <v>0.64564535310745574</v>
      </c>
      <c r="G44" s="14" t="str">
        <f>+'PMG(D) segun remuneracion'!$K$1</f>
        <v>01-09-2026</v>
      </c>
      <c r="H44" s="14" t="str">
        <f>+'PMG(D) segun remuneracion'!$K$2</f>
        <v>30-09-2026</v>
      </c>
      <c r="I44" s="9">
        <f>+'PMG(D) segun remuneracion'!$K$3</f>
        <v>2</v>
      </c>
      <c r="J44" s="9">
        <f>+'PMG(D) segun remuneracion'!$K$4</f>
        <v>1</v>
      </c>
      <c r="K44" s="9"/>
      <c r="N44" s="19" t="str">
        <f t="shared" si="1"/>
        <v>PLACERES_13</v>
      </c>
      <c r="O44" s="19" t="str">
        <f>+VLOOKUP(B44,'DECRETOS PESTABILIZADO'!B:B,1,0)</f>
        <v>QUILLOTA</v>
      </c>
      <c r="P44" s="9"/>
    </row>
    <row r="45" spans="1:16">
      <c r="A45">
        <v>15</v>
      </c>
      <c r="B45" t="s">
        <v>589</v>
      </c>
      <c r="C45">
        <v>220</v>
      </c>
      <c r="D45" t="s">
        <v>858</v>
      </c>
      <c r="E45">
        <v>13</v>
      </c>
      <c r="F45">
        <v>9.6517570672680325E-2</v>
      </c>
      <c r="G45" s="14" t="str">
        <f>+'PMG(D) segun remuneracion'!$K$1</f>
        <v>01-09-2026</v>
      </c>
      <c r="H45" s="14" t="str">
        <f>+'PMG(D) segun remuneracion'!$K$2</f>
        <v>30-09-2026</v>
      </c>
      <c r="I45" s="9">
        <f>+'PMG(D) segun remuneracion'!$K$3</f>
        <v>2</v>
      </c>
      <c r="J45" s="9">
        <f>+'PMG(D) segun remuneracion'!$K$4</f>
        <v>1</v>
      </c>
      <c r="K45" s="9"/>
      <c r="N45" s="19" t="str">
        <f t="shared" si="1"/>
        <v>MIRAFLORES_13</v>
      </c>
      <c r="O45" s="19" t="str">
        <f>+VLOOKUP(B45,'DECRETOS PESTABILIZADO'!B:B,1,0)</f>
        <v>L.MAQUIS</v>
      </c>
      <c r="P45" s="9"/>
    </row>
    <row r="46" spans="1:16">
      <c r="A46">
        <v>15</v>
      </c>
      <c r="B46" t="s">
        <v>14</v>
      </c>
      <c r="C46">
        <v>220</v>
      </c>
      <c r="D46" t="s">
        <v>858</v>
      </c>
      <c r="E46">
        <v>13</v>
      </c>
      <c r="F46">
        <v>5.0431934991832586E-2</v>
      </c>
      <c r="G46" s="14" t="str">
        <f>+'PMG(D) segun remuneracion'!$K$1</f>
        <v>01-09-2026</v>
      </c>
      <c r="H46" s="14" t="str">
        <f>+'PMG(D) segun remuneracion'!$K$2</f>
        <v>30-09-2026</v>
      </c>
      <c r="I46" s="9">
        <f>+'PMG(D) segun remuneracion'!$K$3</f>
        <v>2</v>
      </c>
      <c r="J46" s="9">
        <f>+'PMG(D) segun remuneracion'!$K$4</f>
        <v>1</v>
      </c>
      <c r="K46" s="9"/>
      <c r="N46" s="19" t="str">
        <f t="shared" si="1"/>
        <v>MIRAFLORES_13</v>
      </c>
      <c r="O46" s="19" t="str">
        <f>+VLOOKUP(B46,'DECRETOS PESTABILIZADO'!B:B,1,0)</f>
        <v>A.MELIP</v>
      </c>
      <c r="P46" s="9"/>
    </row>
    <row r="47" spans="1:16">
      <c r="A47">
        <v>15</v>
      </c>
      <c r="B47" t="s">
        <v>911</v>
      </c>
      <c r="C47">
        <v>220</v>
      </c>
      <c r="D47" t="s">
        <v>858</v>
      </c>
      <c r="E47">
        <v>13</v>
      </c>
      <c r="F47">
        <v>0.16386253035582163</v>
      </c>
      <c r="G47" s="14" t="str">
        <f>+'PMG(D) segun remuneracion'!$K$1</f>
        <v>01-09-2026</v>
      </c>
      <c r="H47" s="14" t="str">
        <f>+'PMG(D) segun remuneracion'!$K$2</f>
        <v>30-09-2026</v>
      </c>
      <c r="I47" s="9">
        <f>+'PMG(D) segun remuneracion'!$K$3</f>
        <v>2</v>
      </c>
      <c r="J47" s="9">
        <f>+'PMG(D) segun remuneracion'!$K$4</f>
        <v>1</v>
      </c>
      <c r="K47" s="9"/>
      <c r="N47" s="19" t="str">
        <f t="shared" si="1"/>
        <v>MIRAFLORES_13</v>
      </c>
      <c r="O47" s="19" t="str">
        <f>+VLOOKUP(B47,'DECRETOS PESTABILIZADO'!B:B,1,0)</f>
        <v>NOGALES</v>
      </c>
      <c r="P47" s="9"/>
    </row>
    <row r="48" spans="1:16">
      <c r="A48">
        <v>15</v>
      </c>
      <c r="B48" t="s">
        <v>1151</v>
      </c>
      <c r="C48">
        <v>220</v>
      </c>
      <c r="D48" t="s">
        <v>858</v>
      </c>
      <c r="E48">
        <v>13</v>
      </c>
      <c r="F48">
        <v>0.68918796397966542</v>
      </c>
      <c r="G48" s="14" t="str">
        <f>+'PMG(D) segun remuneracion'!$K$1</f>
        <v>01-09-2026</v>
      </c>
      <c r="H48" s="14" t="str">
        <f>+'PMG(D) segun remuneracion'!$K$2</f>
        <v>30-09-2026</v>
      </c>
      <c r="I48" s="9">
        <f>+'PMG(D) segun remuneracion'!$K$3</f>
        <v>2</v>
      </c>
      <c r="J48" s="9">
        <f>+'PMG(D) segun remuneracion'!$K$4</f>
        <v>1</v>
      </c>
      <c r="K48" s="9"/>
      <c r="N48" s="19" t="str">
        <f t="shared" si="1"/>
        <v>MIRAFLORES_13</v>
      </c>
      <c r="O48" s="19" t="str">
        <f>+VLOOKUP(B48,'DECRETOS PESTABILIZADO'!B:B,1,0)</f>
        <v>QUILLOTA</v>
      </c>
      <c r="P48" s="9"/>
    </row>
    <row r="49" spans="1:16">
      <c r="A49">
        <v>15</v>
      </c>
      <c r="B49" t="s">
        <v>9</v>
      </c>
      <c r="C49">
        <v>220</v>
      </c>
      <c r="D49" t="s">
        <v>161</v>
      </c>
      <c r="E49">
        <v>13</v>
      </c>
      <c r="F49">
        <v>3.1466380582461505E-2</v>
      </c>
      <c r="G49" s="14" t="str">
        <f>+'PMG(D) segun remuneracion'!$K$1</f>
        <v>01-09-2026</v>
      </c>
      <c r="H49" s="14" t="str">
        <f>+'PMG(D) segun remuneracion'!$K$2</f>
        <v>30-09-2026</v>
      </c>
      <c r="I49" s="9">
        <f>+'PMG(D) segun remuneracion'!$K$3</f>
        <v>2</v>
      </c>
      <c r="J49" s="9">
        <f>+'PMG(D) segun remuneracion'!$K$4</f>
        <v>1</v>
      </c>
      <c r="K49" s="9"/>
      <c r="N49" s="19" t="str">
        <f t="shared" si="1"/>
        <v>CABRERO_13</v>
      </c>
      <c r="O49" s="19" t="str">
        <f>+VLOOKUP(B49,'DECRETOS PESTABILIZADO'!B:B,1,0)</f>
        <v>A.JAHUEL</v>
      </c>
      <c r="P49" s="9"/>
    </row>
    <row r="50" spans="1:16">
      <c r="A50">
        <v>15</v>
      </c>
      <c r="B50" t="s">
        <v>248</v>
      </c>
      <c r="C50">
        <v>220</v>
      </c>
      <c r="D50" t="s">
        <v>161</v>
      </c>
      <c r="E50">
        <v>13</v>
      </c>
      <c r="F50">
        <v>0.94450536813380692</v>
      </c>
      <c r="G50" s="14" t="str">
        <f>+'PMG(D) segun remuneracion'!$K$1</f>
        <v>01-09-2026</v>
      </c>
      <c r="H50" s="14" t="str">
        <f>+'PMG(D) segun remuneracion'!$K$2</f>
        <v>30-09-2026</v>
      </c>
      <c r="I50" s="9">
        <f>+'PMG(D) segun remuneracion'!$K$3</f>
        <v>2</v>
      </c>
      <c r="J50" s="9">
        <f>+'PMG(D) segun remuneracion'!$K$4</f>
        <v>1</v>
      </c>
      <c r="K50" s="9"/>
      <c r="N50" s="19" t="str">
        <f t="shared" si="1"/>
        <v>CABRERO_13</v>
      </c>
      <c r="O50" s="19" t="str">
        <f>+VLOOKUP(B50,'DECRETOS PESTABILIZADO'!B:B,1,0)</f>
        <v>CHARRUA</v>
      </c>
      <c r="P50" s="9"/>
    </row>
    <row r="51" spans="1:16">
      <c r="A51">
        <v>15</v>
      </c>
      <c r="B51" t="s">
        <v>548</v>
      </c>
      <c r="C51">
        <v>220</v>
      </c>
      <c r="D51" t="s">
        <v>161</v>
      </c>
      <c r="E51">
        <v>13</v>
      </c>
      <c r="F51">
        <v>1.2458118950746937E-2</v>
      </c>
      <c r="G51" s="14" t="str">
        <f>+'PMG(D) segun remuneracion'!$K$1</f>
        <v>01-09-2026</v>
      </c>
      <c r="H51" s="14" t="str">
        <f>+'PMG(D) segun remuneracion'!$K$2</f>
        <v>30-09-2026</v>
      </c>
      <c r="I51" s="9">
        <f>+'PMG(D) segun remuneracion'!$K$3</f>
        <v>2</v>
      </c>
      <c r="J51" s="9">
        <f>+'PMG(D) segun remuneracion'!$K$4</f>
        <v>1</v>
      </c>
      <c r="K51" s="9"/>
      <c r="N51" s="19" t="str">
        <f t="shared" si="1"/>
        <v>CABRERO_13</v>
      </c>
      <c r="O51" s="19" t="str">
        <f>+VLOOKUP(B51,'DECRETOS PESTABILIZADO'!B:B,1,0)</f>
        <v>ITAHUE</v>
      </c>
      <c r="P51" s="9"/>
    </row>
    <row r="52" spans="1:16">
      <c r="A52">
        <v>15</v>
      </c>
      <c r="B52" t="s">
        <v>14</v>
      </c>
      <c r="C52">
        <v>220</v>
      </c>
      <c r="D52" t="s">
        <v>161</v>
      </c>
      <c r="E52">
        <v>13</v>
      </c>
      <c r="F52">
        <v>7.5482063246686843E-3</v>
      </c>
      <c r="G52" s="14" t="str">
        <f>+'PMG(D) segun remuneracion'!$K$1</f>
        <v>01-09-2026</v>
      </c>
      <c r="H52" s="14" t="str">
        <f>+'PMG(D) segun remuneracion'!$K$2</f>
        <v>30-09-2026</v>
      </c>
      <c r="I52" s="9">
        <f>+'PMG(D) segun remuneracion'!$K$3</f>
        <v>2</v>
      </c>
      <c r="J52" s="9">
        <f>+'PMG(D) segun remuneracion'!$K$4</f>
        <v>1</v>
      </c>
      <c r="K52" s="9"/>
      <c r="N52" s="19" t="str">
        <f t="shared" si="1"/>
        <v>CABRERO_13</v>
      </c>
      <c r="O52" s="19" t="str">
        <f>+VLOOKUP(B52,'DECRETOS PESTABILIZADO'!B:B,1,0)</f>
        <v>A.MELIP</v>
      </c>
      <c r="P52" s="9"/>
    </row>
    <row r="53" spans="1:16">
      <c r="A53">
        <v>15</v>
      </c>
      <c r="B53" t="s">
        <v>1197</v>
      </c>
      <c r="C53">
        <v>220</v>
      </c>
      <c r="D53" t="s">
        <v>161</v>
      </c>
      <c r="E53">
        <v>13</v>
      </c>
      <c r="F53">
        <v>4.0219260083160227E-3</v>
      </c>
      <c r="G53" s="14" t="str">
        <f>+'PMG(D) segun remuneracion'!$K$1</f>
        <v>01-09-2026</v>
      </c>
      <c r="H53" s="14" t="str">
        <f>+'PMG(D) segun remuneracion'!$K$2</f>
        <v>30-09-2026</v>
      </c>
      <c r="I53" s="9">
        <f>+'PMG(D) segun remuneracion'!$K$3</f>
        <v>2</v>
      </c>
      <c r="J53" s="9">
        <f>+'PMG(D) segun remuneracion'!$K$4</f>
        <v>1</v>
      </c>
      <c r="K53" s="9"/>
      <c r="N53" s="19" t="str">
        <f t="shared" si="1"/>
        <v>CABRERO_13</v>
      </c>
      <c r="O53" s="19" t="str">
        <f>+VLOOKUP(B53,'DECRETOS PESTABILIZADO'!B:B,1,0)</f>
        <v>RAPEL</v>
      </c>
      <c r="P53" s="9"/>
    </row>
    <row r="54" spans="1:16">
      <c r="A54">
        <v>15</v>
      </c>
      <c r="B54" t="s">
        <v>9</v>
      </c>
      <c r="C54">
        <v>220</v>
      </c>
      <c r="D54" t="s">
        <v>1090</v>
      </c>
      <c r="E54">
        <v>23</v>
      </c>
      <c r="F54">
        <v>8.6897559812979405E-2</v>
      </c>
      <c r="G54" s="14" t="str">
        <f>+'PMG(D) segun remuneracion'!$K$1</f>
        <v>01-09-2026</v>
      </c>
      <c r="H54" s="14" t="str">
        <f>+'PMG(D) segun remuneracion'!$K$2</f>
        <v>30-09-2026</v>
      </c>
      <c r="I54" s="9">
        <f>+'PMG(D) segun remuneracion'!$K$3</f>
        <v>2</v>
      </c>
      <c r="J54" s="9">
        <f>+'PMG(D) segun remuneracion'!$K$4</f>
        <v>1</v>
      </c>
      <c r="K54" s="9"/>
      <c r="N54" s="19" t="str">
        <f t="shared" si="1"/>
        <v>POLPAICO_23</v>
      </c>
      <c r="O54" s="19" t="str">
        <f>+VLOOKUP(B54,'DECRETOS PESTABILIZADO'!B:B,1,0)</f>
        <v>A.JAHUEL</v>
      </c>
      <c r="P54" s="9"/>
    </row>
    <row r="55" spans="1:16">
      <c r="A55">
        <v>15</v>
      </c>
      <c r="B55" t="s">
        <v>151</v>
      </c>
      <c r="C55">
        <v>220</v>
      </c>
      <c r="D55" t="s">
        <v>1090</v>
      </c>
      <c r="E55">
        <v>23</v>
      </c>
      <c r="F55">
        <v>0.60896961980539421</v>
      </c>
      <c r="G55" s="14" t="str">
        <f>+'PMG(D) segun remuneracion'!$K$1</f>
        <v>01-09-2026</v>
      </c>
      <c r="H55" s="14" t="str">
        <f>+'PMG(D) segun remuneracion'!$K$2</f>
        <v>30-09-2026</v>
      </c>
      <c r="I55" s="9">
        <f>+'PMG(D) segun remuneracion'!$K$3</f>
        <v>2</v>
      </c>
      <c r="J55" s="9">
        <f>+'PMG(D) segun remuneracion'!$K$4</f>
        <v>1</v>
      </c>
      <c r="K55" s="9"/>
      <c r="N55" s="19" t="str">
        <f t="shared" si="1"/>
        <v>POLPAICO_23</v>
      </c>
      <c r="O55" s="19" t="str">
        <f>+VLOOKUP(B55,'DECRETOS PESTABILIZADO'!B:B,1,0)</f>
        <v>C.NAVIA</v>
      </c>
      <c r="P55" s="9"/>
    </row>
    <row r="56" spans="1:16">
      <c r="A56">
        <v>15</v>
      </c>
      <c r="B56" t="s">
        <v>142</v>
      </c>
      <c r="C56">
        <v>220</v>
      </c>
      <c r="D56" t="s">
        <v>1090</v>
      </c>
      <c r="E56">
        <v>23</v>
      </c>
      <c r="F56">
        <v>0.22886266733573116</v>
      </c>
      <c r="G56" s="14" t="str">
        <f>+'PMG(D) segun remuneracion'!$K$1</f>
        <v>01-09-2026</v>
      </c>
      <c r="H56" s="14" t="str">
        <f>+'PMG(D) segun remuneracion'!$K$2</f>
        <v>30-09-2026</v>
      </c>
      <c r="I56" s="9">
        <f>+'PMG(D) segun remuneracion'!$K$3</f>
        <v>2</v>
      </c>
      <c r="J56" s="9">
        <f>+'PMG(D) segun remuneracion'!$K$4</f>
        <v>1</v>
      </c>
      <c r="K56" s="9"/>
      <c r="N56" s="19" t="str">
        <f t="shared" si="1"/>
        <v>POLPAICO_23</v>
      </c>
      <c r="O56" s="19" t="str">
        <f>+VLOOKUP(B56,'DECRETOS PESTABILIZADO'!B:B,1,0)</f>
        <v>C.CHENA</v>
      </c>
      <c r="P56" s="9"/>
    </row>
    <row r="57" spans="1:16">
      <c r="A57">
        <v>15</v>
      </c>
      <c r="B57" t="s">
        <v>1090</v>
      </c>
      <c r="C57">
        <v>220</v>
      </c>
      <c r="D57" t="s">
        <v>1090</v>
      </c>
      <c r="E57">
        <v>23</v>
      </c>
      <c r="F57">
        <v>2.2690105163441832E-2</v>
      </c>
      <c r="G57" s="14" t="str">
        <f>+'PMG(D) segun remuneracion'!$K$1</f>
        <v>01-09-2026</v>
      </c>
      <c r="H57" s="14" t="str">
        <f>+'PMG(D) segun remuneracion'!$K$2</f>
        <v>30-09-2026</v>
      </c>
      <c r="I57" s="9">
        <f>+'PMG(D) segun remuneracion'!$K$3</f>
        <v>2</v>
      </c>
      <c r="J57" s="9">
        <f>+'PMG(D) segun remuneracion'!$K$4</f>
        <v>1</v>
      </c>
      <c r="K57" s="9"/>
      <c r="N57" s="19" t="str">
        <f t="shared" si="1"/>
        <v>POLPAICO_23</v>
      </c>
      <c r="O57" s="19" t="str">
        <f>+VLOOKUP(B57,'DECRETOS PESTABILIZADO'!B:B,1,0)</f>
        <v>POLPAICO</v>
      </c>
      <c r="P57" s="9"/>
    </row>
    <row r="58" spans="1:16">
      <c r="A58">
        <v>15</v>
      </c>
      <c r="B58" t="s">
        <v>1151</v>
      </c>
      <c r="C58">
        <v>220</v>
      </c>
      <c r="D58" t="s">
        <v>1090</v>
      </c>
      <c r="E58">
        <v>23</v>
      </c>
      <c r="F58">
        <v>5.2580047882453532E-2</v>
      </c>
      <c r="G58" s="14" t="str">
        <f>+'PMG(D) segun remuneracion'!$K$1</f>
        <v>01-09-2026</v>
      </c>
      <c r="H58" s="14" t="str">
        <f>+'PMG(D) segun remuneracion'!$K$2</f>
        <v>30-09-2026</v>
      </c>
      <c r="I58" s="9">
        <f>+'PMG(D) segun remuneracion'!$K$3</f>
        <v>2</v>
      </c>
      <c r="J58" s="9">
        <f>+'PMG(D) segun remuneracion'!$K$4</f>
        <v>1</v>
      </c>
      <c r="K58" s="9"/>
      <c r="N58" s="19" t="str">
        <f t="shared" si="1"/>
        <v>POLPAICO_23</v>
      </c>
      <c r="O58" s="19" t="str">
        <f>+VLOOKUP(B58,'DECRETOS PESTABILIZADO'!B:B,1,0)</f>
        <v>QUILLOTA</v>
      </c>
      <c r="P58" s="9"/>
    </row>
    <row r="59" spans="1:16">
      <c r="A59">
        <v>15</v>
      </c>
      <c r="B59" t="s">
        <v>9</v>
      </c>
      <c r="C59">
        <v>220</v>
      </c>
      <c r="D59" t="s">
        <v>315</v>
      </c>
      <c r="E59">
        <v>15</v>
      </c>
      <c r="F59">
        <v>0.53241468247727852</v>
      </c>
      <c r="G59" s="14" t="str">
        <f>+'PMG(D) segun remuneracion'!$K$1</f>
        <v>01-09-2026</v>
      </c>
      <c r="H59" s="14" t="str">
        <f>+'PMG(D) segun remuneracion'!$K$2</f>
        <v>30-09-2026</v>
      </c>
      <c r="I59" s="9">
        <f>+'PMG(D) segun remuneracion'!$K$3</f>
        <v>2</v>
      </c>
      <c r="J59" s="9">
        <f>+'PMG(D) segun remuneracion'!$K$4</f>
        <v>1</v>
      </c>
      <c r="K59" s="9"/>
      <c r="N59" s="19" t="str">
        <f t="shared" si="1"/>
        <v>COLCHAGUA_15</v>
      </c>
      <c r="O59" s="19" t="str">
        <f>+VLOOKUP(B59,'DECRETOS PESTABILIZADO'!B:B,1,0)</f>
        <v>A.JAHUEL</v>
      </c>
      <c r="P59" s="9"/>
    </row>
    <row r="60" spans="1:16">
      <c r="A60">
        <v>15</v>
      </c>
      <c r="B60" t="s">
        <v>248</v>
      </c>
      <c r="C60">
        <v>220</v>
      </c>
      <c r="D60" t="s">
        <v>315</v>
      </c>
      <c r="E60">
        <v>15</v>
      </c>
      <c r="F60">
        <v>1.2921206281965745E-2</v>
      </c>
      <c r="G60" s="14" t="str">
        <f>+'PMG(D) segun remuneracion'!$K$1</f>
        <v>01-09-2026</v>
      </c>
      <c r="H60" s="14" t="str">
        <f>+'PMG(D) segun remuneracion'!$K$2</f>
        <v>30-09-2026</v>
      </c>
      <c r="I60" s="9">
        <f>+'PMG(D) segun remuneracion'!$K$3</f>
        <v>2</v>
      </c>
      <c r="J60" s="9">
        <f>+'PMG(D) segun remuneracion'!$K$4</f>
        <v>1</v>
      </c>
      <c r="K60" s="9"/>
      <c r="N60" s="19" t="str">
        <f t="shared" ref="N60" si="2">+D60&amp;"_"&amp;E60</f>
        <v>COLCHAGUA_15</v>
      </c>
      <c r="O60" s="19" t="str">
        <f>+VLOOKUP(B60,'DECRETOS PESTABILIZADO'!B:B,1,0)</f>
        <v>CHARRUA</v>
      </c>
      <c r="P60" s="9"/>
    </row>
    <row r="61" spans="1:16">
      <c r="A61">
        <v>15</v>
      </c>
      <c r="B61" t="s">
        <v>548</v>
      </c>
      <c r="C61">
        <v>220</v>
      </c>
      <c r="D61" t="s">
        <v>315</v>
      </c>
      <c r="E61">
        <v>15</v>
      </c>
      <c r="F61">
        <v>0.44367125007046254</v>
      </c>
      <c r="G61" s="14" t="str">
        <f>+'PMG(D) segun remuneracion'!$K$1</f>
        <v>01-09-2026</v>
      </c>
      <c r="H61" s="14" t="str">
        <f>+'PMG(D) segun remuneracion'!$K$2</f>
        <v>30-09-2026</v>
      </c>
      <c r="I61" s="9">
        <f>+'PMG(D) segun remuneracion'!$K$3</f>
        <v>2</v>
      </c>
      <c r="J61" s="9">
        <f>+'PMG(D) segun remuneracion'!$K$4</f>
        <v>1</v>
      </c>
      <c r="K61" s="9"/>
      <c r="N61" s="19" t="str">
        <f t="shared" ref="N61:N65" si="3">+D61&amp;"_"&amp;E61</f>
        <v>COLCHAGUA_15</v>
      </c>
      <c r="O61" s="19" t="str">
        <f>+VLOOKUP(B61,'DECRETOS PESTABILIZADO'!B:B,1,0)</f>
        <v>ITAHUE</v>
      </c>
      <c r="P61" s="9"/>
    </row>
    <row r="62" spans="1:16">
      <c r="A62">
        <v>15</v>
      </c>
      <c r="B62" t="s">
        <v>14</v>
      </c>
      <c r="C62">
        <v>220</v>
      </c>
      <c r="D62" t="s">
        <v>315</v>
      </c>
      <c r="E62">
        <v>15</v>
      </c>
      <c r="F62">
        <v>7.261445089209141E-3</v>
      </c>
      <c r="G62" s="14" t="str">
        <f>+'PMG(D) segun remuneracion'!$K$1</f>
        <v>01-09-2026</v>
      </c>
      <c r="H62" s="14" t="str">
        <f>+'PMG(D) segun remuneracion'!$K$2</f>
        <v>30-09-2026</v>
      </c>
      <c r="I62" s="9">
        <f>+'PMG(D) segun remuneracion'!$K$3</f>
        <v>2</v>
      </c>
      <c r="J62" s="9">
        <f>+'PMG(D) segun remuneracion'!$K$4</f>
        <v>1</v>
      </c>
      <c r="K62" s="9"/>
      <c r="N62" s="19" t="str">
        <f t="shared" si="3"/>
        <v>COLCHAGUA_15</v>
      </c>
      <c r="O62" s="19" t="str">
        <f>+VLOOKUP(B62,'DECRETOS PESTABILIZADO'!B:B,1,0)</f>
        <v>A.MELIP</v>
      </c>
      <c r="P62" s="9"/>
    </row>
    <row r="63" spans="1:16">
      <c r="A63">
        <v>15</v>
      </c>
      <c r="B63" t="s">
        <v>1197</v>
      </c>
      <c r="C63">
        <v>220</v>
      </c>
      <c r="D63" t="s">
        <v>315</v>
      </c>
      <c r="E63">
        <v>15</v>
      </c>
      <c r="F63">
        <v>3.7314160810839507E-3</v>
      </c>
      <c r="G63" s="14" t="str">
        <f>+'PMG(D) segun remuneracion'!$K$1</f>
        <v>01-09-2026</v>
      </c>
      <c r="H63" s="14" t="str">
        <f>+'PMG(D) segun remuneracion'!$K$2</f>
        <v>30-09-2026</v>
      </c>
      <c r="I63" s="9">
        <f>+'PMG(D) segun remuneracion'!$K$3</f>
        <v>2</v>
      </c>
      <c r="J63" s="9">
        <f>+'PMG(D) segun remuneracion'!$K$4</f>
        <v>1</v>
      </c>
      <c r="K63" s="9"/>
      <c r="N63" s="19" t="str">
        <f t="shared" si="3"/>
        <v>COLCHAGUA_15</v>
      </c>
      <c r="O63" s="19" t="str">
        <f>+VLOOKUP(B63,'DECRETOS PESTABILIZADO'!B:B,1,0)</f>
        <v>RAPEL</v>
      </c>
      <c r="P63" s="9"/>
    </row>
    <row r="64" spans="1:16">
      <c r="A64">
        <v>15</v>
      </c>
      <c r="B64" t="s">
        <v>218</v>
      </c>
      <c r="C64">
        <v>220</v>
      </c>
      <c r="D64" t="s">
        <v>3832</v>
      </c>
      <c r="E64">
        <v>13</v>
      </c>
      <c r="F64">
        <v>1.1441958951699395E-3</v>
      </c>
      <c r="G64" s="14" t="str">
        <f>+'PMG(D) segun remuneracion'!$K$1</f>
        <v>01-09-2026</v>
      </c>
      <c r="H64" s="14" t="str">
        <f>+'PMG(D) segun remuneracion'!$K$2</f>
        <v>30-09-2026</v>
      </c>
      <c r="I64" s="9">
        <f>+'PMG(D) segun remuneracion'!$K$3</f>
        <v>2</v>
      </c>
      <c r="J64" s="9">
        <f>+'PMG(D) segun remuneracion'!$K$4</f>
        <v>1</v>
      </c>
      <c r="K64" s="9"/>
      <c r="N64" s="19" t="str">
        <f t="shared" si="3"/>
        <v>VILLARRICA_13</v>
      </c>
      <c r="O64" s="19" t="str">
        <f>+VLOOKUP(B64,'DECRETOS PESTABILIZADO'!B:B,1,0)</f>
        <v>CAUTIN</v>
      </c>
      <c r="P64" s="9"/>
    </row>
    <row r="65" spans="1:16">
      <c r="A65">
        <v>15</v>
      </c>
      <c r="B65" t="s">
        <v>248</v>
      </c>
      <c r="C65">
        <v>220</v>
      </c>
      <c r="D65" t="s">
        <v>3832</v>
      </c>
      <c r="E65">
        <v>13</v>
      </c>
      <c r="F65">
        <v>4.845777869617679E-2</v>
      </c>
      <c r="G65" s="14" t="str">
        <f>+'PMG(D) segun remuneracion'!$K$1</f>
        <v>01-09-2026</v>
      </c>
      <c r="H65" s="14" t="str">
        <f>+'PMG(D) segun remuneracion'!$K$2</f>
        <v>30-09-2026</v>
      </c>
      <c r="I65" s="9">
        <f>+'PMG(D) segun remuneracion'!$K$3</f>
        <v>2</v>
      </c>
      <c r="J65" s="9">
        <f>+'PMG(D) segun remuneracion'!$K$4</f>
        <v>1</v>
      </c>
      <c r="K65" s="9"/>
      <c r="N65" s="19" t="str">
        <f t="shared" si="3"/>
        <v>VILLARRICA_13</v>
      </c>
      <c r="O65" s="19" t="str">
        <f>+VLOOKUP(B65,'DECRETOS PESTABILIZADO'!B:B,1,0)</f>
        <v>CHARRUA</v>
      </c>
      <c r="P65" s="9"/>
    </row>
    <row r="66" spans="1:16">
      <c r="A66">
        <v>15</v>
      </c>
      <c r="B66" t="s">
        <v>1454</v>
      </c>
      <c r="C66">
        <v>220</v>
      </c>
      <c r="D66" t="s">
        <v>3832</v>
      </c>
      <c r="E66">
        <v>13</v>
      </c>
      <c r="F66">
        <v>0.95039802540865337</v>
      </c>
      <c r="G66" s="14" t="str">
        <f>+'PMG(D) segun remuneracion'!$K$1</f>
        <v>01-09-2026</v>
      </c>
      <c r="H66" s="14" t="str">
        <f>+'PMG(D) segun remuneracion'!$K$2</f>
        <v>30-09-2026</v>
      </c>
      <c r="I66" s="9">
        <f>+'PMG(D) segun remuneracion'!$K$3</f>
        <v>2</v>
      </c>
      <c r="J66" s="9">
        <f>+'PMG(D) segun remuneracion'!$K$4</f>
        <v>1</v>
      </c>
      <c r="K66" s="9"/>
      <c r="N66" s="19" t="str">
        <f t="shared" ref="N66:N67" si="4">+D66&amp;"_"&amp;E66</f>
        <v>VILLARRICA_13</v>
      </c>
      <c r="O66" s="19" t="str">
        <f>+VLOOKUP(B66,'DECRETOS PESTABILIZADO'!B:B,1,0)</f>
        <v>TEMUCO</v>
      </c>
      <c r="P66" s="9"/>
    </row>
    <row r="67" spans="1:16">
      <c r="A67">
        <v>15</v>
      </c>
      <c r="B67" t="s">
        <v>9</v>
      </c>
      <c r="C67">
        <v>220</v>
      </c>
      <c r="D67" t="s">
        <v>215</v>
      </c>
      <c r="E67">
        <v>13</v>
      </c>
      <c r="F67">
        <v>0.20032528374968681</v>
      </c>
      <c r="G67" s="14" t="str">
        <f>+'PMG(D) segun remuneracion'!$K$1</f>
        <v>01-09-2026</v>
      </c>
      <c r="H67" s="14" t="str">
        <f>+'PMG(D) segun remuneracion'!$K$2</f>
        <v>30-09-2026</v>
      </c>
      <c r="I67" s="9">
        <f>+'PMG(D) segun remuneracion'!$K$3</f>
        <v>2</v>
      </c>
      <c r="J67" s="9">
        <f>+'PMG(D) segun remuneracion'!$K$4</f>
        <v>1</v>
      </c>
      <c r="K67" s="9"/>
      <c r="N67" s="19" t="str">
        <f t="shared" si="4"/>
        <v>CAUQUENES_13</v>
      </c>
      <c r="O67" s="19" t="str">
        <f>+VLOOKUP(B67,'DECRETOS PESTABILIZADO'!B:B,1,0)</f>
        <v>A.JAHUEL</v>
      </c>
      <c r="P67" s="9"/>
    </row>
    <row r="68" spans="1:16">
      <c r="A68">
        <v>15</v>
      </c>
      <c r="B68" t="s">
        <v>248</v>
      </c>
      <c r="C68">
        <v>220</v>
      </c>
      <c r="D68" t="s">
        <v>215</v>
      </c>
      <c r="E68">
        <v>13</v>
      </c>
      <c r="F68">
        <v>0.69187001755126676</v>
      </c>
      <c r="G68" s="14" t="str">
        <f>+'PMG(D) segun remuneracion'!$K$1</f>
        <v>01-09-2026</v>
      </c>
      <c r="H68" s="14" t="str">
        <f>+'PMG(D) segun remuneracion'!$K$2</f>
        <v>30-09-2026</v>
      </c>
      <c r="I68" s="9">
        <f>+'PMG(D) segun remuneracion'!$K$3</f>
        <v>2</v>
      </c>
      <c r="J68" s="9">
        <f>+'PMG(D) segun remuneracion'!$K$4</f>
        <v>1</v>
      </c>
      <c r="K68" s="9"/>
      <c r="N68" s="19" t="str">
        <f>+D68&amp;"_"&amp;E68</f>
        <v>CAUQUENES_13</v>
      </c>
      <c r="O68" s="19" t="str">
        <f>+VLOOKUP(B68,'DECRETOS PESTABILIZADO'!B:B,1,0)</f>
        <v>CHARRUA</v>
      </c>
      <c r="P68" s="9"/>
    </row>
    <row r="69" spans="1:16">
      <c r="A69">
        <v>15</v>
      </c>
      <c r="B69" t="s">
        <v>548</v>
      </c>
      <c r="C69">
        <v>220</v>
      </c>
      <c r="D69" t="s">
        <v>215</v>
      </c>
      <c r="E69">
        <v>13</v>
      </c>
      <c r="F69">
        <v>7.6594096529023242E-2</v>
      </c>
      <c r="G69" s="14" t="str">
        <f>+'PMG(D) segun remuneracion'!$K$1</f>
        <v>01-09-2026</v>
      </c>
      <c r="H69" s="14" t="str">
        <f>+'PMG(D) segun remuneracion'!$K$2</f>
        <v>30-09-2026</v>
      </c>
      <c r="I69" s="9">
        <f>+'PMG(D) segun remuneracion'!$K$3</f>
        <v>2</v>
      </c>
      <c r="J69" s="9">
        <f>+'PMG(D) segun remuneracion'!$K$4</f>
        <v>1</v>
      </c>
      <c r="K69" s="9"/>
      <c r="N69" s="19" t="str">
        <f t="shared" ref="N69:N78" si="5">+D69&amp;"_"&amp;E69</f>
        <v>CAUQUENES_13</v>
      </c>
      <c r="O69" s="19" t="str">
        <f>+VLOOKUP(B69,'DECRETOS PESTABILIZADO'!B:B,1,0)</f>
        <v>ITAHUE</v>
      </c>
      <c r="P69" s="9"/>
    </row>
    <row r="70" spans="1:16">
      <c r="A70">
        <v>15</v>
      </c>
      <c r="B70" t="s">
        <v>14</v>
      </c>
      <c r="C70">
        <v>220</v>
      </c>
      <c r="D70" t="s">
        <v>215</v>
      </c>
      <c r="E70">
        <v>13</v>
      </c>
      <c r="F70">
        <v>2.0287432908055254E-2</v>
      </c>
      <c r="G70" s="14" t="str">
        <f>+'PMG(D) segun remuneracion'!$K$1</f>
        <v>01-09-2026</v>
      </c>
      <c r="H70" s="14" t="str">
        <f>+'PMG(D) segun remuneracion'!$K$2</f>
        <v>30-09-2026</v>
      </c>
      <c r="I70" s="9">
        <f>+'PMG(D) segun remuneracion'!$K$3</f>
        <v>2</v>
      </c>
      <c r="J70" s="9">
        <f>+'PMG(D) segun remuneracion'!$K$4</f>
        <v>1</v>
      </c>
      <c r="K70" s="9"/>
      <c r="N70" s="19" t="str">
        <f t="shared" si="5"/>
        <v>CAUQUENES_13</v>
      </c>
      <c r="O70" s="19" t="str">
        <f>+VLOOKUP(B70,'DECRETOS PESTABILIZADO'!B:B,1,0)</f>
        <v>A.MELIP</v>
      </c>
      <c r="P70" s="9"/>
    </row>
    <row r="71" spans="1:16">
      <c r="A71">
        <v>15</v>
      </c>
      <c r="B71" t="s">
        <v>1197</v>
      </c>
      <c r="C71">
        <v>220</v>
      </c>
      <c r="D71" t="s">
        <v>215</v>
      </c>
      <c r="E71">
        <v>13</v>
      </c>
      <c r="F71">
        <v>1.0923169261967921E-2</v>
      </c>
      <c r="G71" s="14" t="str">
        <f>+'PMG(D) segun remuneracion'!$K$1</f>
        <v>01-09-2026</v>
      </c>
      <c r="H71" s="14" t="str">
        <f>+'PMG(D) segun remuneracion'!$K$2</f>
        <v>30-09-2026</v>
      </c>
      <c r="I71" s="9">
        <f>+'PMG(D) segun remuneracion'!$K$3</f>
        <v>2</v>
      </c>
      <c r="J71" s="9">
        <f>+'PMG(D) segun remuneracion'!$K$4</f>
        <v>1</v>
      </c>
      <c r="K71" s="9"/>
      <c r="N71" s="19" t="str">
        <f t="shared" si="5"/>
        <v>CAUQUENES_13</v>
      </c>
      <c r="O71" s="19" t="str">
        <f>+VLOOKUP(B71,'DECRETOS PESTABILIZADO'!B:B,1,0)</f>
        <v>RAPEL</v>
      </c>
      <c r="P71" s="9"/>
    </row>
    <row r="72" spans="1:16">
      <c r="A72">
        <v>15</v>
      </c>
      <c r="B72" t="s">
        <v>9</v>
      </c>
      <c r="C72">
        <v>220</v>
      </c>
      <c r="D72" t="s">
        <v>1373</v>
      </c>
      <c r="E72">
        <v>13</v>
      </c>
      <c r="F72">
        <v>0.36537990400971782</v>
      </c>
      <c r="G72" s="14" t="str">
        <f>+'PMG(D) segun remuneracion'!$K$1</f>
        <v>01-09-2026</v>
      </c>
      <c r="H72" s="14" t="str">
        <f>+'PMG(D) segun remuneracion'!$K$2</f>
        <v>30-09-2026</v>
      </c>
      <c r="I72" s="9">
        <f>+'PMG(D) segun remuneracion'!$K$3</f>
        <v>2</v>
      </c>
      <c r="J72" s="9">
        <f>+'PMG(D) segun remuneracion'!$K$4</f>
        <v>1</v>
      </c>
      <c r="K72" s="9"/>
      <c r="N72" s="19" t="str">
        <f t="shared" si="5"/>
        <v>TALCA_13</v>
      </c>
      <c r="O72" s="19" t="str">
        <f>+VLOOKUP(B72,'DECRETOS PESTABILIZADO'!B:B,1,0)</f>
        <v>A.JAHUEL</v>
      </c>
      <c r="P72" s="9"/>
    </row>
    <row r="73" spans="1:16">
      <c r="A73">
        <v>15</v>
      </c>
      <c r="B73" t="s">
        <v>248</v>
      </c>
      <c r="C73">
        <v>220</v>
      </c>
      <c r="D73" t="s">
        <v>1373</v>
      </c>
      <c r="E73">
        <v>13</v>
      </c>
      <c r="F73">
        <v>0.18507338104229093</v>
      </c>
      <c r="G73" s="14" t="str">
        <f>+'PMG(D) segun remuneracion'!$K$1</f>
        <v>01-09-2026</v>
      </c>
      <c r="H73" s="14" t="str">
        <f>+'PMG(D) segun remuneracion'!$K$2</f>
        <v>30-09-2026</v>
      </c>
      <c r="I73" s="9">
        <f>+'PMG(D) segun remuneracion'!$K$3</f>
        <v>2</v>
      </c>
      <c r="J73" s="9">
        <f>+'PMG(D) segun remuneracion'!$K$4</f>
        <v>1</v>
      </c>
      <c r="K73" s="9"/>
      <c r="N73" s="19" t="str">
        <f t="shared" si="5"/>
        <v>TALCA_13</v>
      </c>
      <c r="O73" s="19" t="str">
        <f>+VLOOKUP(B73,'DECRETOS PESTABILIZADO'!B:B,1,0)</f>
        <v>CHARRUA</v>
      </c>
      <c r="P73" s="9"/>
    </row>
    <row r="74" spans="1:16">
      <c r="A74">
        <v>15</v>
      </c>
      <c r="B74" t="s">
        <v>548</v>
      </c>
      <c r="C74">
        <v>220</v>
      </c>
      <c r="D74" t="s">
        <v>1373</v>
      </c>
      <c r="E74">
        <v>13</v>
      </c>
      <c r="F74">
        <v>0.42437904413748945</v>
      </c>
      <c r="G74" s="14" t="str">
        <f>+'PMG(D) segun remuneracion'!$K$1</f>
        <v>01-09-2026</v>
      </c>
      <c r="H74" s="14" t="str">
        <f>+'PMG(D) segun remuneracion'!$K$2</f>
        <v>30-09-2026</v>
      </c>
      <c r="I74" s="9">
        <f>+'PMG(D) segun remuneracion'!$K$3</f>
        <v>2</v>
      </c>
      <c r="J74" s="9">
        <f>+'PMG(D) segun remuneracion'!$K$4</f>
        <v>1</v>
      </c>
      <c r="K74" s="9"/>
      <c r="N74" s="19" t="str">
        <f t="shared" si="5"/>
        <v>TALCA_13</v>
      </c>
      <c r="O74" s="19" t="str">
        <f>+VLOOKUP(B74,'DECRETOS PESTABILIZADO'!B:B,1,0)</f>
        <v>ITAHUE</v>
      </c>
      <c r="P74" s="9"/>
    </row>
    <row r="75" spans="1:16">
      <c r="A75">
        <v>15</v>
      </c>
      <c r="B75" t="s">
        <v>14</v>
      </c>
      <c r="C75">
        <v>220</v>
      </c>
      <c r="D75" t="s">
        <v>1373</v>
      </c>
      <c r="E75">
        <v>13</v>
      </c>
      <c r="F75">
        <v>1.6487517061492849E-2</v>
      </c>
      <c r="G75" s="14" t="str">
        <f>+'PMG(D) segun remuneracion'!$K$1</f>
        <v>01-09-2026</v>
      </c>
      <c r="H75" s="14" t="str">
        <f>+'PMG(D) segun remuneracion'!$K$2</f>
        <v>30-09-2026</v>
      </c>
      <c r="I75" s="9">
        <f>+'PMG(D) segun remuneracion'!$K$3</f>
        <v>2</v>
      </c>
      <c r="J75" s="9">
        <f>+'PMG(D) segun remuneracion'!$K$4</f>
        <v>1</v>
      </c>
      <c r="K75" s="9"/>
      <c r="N75" s="19" t="str">
        <f t="shared" si="5"/>
        <v>TALCA_13</v>
      </c>
      <c r="O75" s="19" t="str">
        <f>+VLOOKUP(B75,'DECRETOS PESTABILIZADO'!B:B,1,0)</f>
        <v>A.MELIP</v>
      </c>
      <c r="P75" s="9"/>
    </row>
    <row r="76" spans="1:16">
      <c r="A76">
        <v>15</v>
      </c>
      <c r="B76" t="s">
        <v>1197</v>
      </c>
      <c r="C76">
        <v>220</v>
      </c>
      <c r="D76" t="s">
        <v>1373</v>
      </c>
      <c r="E76">
        <v>13</v>
      </c>
      <c r="F76">
        <v>8.6801537490088492E-3</v>
      </c>
      <c r="G76" s="14" t="str">
        <f>+'PMG(D) segun remuneracion'!$K$1</f>
        <v>01-09-2026</v>
      </c>
      <c r="H76" s="14" t="str">
        <f>+'PMG(D) segun remuneracion'!$K$2</f>
        <v>30-09-2026</v>
      </c>
      <c r="I76" s="9">
        <f>+'PMG(D) segun remuneracion'!$K$3</f>
        <v>2</v>
      </c>
      <c r="J76" s="9">
        <f>+'PMG(D) segun remuneracion'!$K$4</f>
        <v>1</v>
      </c>
      <c r="K76" s="9"/>
      <c r="N76" s="19" t="str">
        <f t="shared" si="5"/>
        <v>TALCA_13</v>
      </c>
      <c r="O76" s="19" t="str">
        <f>+VLOOKUP(B76,'DECRETOS PESTABILIZADO'!B:B,1,0)</f>
        <v>RAPEL</v>
      </c>
      <c r="P76" s="9"/>
    </row>
    <row r="77" spans="1:16">
      <c r="A77">
        <v>15</v>
      </c>
      <c r="B77" t="s">
        <v>9</v>
      </c>
      <c r="C77">
        <v>220</v>
      </c>
      <c r="D77" t="s">
        <v>132</v>
      </c>
      <c r="E77">
        <v>13</v>
      </c>
      <c r="F77">
        <v>0.79561922990981282</v>
      </c>
      <c r="G77" s="14" t="str">
        <f>+'PMG(D) segun remuneracion'!$K$1</f>
        <v>01-09-2026</v>
      </c>
      <c r="H77" s="14" t="str">
        <f>+'PMG(D) segun remuneracion'!$K$2</f>
        <v>30-09-2026</v>
      </c>
      <c r="I77" s="9">
        <f>+'PMG(D) segun remuneracion'!$K$3</f>
        <v>2</v>
      </c>
      <c r="J77" s="9">
        <f>+'PMG(D) segun remuneracion'!$K$4</f>
        <v>1</v>
      </c>
      <c r="K77" s="9"/>
      <c r="N77" s="19" t="str">
        <f t="shared" si="5"/>
        <v>BUIN_13</v>
      </c>
      <c r="O77" s="19" t="str">
        <f>+VLOOKUP(B77,'DECRETOS PESTABILIZADO'!B:B,1,0)</f>
        <v>A.JAHUEL</v>
      </c>
      <c r="P77" s="9"/>
    </row>
    <row r="78" spans="1:16">
      <c r="A78">
        <v>15</v>
      </c>
      <c r="B78" t="s">
        <v>248</v>
      </c>
      <c r="C78">
        <v>220</v>
      </c>
      <c r="D78" t="s">
        <v>132</v>
      </c>
      <c r="E78">
        <v>13</v>
      </c>
      <c r="F78">
        <v>7.2142455092448132E-3</v>
      </c>
      <c r="G78" s="14" t="str">
        <f>+'PMG(D) segun remuneracion'!$K$1</f>
        <v>01-09-2026</v>
      </c>
      <c r="H78" s="14" t="str">
        <f>+'PMG(D) segun remuneracion'!$K$2</f>
        <v>30-09-2026</v>
      </c>
      <c r="I78" s="9">
        <f>+'PMG(D) segun remuneracion'!$K$3</f>
        <v>2</v>
      </c>
      <c r="J78" s="9">
        <f>+'PMG(D) segun remuneracion'!$K$4</f>
        <v>1</v>
      </c>
      <c r="K78" s="9"/>
      <c r="N78" s="19" t="str">
        <f t="shared" si="5"/>
        <v>BUIN_13</v>
      </c>
      <c r="O78" s="19" t="str">
        <f>+VLOOKUP(B78,'DECRETOS PESTABILIZADO'!B:B,1,0)</f>
        <v>CHARRUA</v>
      </c>
      <c r="P78" s="9"/>
    </row>
    <row r="79" spans="1:16">
      <c r="A79">
        <v>15</v>
      </c>
      <c r="B79" t="s">
        <v>548</v>
      </c>
      <c r="C79">
        <v>220</v>
      </c>
      <c r="D79" t="s">
        <v>132</v>
      </c>
      <c r="E79">
        <v>13</v>
      </c>
      <c r="F79">
        <v>0.16817519736067107</v>
      </c>
      <c r="G79" s="14" t="str">
        <f>+'PMG(D) segun remuneracion'!$K$1</f>
        <v>01-09-2026</v>
      </c>
      <c r="H79" s="14" t="str">
        <f>+'PMG(D) segun remuneracion'!$K$2</f>
        <v>30-09-2026</v>
      </c>
      <c r="I79" s="9">
        <f>+'PMG(D) segun remuneracion'!$K$3</f>
        <v>2</v>
      </c>
      <c r="J79" s="9">
        <f>+'PMG(D) segun remuneracion'!$K$4</f>
        <v>1</v>
      </c>
      <c r="K79" s="9"/>
      <c r="N79" s="19" t="str">
        <f t="shared" ref="N79:N92" si="6">+D79&amp;"_"&amp;E79</f>
        <v>BUIN_13</v>
      </c>
      <c r="O79" s="19" t="str">
        <f>+VLOOKUP(B79,'DECRETOS PESTABILIZADO'!B:B,1,0)</f>
        <v>ITAHUE</v>
      </c>
      <c r="P79" s="9"/>
    </row>
    <row r="80" spans="1:16">
      <c r="A80">
        <v>15</v>
      </c>
      <c r="B80" t="s">
        <v>14</v>
      </c>
      <c r="C80">
        <v>220</v>
      </c>
      <c r="D80" t="s">
        <v>132</v>
      </c>
      <c r="E80">
        <v>13</v>
      </c>
      <c r="F80">
        <v>2.4400950204911037E-2</v>
      </c>
      <c r="G80" s="14" t="str">
        <f>+'PMG(D) segun remuneracion'!$K$1</f>
        <v>01-09-2026</v>
      </c>
      <c r="H80" s="14" t="str">
        <f>+'PMG(D) segun remuneracion'!$K$2</f>
        <v>30-09-2026</v>
      </c>
      <c r="I80" s="9">
        <f>+'PMG(D) segun remuneracion'!$K$3</f>
        <v>2</v>
      </c>
      <c r="J80" s="9">
        <f>+'PMG(D) segun remuneracion'!$K$4</f>
        <v>1</v>
      </c>
      <c r="K80" s="9"/>
      <c r="N80" s="19" t="str">
        <f t="shared" si="6"/>
        <v>BUIN_13</v>
      </c>
      <c r="O80" s="19" t="str">
        <f>+VLOOKUP(B80,'DECRETOS PESTABILIZADO'!B:B,1,0)</f>
        <v>A.MELIP</v>
      </c>
      <c r="P80" s="9"/>
    </row>
    <row r="81" spans="1:16">
      <c r="A81">
        <v>15</v>
      </c>
      <c r="B81" t="s">
        <v>1197</v>
      </c>
      <c r="C81">
        <v>220</v>
      </c>
      <c r="D81" t="s">
        <v>132</v>
      </c>
      <c r="E81">
        <v>13</v>
      </c>
      <c r="F81">
        <v>4.590377015360152E-3</v>
      </c>
      <c r="G81" s="14" t="str">
        <f>+'PMG(D) segun remuneracion'!$K$1</f>
        <v>01-09-2026</v>
      </c>
      <c r="H81" s="14" t="str">
        <f>+'PMG(D) segun remuneracion'!$K$2</f>
        <v>30-09-2026</v>
      </c>
      <c r="I81" s="9">
        <f>+'PMG(D) segun remuneracion'!$K$3</f>
        <v>2</v>
      </c>
      <c r="J81" s="9">
        <f>+'PMG(D) segun remuneracion'!$K$4</f>
        <v>1</v>
      </c>
      <c r="K81" s="9"/>
      <c r="N81" s="19" t="str">
        <f t="shared" si="6"/>
        <v>BUIN_13</v>
      </c>
      <c r="O81" s="19" t="str">
        <f>+VLOOKUP(B81,'DECRETOS PESTABILIZADO'!B:B,1,0)</f>
        <v>RAPEL</v>
      </c>
      <c r="P81" s="9"/>
    </row>
    <row r="82" spans="1:16">
      <c r="A82">
        <v>15</v>
      </c>
      <c r="B82" t="s">
        <v>9</v>
      </c>
      <c r="C82">
        <v>220</v>
      </c>
      <c r="D82" t="s">
        <v>48</v>
      </c>
      <c r="E82">
        <v>23</v>
      </c>
      <c r="F82">
        <v>2.4044240353174465E-3</v>
      </c>
      <c r="G82" s="14" t="str">
        <f>+'PMG(D) segun remuneracion'!$K$1</f>
        <v>01-09-2026</v>
      </c>
      <c r="H82" s="14" t="str">
        <f>+'PMG(D) segun remuneracion'!$K$2</f>
        <v>30-09-2026</v>
      </c>
      <c r="I82" s="9">
        <f>+'PMG(D) segun remuneracion'!$K$3</f>
        <v>2</v>
      </c>
      <c r="J82" s="9">
        <f>+'PMG(D) segun remuneracion'!$K$4</f>
        <v>1</v>
      </c>
      <c r="K82" s="9"/>
      <c r="N82" s="19" t="str">
        <f t="shared" si="6"/>
        <v>ALHUE_23</v>
      </c>
      <c r="O82" s="19" t="str">
        <f>+VLOOKUP(B82,'DECRETOS PESTABILIZADO'!B:B,1,0)</f>
        <v>A.JAHUEL</v>
      </c>
      <c r="P82" s="9"/>
    </row>
    <row r="83" spans="1:16">
      <c r="A83">
        <v>15</v>
      </c>
      <c r="B83" t="s">
        <v>248</v>
      </c>
      <c r="C83">
        <v>220</v>
      </c>
      <c r="D83" t="s">
        <v>48</v>
      </c>
      <c r="E83">
        <v>23</v>
      </c>
      <c r="F83">
        <v>3.7969688197891619E-3</v>
      </c>
      <c r="G83" s="14" t="str">
        <f>+'PMG(D) segun remuneracion'!$K$1</f>
        <v>01-09-2026</v>
      </c>
      <c r="H83" s="14" t="str">
        <f>+'PMG(D) segun remuneracion'!$K$2</f>
        <v>30-09-2026</v>
      </c>
      <c r="I83" s="9">
        <f>+'PMG(D) segun remuneracion'!$K$3</f>
        <v>2</v>
      </c>
      <c r="J83" s="9">
        <f>+'PMG(D) segun remuneracion'!$K$4</f>
        <v>1</v>
      </c>
      <c r="K83" s="9"/>
      <c r="N83" s="19" t="str">
        <f t="shared" si="6"/>
        <v>ALHUE_23</v>
      </c>
      <c r="O83" s="19" t="str">
        <f>+VLOOKUP(B83,'DECRETOS PESTABILIZADO'!B:B,1,0)</f>
        <v>CHARRUA</v>
      </c>
      <c r="P83" s="9"/>
    </row>
    <row r="84" spans="1:16">
      <c r="A84">
        <v>15</v>
      </c>
      <c r="B84" t="s">
        <v>548</v>
      </c>
      <c r="C84">
        <v>220</v>
      </c>
      <c r="D84" t="s">
        <v>48</v>
      </c>
      <c r="E84">
        <v>23</v>
      </c>
      <c r="F84">
        <v>6.2677088751753856E-3</v>
      </c>
      <c r="G84" s="14" t="str">
        <f>+'PMG(D) segun remuneracion'!$K$1</f>
        <v>01-09-2026</v>
      </c>
      <c r="H84" s="14" t="str">
        <f>+'PMG(D) segun remuneracion'!$K$2</f>
        <v>30-09-2026</v>
      </c>
      <c r="I84" s="9">
        <f>+'PMG(D) segun remuneracion'!$K$3</f>
        <v>2</v>
      </c>
      <c r="J84" s="9">
        <f>+'PMG(D) segun remuneracion'!$K$4</f>
        <v>1</v>
      </c>
      <c r="K84" s="9"/>
      <c r="N84" s="19" t="str">
        <f t="shared" si="6"/>
        <v>ALHUE_23</v>
      </c>
      <c r="O84" s="19" t="str">
        <f>+VLOOKUP(B84,'DECRETOS PESTABILIZADO'!B:B,1,0)</f>
        <v>ITAHUE</v>
      </c>
      <c r="P84" s="9"/>
    </row>
    <row r="85" spans="1:16">
      <c r="A85">
        <v>15</v>
      </c>
      <c r="B85" t="s">
        <v>14</v>
      </c>
      <c r="C85">
        <v>220</v>
      </c>
      <c r="D85" t="s">
        <v>48</v>
      </c>
      <c r="E85">
        <v>23</v>
      </c>
      <c r="F85">
        <v>0.17042177722125193</v>
      </c>
      <c r="G85" s="14" t="str">
        <f>+'PMG(D) segun remuneracion'!$K$1</f>
        <v>01-09-2026</v>
      </c>
      <c r="H85" s="14" t="str">
        <f>+'PMG(D) segun remuneracion'!$K$2</f>
        <v>30-09-2026</v>
      </c>
      <c r="I85" s="9">
        <f>+'PMG(D) segun remuneracion'!$K$3</f>
        <v>2</v>
      </c>
      <c r="J85" s="9">
        <f>+'PMG(D) segun remuneracion'!$K$4</f>
        <v>1</v>
      </c>
      <c r="K85" s="9"/>
      <c r="N85" s="19" t="str">
        <f t="shared" si="6"/>
        <v>ALHUE_23</v>
      </c>
      <c r="O85" s="19" t="str">
        <f>+VLOOKUP(B85,'DECRETOS PESTABILIZADO'!B:B,1,0)</f>
        <v>A.MELIP</v>
      </c>
      <c r="P85" s="9"/>
    </row>
    <row r="86" spans="1:16">
      <c r="A86">
        <v>15</v>
      </c>
      <c r="B86" t="s">
        <v>1197</v>
      </c>
      <c r="C86">
        <v>220</v>
      </c>
      <c r="D86" t="s">
        <v>48</v>
      </c>
      <c r="E86">
        <v>23</v>
      </c>
      <c r="F86">
        <v>0.81710912104846611</v>
      </c>
      <c r="G86" s="14" t="str">
        <f>+'PMG(D) segun remuneracion'!$K$1</f>
        <v>01-09-2026</v>
      </c>
      <c r="H86" s="14" t="str">
        <f>+'PMG(D) segun remuneracion'!$K$2</f>
        <v>30-09-2026</v>
      </c>
      <c r="I86" s="9">
        <f>+'PMG(D) segun remuneracion'!$K$3</f>
        <v>2</v>
      </c>
      <c r="J86" s="9">
        <f>+'PMG(D) segun remuneracion'!$K$4</f>
        <v>1</v>
      </c>
      <c r="K86" s="9"/>
      <c r="N86" s="19" t="str">
        <f t="shared" si="6"/>
        <v>ALHUE_23</v>
      </c>
      <c r="O86" s="19" t="str">
        <f>+VLOOKUP(B86,'DECRETOS PESTABILIZADO'!B:B,1,0)</f>
        <v>RAPEL</v>
      </c>
      <c r="P86" s="9"/>
    </row>
    <row r="87" spans="1:16">
      <c r="A87">
        <v>15</v>
      </c>
      <c r="B87" t="s">
        <v>195</v>
      </c>
      <c r="C87">
        <v>220</v>
      </c>
      <c r="D87" t="s">
        <v>405</v>
      </c>
      <c r="E87">
        <v>23</v>
      </c>
      <c r="F87">
        <v>6.0494363428916769E-3</v>
      </c>
      <c r="G87" s="14" t="str">
        <f>+'PMG(D) segun remuneracion'!$K$1</f>
        <v>01-09-2026</v>
      </c>
      <c r="H87" s="14" t="str">
        <f>+'PMG(D) segun remuneracion'!$K$2</f>
        <v>30-09-2026</v>
      </c>
      <c r="I87" s="9">
        <f>+'PMG(D) segun remuneracion'!$K$3</f>
        <v>2</v>
      </c>
      <c r="J87" s="9">
        <f>+'PMG(D) segun remuneracion'!$K$4</f>
        <v>1</v>
      </c>
      <c r="K87" s="9"/>
      <c r="N87" s="19" t="str">
        <f t="shared" si="6"/>
        <v>E.PENON_23</v>
      </c>
      <c r="O87" s="19" t="str">
        <f>+VLOOKUP(B87,'DECRETOS PESTABILIZADO'!B:B,1,0)</f>
        <v>CARDONES</v>
      </c>
      <c r="P87" s="9"/>
    </row>
    <row r="88" spans="1:16">
      <c r="A88">
        <v>15</v>
      </c>
      <c r="B88" t="s">
        <v>606</v>
      </c>
      <c r="C88">
        <v>220</v>
      </c>
      <c r="D88" t="s">
        <v>405</v>
      </c>
      <c r="E88">
        <v>23</v>
      </c>
      <c r="F88">
        <v>1.9009235461993054E-2</v>
      </c>
      <c r="G88" s="14" t="str">
        <f>+'PMG(D) segun remuneracion'!$K$1</f>
        <v>01-09-2026</v>
      </c>
      <c r="H88" s="14" t="str">
        <f>+'PMG(D) segun remuneracion'!$K$2</f>
        <v>30-09-2026</v>
      </c>
      <c r="I88" s="9">
        <f>+'PMG(D) segun remuneracion'!$K$3</f>
        <v>2</v>
      </c>
      <c r="J88" s="9">
        <f>+'PMG(D) segun remuneracion'!$K$4</f>
        <v>1</v>
      </c>
      <c r="K88" s="9"/>
      <c r="N88" s="19" t="str">
        <f t="shared" si="6"/>
        <v>E.PENON_23</v>
      </c>
      <c r="O88" s="19" t="str">
        <f>+VLOOKUP(B88,'DECRETOS PESTABILIZADO'!B:B,1,0)</f>
        <v>L.VILOS</v>
      </c>
      <c r="P88" s="9"/>
    </row>
    <row r="89" spans="1:16">
      <c r="A89">
        <v>15</v>
      </c>
      <c r="B89" t="s">
        <v>795</v>
      </c>
      <c r="C89">
        <v>220</v>
      </c>
      <c r="D89" t="s">
        <v>405</v>
      </c>
      <c r="E89">
        <v>23</v>
      </c>
      <c r="F89">
        <v>7.7262844592709906E-2</v>
      </c>
      <c r="G89" s="14" t="str">
        <f>+'PMG(D) segun remuneracion'!$K$1</f>
        <v>01-09-2026</v>
      </c>
      <c r="H89" s="14" t="str">
        <f>+'PMG(D) segun remuneracion'!$K$2</f>
        <v>30-09-2026</v>
      </c>
      <c r="I89" s="9">
        <f>+'PMG(D) segun remuneracion'!$K$3</f>
        <v>2</v>
      </c>
      <c r="J89" s="9">
        <f>+'PMG(D) segun remuneracion'!$K$4</f>
        <v>1</v>
      </c>
      <c r="K89" s="9"/>
      <c r="N89" s="19" t="str">
        <f t="shared" si="6"/>
        <v>E.PENON_23</v>
      </c>
      <c r="O89" s="19" t="str">
        <f>+VLOOKUP(B89,'DECRETOS PESTABILIZADO'!B:B,1,0)</f>
        <v>MAITENCILLO</v>
      </c>
      <c r="P89" s="9"/>
    </row>
    <row r="90" spans="1:16">
      <c r="A90">
        <v>15</v>
      </c>
      <c r="B90" t="s">
        <v>948</v>
      </c>
      <c r="C90">
        <v>220</v>
      </c>
      <c r="D90" t="s">
        <v>405</v>
      </c>
      <c r="E90">
        <v>23</v>
      </c>
      <c r="F90">
        <v>0.89767848360240532</v>
      </c>
      <c r="G90" s="14" t="str">
        <f>+'PMG(D) segun remuneracion'!$K$1</f>
        <v>01-09-2026</v>
      </c>
      <c r="H90" s="14" t="str">
        <f>+'PMG(D) segun remuneracion'!$K$2</f>
        <v>30-09-2026</v>
      </c>
      <c r="I90" s="9">
        <f>+'PMG(D) segun remuneracion'!$K$3</f>
        <v>2</v>
      </c>
      <c r="J90" s="9">
        <f>+'PMG(D) segun remuneracion'!$K$4</f>
        <v>1</v>
      </c>
      <c r="K90" s="9"/>
      <c r="N90" s="19" t="str">
        <f t="shared" si="6"/>
        <v>E.PENON_23</v>
      </c>
      <c r="O90" s="19" t="str">
        <f>+VLOOKUP(B90,'DECRETOS PESTABILIZADO'!B:B,1,0)</f>
        <v>P.AZUCAR</v>
      </c>
      <c r="P90" s="9"/>
    </row>
    <row r="91" spans="1:16">
      <c r="A91">
        <v>15</v>
      </c>
      <c r="B91" t="s">
        <v>9</v>
      </c>
      <c r="C91">
        <v>220</v>
      </c>
      <c r="D91" t="s">
        <v>1401</v>
      </c>
      <c r="E91">
        <v>66</v>
      </c>
      <c r="F91">
        <v>3.1331651598225804E-2</v>
      </c>
      <c r="G91" s="14" t="str">
        <f>+'PMG(D) segun remuneracion'!$K$1</f>
        <v>01-09-2026</v>
      </c>
      <c r="H91" s="14" t="str">
        <f>+'PMG(D) segun remuneracion'!$K$2</f>
        <v>30-09-2026</v>
      </c>
      <c r="I91" s="9">
        <f>+'PMG(D) segun remuneracion'!$K$3</f>
        <v>2</v>
      </c>
      <c r="J91" s="9">
        <f>+'PMG(D) segun remuneracion'!$K$4</f>
        <v>1</v>
      </c>
      <c r="K91" s="9"/>
      <c r="N91" s="19" t="str">
        <f t="shared" si="6"/>
        <v>TAP_EL_MAITEN_66</v>
      </c>
      <c r="O91" s="19" t="str">
        <f>+VLOOKUP(B91,'DECRETOS PESTABILIZADO'!B:B,1,0)</f>
        <v>A.JAHUEL</v>
      </c>
      <c r="P91" s="9"/>
    </row>
    <row r="92" spans="1:16">
      <c r="A92">
        <v>15</v>
      </c>
      <c r="B92" t="s">
        <v>248</v>
      </c>
      <c r="C92">
        <v>220</v>
      </c>
      <c r="D92" t="s">
        <v>1401</v>
      </c>
      <c r="E92">
        <v>66</v>
      </c>
      <c r="F92">
        <v>0.94890829722588066</v>
      </c>
      <c r="G92" s="14" t="str">
        <f>+'PMG(D) segun remuneracion'!$K$1</f>
        <v>01-09-2026</v>
      </c>
      <c r="H92" s="14" t="str">
        <f>+'PMG(D) segun remuneracion'!$K$2</f>
        <v>30-09-2026</v>
      </c>
      <c r="I92" s="9">
        <f>+'PMG(D) segun remuneracion'!$K$3</f>
        <v>2</v>
      </c>
      <c r="J92" s="9">
        <f>+'PMG(D) segun remuneracion'!$K$4</f>
        <v>1</v>
      </c>
      <c r="K92" s="9"/>
      <c r="N92" s="19" t="str">
        <f t="shared" si="6"/>
        <v>TAP_EL_MAITEN_66</v>
      </c>
      <c r="O92" s="19" t="str">
        <f>+VLOOKUP(B92,'DECRETOS PESTABILIZADO'!B:B,1,0)</f>
        <v>CHARRUA</v>
      </c>
      <c r="P92" s="9"/>
    </row>
    <row r="93" spans="1:16">
      <c r="A93">
        <v>15</v>
      </c>
      <c r="B93" t="s">
        <v>548</v>
      </c>
      <c r="C93">
        <v>220</v>
      </c>
      <c r="D93" t="s">
        <v>1401</v>
      </c>
      <c r="E93">
        <v>66</v>
      </c>
      <c r="F93">
        <v>1.0461515516109307E-2</v>
      </c>
      <c r="G93" s="14" t="str">
        <f>+'PMG(D) segun remuneracion'!$K$1</f>
        <v>01-09-2026</v>
      </c>
      <c r="H93" s="14" t="str">
        <f>+'PMG(D) segun remuneracion'!$K$2</f>
        <v>30-09-2026</v>
      </c>
      <c r="I93" s="9">
        <f>+'PMG(D) segun remuneracion'!$K$3</f>
        <v>2</v>
      </c>
      <c r="J93" s="9">
        <f>+'PMG(D) segun remuneracion'!$K$4</f>
        <v>1</v>
      </c>
      <c r="K93" s="9"/>
      <c r="N93" s="19" t="str">
        <f t="shared" ref="N93:N97" si="7">+D93&amp;"_"&amp;E93</f>
        <v>TAP_EL_MAITEN_66</v>
      </c>
      <c r="O93" s="19" t="str">
        <f>+VLOOKUP(B93,'DECRETOS PESTABILIZADO'!B:B,1,0)</f>
        <v>ITAHUE</v>
      </c>
      <c r="P93" s="9"/>
    </row>
    <row r="94" spans="1:16">
      <c r="A94">
        <v>15</v>
      </c>
      <c r="B94" t="s">
        <v>14</v>
      </c>
      <c r="C94">
        <v>220</v>
      </c>
      <c r="D94" t="s">
        <v>1401</v>
      </c>
      <c r="E94">
        <v>66</v>
      </c>
      <c r="F94">
        <v>6.0600704068681979E-3</v>
      </c>
      <c r="G94" s="14" t="str">
        <f>+'PMG(D) segun remuneracion'!$K$1</f>
        <v>01-09-2026</v>
      </c>
      <c r="H94" s="14" t="str">
        <f>+'PMG(D) segun remuneracion'!$K$2</f>
        <v>30-09-2026</v>
      </c>
      <c r="I94" s="9">
        <f>+'PMG(D) segun remuneracion'!$K$3</f>
        <v>2</v>
      </c>
      <c r="J94" s="9">
        <f>+'PMG(D) segun remuneracion'!$K$4</f>
        <v>1</v>
      </c>
      <c r="K94" s="9"/>
      <c r="N94" s="19" t="str">
        <f t="shared" si="7"/>
        <v>TAP_EL_MAITEN_66</v>
      </c>
      <c r="O94" s="19" t="str">
        <f>+VLOOKUP(B94,'DECRETOS PESTABILIZADO'!B:B,1,0)</f>
        <v>A.MELIP</v>
      </c>
      <c r="P94" s="9"/>
    </row>
    <row r="95" spans="1:16">
      <c r="A95">
        <v>15</v>
      </c>
      <c r="B95" t="s">
        <v>1197</v>
      </c>
      <c r="C95">
        <v>220</v>
      </c>
      <c r="D95" t="s">
        <v>1401</v>
      </c>
      <c r="E95">
        <v>66</v>
      </c>
      <c r="F95">
        <v>3.2384652529161991E-3</v>
      </c>
      <c r="G95" s="14" t="str">
        <f>+'PMG(D) segun remuneracion'!$K$1</f>
        <v>01-09-2026</v>
      </c>
      <c r="H95" s="14" t="str">
        <f>+'PMG(D) segun remuneracion'!$K$2</f>
        <v>30-09-2026</v>
      </c>
      <c r="I95" s="9">
        <f>+'PMG(D) segun remuneracion'!$K$3</f>
        <v>2</v>
      </c>
      <c r="J95" s="9">
        <f>+'PMG(D) segun remuneracion'!$K$4</f>
        <v>1</v>
      </c>
      <c r="K95" s="9"/>
      <c r="N95" s="19" t="str">
        <f t="shared" si="7"/>
        <v>TAP_EL_MAITEN_66</v>
      </c>
      <c r="O95" s="19" t="str">
        <f>+VLOOKUP(B95,'DECRETOS PESTABILIZADO'!B:B,1,0)</f>
        <v>RAPEL</v>
      </c>
      <c r="P95" s="9"/>
    </row>
    <row r="96" spans="1:16">
      <c r="A96">
        <v>15</v>
      </c>
      <c r="B96" t="s">
        <v>182</v>
      </c>
      <c r="C96">
        <v>220</v>
      </c>
      <c r="D96" t="s">
        <v>355</v>
      </c>
      <c r="E96">
        <v>23</v>
      </c>
      <c r="F96">
        <v>1</v>
      </c>
      <c r="G96" s="14" t="str">
        <f>+'PMG(D) segun remuneracion'!$K$1</f>
        <v>01-09-2026</v>
      </c>
      <c r="H96" s="14" t="str">
        <f>+'PMG(D) segun remuneracion'!$K$2</f>
        <v>30-09-2026</v>
      </c>
      <c r="I96" s="9">
        <f>+'PMG(D) segun remuneracion'!$K$3</f>
        <v>2</v>
      </c>
      <c r="J96" s="9">
        <f>+'PMG(D) segun remuneracion'!$K$4</f>
        <v>1</v>
      </c>
      <c r="K96" s="9"/>
      <c r="N96" s="19" t="str">
        <f t="shared" si="7"/>
        <v>CORRALES_23</v>
      </c>
      <c r="O96" s="19" t="str">
        <f>+VLOOKUP(B96,'DECRETOS PESTABILIZADO'!B:B,1,0)</f>
        <v>CANDELARIA</v>
      </c>
      <c r="P96" s="9"/>
    </row>
    <row r="97" spans="1:16">
      <c r="A97">
        <v>15</v>
      </c>
      <c r="B97" t="s">
        <v>1151</v>
      </c>
      <c r="C97">
        <v>220</v>
      </c>
      <c r="D97" t="s">
        <v>204</v>
      </c>
      <c r="E97">
        <v>23</v>
      </c>
      <c r="F97">
        <v>1</v>
      </c>
      <c r="G97" s="14" t="str">
        <f>+'PMG(D) segun remuneracion'!$K$1</f>
        <v>01-09-2026</v>
      </c>
      <c r="H97" s="14" t="str">
        <f>+'PMG(D) segun remuneracion'!$K$2</f>
        <v>30-09-2026</v>
      </c>
      <c r="I97" s="9">
        <f>+'PMG(D) segun remuneracion'!$K$3</f>
        <v>2</v>
      </c>
      <c r="J97" s="9">
        <f>+'PMG(D) segun remuneracion'!$K$4</f>
        <v>1</v>
      </c>
      <c r="K97" s="9"/>
      <c r="N97" s="19" t="str">
        <f t="shared" si="7"/>
        <v>CASASVIEJAS_23</v>
      </c>
      <c r="O97" s="19" t="str">
        <f>+VLOOKUP(B97,'DECRETOS PESTABILIZADO'!B:B,1,0)</f>
        <v>QUILLOTA</v>
      </c>
      <c r="P97" s="9"/>
    </row>
    <row r="98" spans="1:16">
      <c r="A98">
        <v>15</v>
      </c>
      <c r="B98" t="s">
        <v>9</v>
      </c>
      <c r="C98">
        <v>220</v>
      </c>
      <c r="D98" t="s">
        <v>1128</v>
      </c>
      <c r="E98">
        <v>13</v>
      </c>
      <c r="F98">
        <v>0.61475865247749706</v>
      </c>
      <c r="G98" s="14" t="str">
        <f>+'PMG(D) segun remuneracion'!$K$1</f>
        <v>01-09-2026</v>
      </c>
      <c r="H98" s="14" t="str">
        <f>+'PMG(D) segun remuneracion'!$K$2</f>
        <v>30-09-2026</v>
      </c>
      <c r="I98" s="9">
        <f>+'PMG(D) segun remuneracion'!$K$3</f>
        <v>2</v>
      </c>
      <c r="J98" s="9">
        <f>+'PMG(D) segun remuneracion'!$K$4</f>
        <v>1</v>
      </c>
      <c r="K98" s="9"/>
      <c r="N98" s="19" t="str">
        <f t="shared" ref="N98:N102" si="8">+D98&amp;"_"&amp;E98</f>
        <v>QTILCOCO_13</v>
      </c>
      <c r="O98" s="19" t="str">
        <f>+VLOOKUP(B98,'DECRETOS PESTABILIZADO'!B:B,1,0)</f>
        <v>A.JAHUEL</v>
      </c>
      <c r="P98" s="9"/>
    </row>
    <row r="99" spans="1:16">
      <c r="A99">
        <v>15</v>
      </c>
      <c r="B99" t="s">
        <v>248</v>
      </c>
      <c r="C99">
        <v>220</v>
      </c>
      <c r="D99" t="s">
        <v>1128</v>
      </c>
      <c r="E99">
        <v>13</v>
      </c>
      <c r="F99">
        <v>8.7658908272897924E-3</v>
      </c>
      <c r="G99" s="14" t="str">
        <f>+'PMG(D) segun remuneracion'!$K$1</f>
        <v>01-09-2026</v>
      </c>
      <c r="H99" s="14" t="str">
        <f>+'PMG(D) segun remuneracion'!$K$2</f>
        <v>30-09-2026</v>
      </c>
      <c r="I99" s="9">
        <f>+'PMG(D) segun remuneracion'!$K$3</f>
        <v>2</v>
      </c>
      <c r="J99" s="9">
        <f>+'PMG(D) segun remuneracion'!$K$4</f>
        <v>1</v>
      </c>
      <c r="K99" s="9"/>
      <c r="N99" s="19" t="str">
        <f t="shared" si="8"/>
        <v>QTILCOCO_13</v>
      </c>
      <c r="O99" s="19" t="str">
        <f>+VLOOKUP(B99,'DECRETOS PESTABILIZADO'!B:B,1,0)</f>
        <v>CHARRUA</v>
      </c>
      <c r="P99" s="9"/>
    </row>
    <row r="100" spans="1:16">
      <c r="A100">
        <v>15</v>
      </c>
      <c r="B100" t="s">
        <v>548</v>
      </c>
      <c r="C100">
        <v>220</v>
      </c>
      <c r="D100" t="s">
        <v>1128</v>
      </c>
      <c r="E100">
        <v>13</v>
      </c>
      <c r="F100">
        <v>0.36677556608418688</v>
      </c>
      <c r="G100" s="14" t="str">
        <f>+'PMG(D) segun remuneracion'!$K$1</f>
        <v>01-09-2026</v>
      </c>
      <c r="H100" s="14" t="str">
        <f>+'PMG(D) segun remuneracion'!$K$2</f>
        <v>30-09-2026</v>
      </c>
      <c r="I100" s="9">
        <f>+'PMG(D) segun remuneracion'!$K$3</f>
        <v>2</v>
      </c>
      <c r="J100" s="9">
        <f>+'PMG(D) segun remuneracion'!$K$4</f>
        <v>1</v>
      </c>
      <c r="K100" s="9"/>
      <c r="N100" s="19" t="str">
        <f t="shared" si="8"/>
        <v>QTILCOCO_13</v>
      </c>
      <c r="O100" s="19" t="str">
        <f>+VLOOKUP(B100,'DECRETOS PESTABILIZADO'!B:B,1,0)</f>
        <v>ITAHUE</v>
      </c>
      <c r="P100" s="9"/>
    </row>
    <row r="101" spans="1:16">
      <c r="A101">
        <v>15</v>
      </c>
      <c r="B101" t="s">
        <v>14</v>
      </c>
      <c r="C101">
        <v>220</v>
      </c>
      <c r="D101" t="s">
        <v>1128</v>
      </c>
      <c r="E101">
        <v>13</v>
      </c>
      <c r="F101">
        <v>7.0483130398729336E-3</v>
      </c>
      <c r="G101" s="14" t="str">
        <f>+'PMG(D) segun remuneracion'!$K$1</f>
        <v>01-09-2026</v>
      </c>
      <c r="H101" s="14" t="str">
        <f>+'PMG(D) segun remuneracion'!$K$2</f>
        <v>30-09-2026</v>
      </c>
      <c r="I101" s="9">
        <f>+'PMG(D) segun remuneracion'!$K$3</f>
        <v>2</v>
      </c>
      <c r="J101" s="9">
        <f>+'PMG(D) segun remuneracion'!$K$4</f>
        <v>1</v>
      </c>
      <c r="K101" s="9"/>
      <c r="N101" s="19" t="str">
        <f t="shared" si="8"/>
        <v>QTILCOCO_13</v>
      </c>
      <c r="O101" s="19" t="str">
        <f>+VLOOKUP(B101,'DECRETOS PESTABILIZADO'!B:B,1,0)</f>
        <v>A.MELIP</v>
      </c>
      <c r="P101" s="9"/>
    </row>
    <row r="102" spans="1:16">
      <c r="A102">
        <v>15</v>
      </c>
      <c r="B102" t="s">
        <v>1197</v>
      </c>
      <c r="C102">
        <v>220</v>
      </c>
      <c r="D102" t="s">
        <v>1128</v>
      </c>
      <c r="E102">
        <v>13</v>
      </c>
      <c r="F102">
        <v>2.6515775711532601E-3</v>
      </c>
      <c r="G102" s="14" t="str">
        <f>+'PMG(D) segun remuneracion'!$K$1</f>
        <v>01-09-2026</v>
      </c>
      <c r="H102" s="14" t="str">
        <f>+'PMG(D) segun remuneracion'!$K$2</f>
        <v>30-09-2026</v>
      </c>
      <c r="I102" s="9">
        <f>+'PMG(D) segun remuneracion'!$K$3</f>
        <v>2</v>
      </c>
      <c r="J102" s="9">
        <f>+'PMG(D) segun remuneracion'!$K$4</f>
        <v>1</v>
      </c>
      <c r="K102" s="9"/>
      <c r="N102" s="19" t="str">
        <f t="shared" si="8"/>
        <v>QTILCOCO_13</v>
      </c>
      <c r="O102" s="19" t="str">
        <f>+VLOOKUP(B102,'DECRETOS PESTABILIZADO'!B:B,1,0)</f>
        <v>RAPEL</v>
      </c>
      <c r="P102" s="9"/>
    </row>
    <row r="103" spans="1:16">
      <c r="A103">
        <v>15</v>
      </c>
      <c r="B103" t="s">
        <v>9</v>
      </c>
      <c r="C103">
        <v>220</v>
      </c>
      <c r="D103" t="s">
        <v>36</v>
      </c>
      <c r="E103">
        <v>15</v>
      </c>
      <c r="F103">
        <v>0.73867678505172096</v>
      </c>
      <c r="G103" s="14" t="str">
        <f>+'PMG(D) segun remuneracion'!$K$1</f>
        <v>01-09-2026</v>
      </c>
      <c r="H103" s="14" t="str">
        <f>+'PMG(D) segun remuneracion'!$K$2</f>
        <v>30-09-2026</v>
      </c>
      <c r="I103" s="9">
        <f>+'PMG(D) segun remuneracion'!$K$3</f>
        <v>2</v>
      </c>
      <c r="J103" s="9">
        <f>+'PMG(D) segun remuneracion'!$K$4</f>
        <v>1</v>
      </c>
      <c r="K103" s="9"/>
      <c r="N103" s="19" t="str">
        <f t="shared" ref="N103:N107" si="9">+D103&amp;"_"&amp;E103</f>
        <v>ALAMEDA_15</v>
      </c>
      <c r="O103" s="19" t="str">
        <f>+VLOOKUP(B103,'DECRETOS PESTABILIZADO'!B:B,1,0)</f>
        <v>A.JAHUEL</v>
      </c>
      <c r="P103" s="9"/>
    </row>
    <row r="104" spans="1:16">
      <c r="A104">
        <v>15</v>
      </c>
      <c r="B104" t="s">
        <v>248</v>
      </c>
      <c r="C104">
        <v>220</v>
      </c>
      <c r="D104" t="s">
        <v>36</v>
      </c>
      <c r="E104">
        <v>15</v>
      </c>
      <c r="F104">
        <v>6.2679698131083662E-3</v>
      </c>
      <c r="G104" s="14" t="str">
        <f>+'PMG(D) segun remuneracion'!$K$1</f>
        <v>01-09-2026</v>
      </c>
      <c r="H104" s="14" t="str">
        <f>+'PMG(D) segun remuneracion'!$K$2</f>
        <v>30-09-2026</v>
      </c>
      <c r="I104" s="9">
        <f>+'PMG(D) segun remuneracion'!$K$3</f>
        <v>2</v>
      </c>
      <c r="J104" s="9">
        <f>+'PMG(D) segun remuneracion'!$K$4</f>
        <v>1</v>
      </c>
      <c r="K104" s="9"/>
      <c r="N104" s="19" t="str">
        <f t="shared" si="9"/>
        <v>ALAMEDA_15</v>
      </c>
      <c r="O104" s="19" t="str">
        <f>+VLOOKUP(B104,'DECRETOS PESTABILIZADO'!B:B,1,0)</f>
        <v>CHARRUA</v>
      </c>
      <c r="P104" s="9"/>
    </row>
    <row r="105" spans="1:16">
      <c r="A105">
        <v>15</v>
      </c>
      <c r="B105" t="s">
        <v>548</v>
      </c>
      <c r="C105">
        <v>220</v>
      </c>
      <c r="D105" t="s">
        <v>36</v>
      </c>
      <c r="E105">
        <v>15</v>
      </c>
      <c r="F105">
        <v>0.24128094246944429</v>
      </c>
      <c r="G105" s="14" t="str">
        <f>+'PMG(D) segun remuneracion'!$K$1</f>
        <v>01-09-2026</v>
      </c>
      <c r="H105" s="14" t="str">
        <f>+'PMG(D) segun remuneracion'!$K$2</f>
        <v>30-09-2026</v>
      </c>
      <c r="I105" s="9">
        <f>+'PMG(D) segun remuneracion'!$K$3</f>
        <v>2</v>
      </c>
      <c r="J105" s="9">
        <f>+'PMG(D) segun remuneracion'!$K$4</f>
        <v>1</v>
      </c>
      <c r="K105" s="9"/>
      <c r="N105" s="19" t="str">
        <f t="shared" si="9"/>
        <v>ALAMEDA_15</v>
      </c>
      <c r="O105" s="19" t="str">
        <f>+VLOOKUP(B105,'DECRETOS PESTABILIZADO'!B:B,1,0)</f>
        <v>ITAHUE</v>
      </c>
      <c r="P105" s="9"/>
    </row>
    <row r="106" spans="1:16">
      <c r="A106">
        <v>15</v>
      </c>
      <c r="B106" t="s">
        <v>14</v>
      </c>
      <c r="C106">
        <v>220</v>
      </c>
      <c r="D106" t="s">
        <v>36</v>
      </c>
      <c r="E106">
        <v>15</v>
      </c>
      <c r="F106">
        <v>1.011216668274295E-2</v>
      </c>
      <c r="G106" s="14" t="str">
        <f>+'PMG(D) segun remuneracion'!$K$1</f>
        <v>01-09-2026</v>
      </c>
      <c r="H106" s="14" t="str">
        <f>+'PMG(D) segun remuneracion'!$K$2</f>
        <v>30-09-2026</v>
      </c>
      <c r="I106" s="9">
        <f>+'PMG(D) segun remuneracion'!$K$3</f>
        <v>2</v>
      </c>
      <c r="J106" s="9">
        <f>+'PMG(D) segun remuneracion'!$K$4</f>
        <v>1</v>
      </c>
      <c r="K106" s="9"/>
      <c r="N106" s="19" t="str">
        <f t="shared" si="9"/>
        <v>ALAMEDA_15</v>
      </c>
      <c r="O106" s="19" t="str">
        <f>+VLOOKUP(B106,'DECRETOS PESTABILIZADO'!B:B,1,0)</f>
        <v>A.MELIP</v>
      </c>
      <c r="P106" s="9"/>
    </row>
    <row r="107" spans="1:16">
      <c r="A107">
        <v>15</v>
      </c>
      <c r="B107" t="s">
        <v>1197</v>
      </c>
      <c r="C107">
        <v>220</v>
      </c>
      <c r="D107" t="s">
        <v>36</v>
      </c>
      <c r="E107">
        <v>15</v>
      </c>
      <c r="F107">
        <v>3.6621359829833431E-3</v>
      </c>
      <c r="G107" s="14" t="str">
        <f>+'PMG(D) segun remuneracion'!$K$1</f>
        <v>01-09-2026</v>
      </c>
      <c r="H107" s="14" t="str">
        <f>+'PMG(D) segun remuneracion'!$K$2</f>
        <v>30-09-2026</v>
      </c>
      <c r="I107" s="9">
        <f>+'PMG(D) segun remuneracion'!$K$3</f>
        <v>2</v>
      </c>
      <c r="J107" s="9">
        <f>+'PMG(D) segun remuneracion'!$K$4</f>
        <v>1</v>
      </c>
      <c r="K107" s="9"/>
      <c r="N107" s="19" t="str">
        <f t="shared" si="9"/>
        <v>ALAMEDA_15</v>
      </c>
      <c r="O107" s="19" t="str">
        <f>+VLOOKUP(B107,'DECRETOS PESTABILIZADO'!B:B,1,0)</f>
        <v>RAPEL</v>
      </c>
      <c r="P107" s="9"/>
    </row>
    <row r="108" spans="1:16">
      <c r="A108">
        <v>15</v>
      </c>
      <c r="B108" t="s">
        <v>1187</v>
      </c>
      <c r="C108">
        <v>220</v>
      </c>
      <c r="D108" t="s">
        <v>271</v>
      </c>
      <c r="E108">
        <v>23</v>
      </c>
      <c r="F108">
        <v>1</v>
      </c>
      <c r="G108" s="14" t="str">
        <f>+'PMG(D) segun remuneracion'!$K$1</f>
        <v>01-09-2026</v>
      </c>
      <c r="H108" s="14" t="str">
        <f>+'PMG(D) segun remuneracion'!$K$2</f>
        <v>30-09-2026</v>
      </c>
      <c r="I108" s="9">
        <f>+'PMG(D) segun remuneracion'!$K$3</f>
        <v>2</v>
      </c>
      <c r="J108" s="9">
        <f>+'PMG(D) segun remuneracion'!$K$4</f>
        <v>1</v>
      </c>
      <c r="N108" s="19" t="str">
        <f t="shared" ref="N108" si="10">+D108&amp;"_"&amp;E108</f>
        <v>CHIRRE_23</v>
      </c>
      <c r="O108" s="19" t="str">
        <f>+VLOOKUP(B108,'DECRETOS PESTABILIZADO'!B:B,1,0)</f>
        <v>RAHUE</v>
      </c>
    </row>
    <row r="109" spans="1:16">
      <c r="A109">
        <v>15</v>
      </c>
      <c r="B109" t="s">
        <v>218</v>
      </c>
      <c r="C109">
        <v>220</v>
      </c>
      <c r="D109" t="s">
        <v>4154</v>
      </c>
      <c r="E109">
        <v>13</v>
      </c>
      <c r="F109">
        <v>3.2448474880527496E-2</v>
      </c>
      <c r="G109" s="14" t="str">
        <f>+'PMG(D) segun remuneracion'!$K$1</f>
        <v>01-09-2026</v>
      </c>
      <c r="H109" s="14" t="str">
        <f>+'PMG(D) segun remuneracion'!$K$2</f>
        <v>30-09-2026</v>
      </c>
      <c r="I109" s="9">
        <f>+'PMG(D) segun remuneracion'!$K$3</f>
        <v>2</v>
      </c>
      <c r="J109" s="9">
        <f>+'PMG(D) segun remuneracion'!$K$4</f>
        <v>1</v>
      </c>
      <c r="N109" s="19" t="str">
        <f t="shared" ref="N109:N114" si="11">+D109&amp;"_"&amp;E109</f>
        <v>PANGUE_13</v>
      </c>
      <c r="O109" s="19" t="str">
        <f>+VLOOKUP(B109,'DECRETOS PESTABILIZADO'!B:B,1,0)</f>
        <v>CAUTIN</v>
      </c>
    </row>
    <row r="110" spans="1:16">
      <c r="A110">
        <v>15</v>
      </c>
      <c r="B110" t="s">
        <v>248</v>
      </c>
      <c r="C110">
        <v>220</v>
      </c>
      <c r="D110" t="s">
        <v>4154</v>
      </c>
      <c r="E110">
        <v>13</v>
      </c>
      <c r="F110">
        <v>0.96014891942430369</v>
      </c>
      <c r="G110" s="14" t="str">
        <f>+'PMG(D) segun remuneracion'!$K$1</f>
        <v>01-09-2026</v>
      </c>
      <c r="H110" s="14" t="str">
        <f>+'PMG(D) segun remuneracion'!$K$2</f>
        <v>30-09-2026</v>
      </c>
      <c r="I110" s="9">
        <f>+'PMG(D) segun remuneracion'!$K$3</f>
        <v>2</v>
      </c>
      <c r="J110" s="9">
        <f>+'PMG(D) segun remuneracion'!$K$4</f>
        <v>1</v>
      </c>
      <c r="N110" s="19" t="str">
        <f t="shared" si="11"/>
        <v>PANGUE_13</v>
      </c>
      <c r="O110" s="19" t="str">
        <f>+VLOOKUP(B110,'DECRETOS PESTABILIZADO'!B:B,1,0)</f>
        <v>CHARRUA</v>
      </c>
    </row>
    <row r="111" spans="1:16">
      <c r="A111">
        <v>15</v>
      </c>
      <c r="B111" t="s">
        <v>1454</v>
      </c>
      <c r="C111">
        <v>220</v>
      </c>
      <c r="D111" t="s">
        <v>4154</v>
      </c>
      <c r="E111">
        <v>13</v>
      </c>
      <c r="F111">
        <v>7.4026056951687676E-3</v>
      </c>
      <c r="G111" s="14" t="str">
        <f>+'PMG(D) segun remuneracion'!$K$1</f>
        <v>01-09-2026</v>
      </c>
      <c r="H111" s="14" t="str">
        <f>+'PMG(D) segun remuneracion'!$K$2</f>
        <v>30-09-2026</v>
      </c>
      <c r="I111" s="9">
        <f>+'PMG(D) segun remuneracion'!$K$3</f>
        <v>2</v>
      </c>
      <c r="J111" s="9">
        <f>+'PMG(D) segun remuneracion'!$K$4</f>
        <v>1</v>
      </c>
      <c r="N111" s="19" t="str">
        <f t="shared" si="11"/>
        <v>PANGUE_13</v>
      </c>
      <c r="O111" s="19" t="str">
        <f>+VLOOKUP(B111,'DECRETOS PESTABILIZADO'!B:B,1,0)</f>
        <v>TEMUCO</v>
      </c>
    </row>
    <row r="112" spans="1:16">
      <c r="A112">
        <v>15</v>
      </c>
      <c r="B112" t="s">
        <v>248</v>
      </c>
      <c r="C112">
        <v>220</v>
      </c>
      <c r="D112" t="s">
        <v>3592</v>
      </c>
      <c r="E112">
        <v>13</v>
      </c>
      <c r="F112">
        <v>0.49307482136648134</v>
      </c>
      <c r="G112" s="14" t="str">
        <f>+'PMG(D) segun remuneracion'!$K$1</f>
        <v>01-09-2026</v>
      </c>
      <c r="H112" s="14" t="str">
        <f>+'PMG(D) segun remuneracion'!$K$2</f>
        <v>30-09-2026</v>
      </c>
      <c r="I112" s="9">
        <f>+'PMG(D) segun remuneracion'!$K$3</f>
        <v>2</v>
      </c>
      <c r="J112" s="9">
        <f>+'PMG(D) segun remuneracion'!$K$4</f>
        <v>1</v>
      </c>
      <c r="N112" s="19" t="str">
        <f t="shared" si="11"/>
        <v>T.PINOS_13</v>
      </c>
      <c r="O112" s="19" t="str">
        <f>+VLOOKUP(B112,'DECRETOS PESTABILIZADO'!B:B,1,0)</f>
        <v>CHARRUA</v>
      </c>
    </row>
    <row r="113" spans="1:15">
      <c r="A113">
        <v>15</v>
      </c>
      <c r="B113" t="s">
        <v>521</v>
      </c>
      <c r="C113">
        <v>220</v>
      </c>
      <c r="D113" t="s">
        <v>3592</v>
      </c>
      <c r="E113">
        <v>13</v>
      </c>
      <c r="F113">
        <v>0.16092484493978701</v>
      </c>
      <c r="G113" s="14" t="str">
        <f>+'PMG(D) segun remuneracion'!$K$1</f>
        <v>01-09-2026</v>
      </c>
      <c r="H113" s="14" t="str">
        <f>+'PMG(D) segun remuneracion'!$K$2</f>
        <v>30-09-2026</v>
      </c>
      <c r="I113" s="9">
        <f>+'PMG(D) segun remuneracion'!$K$3</f>
        <v>2</v>
      </c>
      <c r="J113" s="9">
        <f>+'PMG(D) segun remuneracion'!$K$4</f>
        <v>1</v>
      </c>
      <c r="N113" s="19" t="str">
        <f t="shared" si="11"/>
        <v>T.PINOS_13</v>
      </c>
      <c r="O113" s="19" t="str">
        <f>+VLOOKUP(B113,'DECRETOS PESTABILIZADO'!B:B,1,0)</f>
        <v>HUALPEN</v>
      </c>
    </row>
    <row r="114" spans="1:15">
      <c r="A114">
        <v>15</v>
      </c>
      <c r="B114" t="s">
        <v>635</v>
      </c>
      <c r="C114">
        <v>220</v>
      </c>
      <c r="D114" t="s">
        <v>3592</v>
      </c>
      <c r="E114">
        <v>13</v>
      </c>
      <c r="F114">
        <v>0.34600033369373162</v>
      </c>
      <c r="G114" s="14" t="str">
        <f>+'PMG(D) segun remuneracion'!$K$1</f>
        <v>01-09-2026</v>
      </c>
      <c r="H114" s="14" t="str">
        <f>+'PMG(D) segun remuneracion'!$K$2</f>
        <v>30-09-2026</v>
      </c>
      <c r="I114" s="9">
        <f>+'PMG(D) segun remuneracion'!$K$3</f>
        <v>2</v>
      </c>
      <c r="J114" s="9">
        <f>+'PMG(D) segun remuneracion'!$K$4</f>
        <v>1</v>
      </c>
      <c r="N114" s="19" t="str">
        <f t="shared" si="11"/>
        <v>T.PINOS_13</v>
      </c>
      <c r="O114" s="19" t="str">
        <f>+VLOOKUP(B114,'DECRETOS PESTABILIZADO'!B:B,1,0)</f>
        <v>LAGUNILLAS</v>
      </c>
    </row>
  </sheetData>
  <autoFilter ref="N1:O92" xr:uid="{6B4945D6-0A14-4696-A992-181A13292EE3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trae_FR">
                <anchor moveWithCells="1" sizeWithCells="1">
                  <from>
                    <xdr:col>11</xdr:col>
                    <xdr:colOff>295275</xdr:colOff>
                    <xdr:row>2</xdr:row>
                    <xdr:rowOff>95250</xdr:rowOff>
                  </from>
                  <to>
                    <xdr:col>11</xdr:col>
                    <xdr:colOff>1847850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6FF8F-EF29-49DA-91DB-B73244405CE4}">
  <sheetPr codeName="Hoja6">
    <tabColor rgb="FF0070C0"/>
  </sheetPr>
  <dimension ref="A1:I7"/>
  <sheetViews>
    <sheetView workbookViewId="0">
      <selection activeCell="C7" sqref="C7"/>
    </sheetView>
  </sheetViews>
  <sheetFormatPr baseColWidth="10" defaultRowHeight="15"/>
  <cols>
    <col min="1" max="2" width="14" style="9" bestFit="1" customWidth="1"/>
    <col min="3" max="3" width="18.28515625" bestFit="1" customWidth="1"/>
    <col min="4" max="4" width="23.7109375" style="9" bestFit="1" customWidth="1"/>
    <col min="5" max="5" width="21.42578125" style="9" bestFit="1" customWidth="1"/>
    <col min="6" max="6" width="12.85546875" style="9" bestFit="1" customWidth="1"/>
    <col min="7" max="7" width="8" style="9" bestFit="1" customWidth="1"/>
    <col min="9" max="9" width="41.7109375" customWidth="1"/>
  </cols>
  <sheetData>
    <row r="1" spans="1:9" ht="16.5" thickBot="1">
      <c r="A1" s="17" t="s">
        <v>3257</v>
      </c>
      <c r="B1" s="17" t="s">
        <v>3257</v>
      </c>
      <c r="C1" s="16" t="s">
        <v>3258</v>
      </c>
      <c r="D1" s="17" t="s">
        <v>3259</v>
      </c>
      <c r="E1" s="17" t="s">
        <v>3260</v>
      </c>
      <c r="F1" s="17" t="s">
        <v>1565</v>
      </c>
      <c r="G1" s="17" t="s">
        <v>1566</v>
      </c>
      <c r="I1" s="43" t="str">
        <f>+'FACTORES DE REFERENCIACION'!L1</f>
        <v>*Informe de Armonización 2erSem2026</v>
      </c>
    </row>
    <row r="2" spans="1:9" ht="15.75">
      <c r="A2" s="9" t="s">
        <v>3300</v>
      </c>
      <c r="B2" s="17">
        <v>1</v>
      </c>
      <c r="C2" s="16">
        <v>1.0111399999999999</v>
      </c>
      <c r="D2" s="18" t="str">
        <f>+'PMG(D) segun remuneracion'!$K$1</f>
        <v>01-09-2026</v>
      </c>
      <c r="E2" s="18" t="str">
        <f>+'PMG(D) segun remuneracion'!$K$2</f>
        <v>30-09-2026</v>
      </c>
      <c r="F2" s="17">
        <f>+'PMG(D) segun remuneracion'!$K$3</f>
        <v>2</v>
      </c>
      <c r="G2" s="17">
        <f>+'PMG(D) segun remuneracion'!$K$4</f>
        <v>1</v>
      </c>
    </row>
    <row r="3" spans="1:9" ht="15.75">
      <c r="A3" s="9" t="s">
        <v>3301</v>
      </c>
      <c r="B3" s="17">
        <v>2</v>
      </c>
      <c r="C3" s="16">
        <v>1.0792999999999999</v>
      </c>
      <c r="D3" s="18" t="str">
        <f>+'PMG(D) segun remuneracion'!$K$1</f>
        <v>01-09-2026</v>
      </c>
      <c r="E3" s="18" t="str">
        <f>+'PMG(D) segun remuneracion'!$K$2</f>
        <v>30-09-2026</v>
      </c>
      <c r="F3" s="17">
        <f>+'PMG(D) segun remuneracion'!$K$3</f>
        <v>2</v>
      </c>
      <c r="G3" s="17">
        <f>+'PMG(D) segun remuneracion'!$K$4</f>
        <v>1</v>
      </c>
    </row>
    <row r="4" spans="1:9" ht="15.75">
      <c r="A4" s="9" t="s">
        <v>3302</v>
      </c>
      <c r="B4" s="17">
        <v>3</v>
      </c>
      <c r="C4" s="16">
        <v>1.0163</v>
      </c>
      <c r="D4" s="18" t="str">
        <f>+'PMG(D) segun remuneracion'!$K$1</f>
        <v>01-09-2026</v>
      </c>
      <c r="E4" s="18" t="str">
        <f>+'PMG(D) segun remuneracion'!$K$2</f>
        <v>30-09-2026</v>
      </c>
      <c r="F4" s="17">
        <f>+'PMG(D) segun remuneracion'!$K$3</f>
        <v>2</v>
      </c>
      <c r="G4" s="17">
        <f>+'PMG(D) segun remuneracion'!$K$4</f>
        <v>1</v>
      </c>
    </row>
    <row r="5" spans="1:9" ht="15.75">
      <c r="A5" s="9" t="s">
        <v>3303</v>
      </c>
      <c r="B5" s="17">
        <v>4</v>
      </c>
      <c r="C5" s="16">
        <v>1.01102</v>
      </c>
      <c r="D5" s="18" t="str">
        <f>+'PMG(D) segun remuneracion'!$K$1</f>
        <v>01-09-2026</v>
      </c>
      <c r="E5" s="18" t="str">
        <f>+'PMG(D) segun remuneracion'!$K$2</f>
        <v>30-09-2026</v>
      </c>
      <c r="F5" s="17">
        <f>+'PMG(D) segun remuneracion'!$K$3</f>
        <v>2</v>
      </c>
      <c r="G5" s="17">
        <f>+'PMG(D) segun remuneracion'!$K$4</f>
        <v>1</v>
      </c>
    </row>
    <row r="6" spans="1:9" ht="15.75">
      <c r="A6" s="9" t="s">
        <v>3304</v>
      </c>
      <c r="B6" s="17">
        <v>5</v>
      </c>
      <c r="C6" s="16">
        <v>1.0325599999999999</v>
      </c>
      <c r="D6" s="18" t="str">
        <f>+'PMG(D) segun remuneracion'!$K$1</f>
        <v>01-09-2026</v>
      </c>
      <c r="E6" s="18" t="str">
        <f>+'PMG(D) segun remuneracion'!$K$2</f>
        <v>30-09-2026</v>
      </c>
      <c r="F6" s="17">
        <f>+'PMG(D) segun remuneracion'!$K$3</f>
        <v>2</v>
      </c>
      <c r="G6" s="17">
        <f>+'PMG(D) segun remuneracion'!$K$4</f>
        <v>1</v>
      </c>
    </row>
    <row r="7" spans="1:9" ht="15.75">
      <c r="A7" s="9" t="s">
        <v>3305</v>
      </c>
      <c r="B7" s="17">
        <v>6</v>
      </c>
      <c r="C7" s="16">
        <v>1.02504</v>
      </c>
      <c r="D7" s="18" t="str">
        <f>+'PMG(D) segun remuneracion'!$K$1</f>
        <v>01-09-2026</v>
      </c>
      <c r="E7" s="18" t="str">
        <f>+'PMG(D) segun remuneracion'!$K$2</f>
        <v>30-09-2026</v>
      </c>
      <c r="F7" s="17">
        <f>+'PMG(D) segun remuneracion'!$K$3</f>
        <v>2</v>
      </c>
      <c r="G7" s="17">
        <f>+'PMG(D) segun remuneracion'!$K$4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E1EB2-60D0-48AB-B14A-B420C7194E51}">
  <sheetPr codeName="Hoja5">
    <tabColor rgb="FF0070C0"/>
  </sheetPr>
  <dimension ref="A1:U1275"/>
  <sheetViews>
    <sheetView workbookViewId="0">
      <selection activeCell="H1" sqref="H1"/>
    </sheetView>
  </sheetViews>
  <sheetFormatPr baseColWidth="10" defaultRowHeight="15"/>
  <cols>
    <col min="1" max="2" width="27.7109375" style="37" customWidth="1"/>
    <col min="3" max="3" width="27.7109375" style="39" customWidth="1"/>
    <col min="4" max="6" width="27.7109375" style="37" customWidth="1"/>
    <col min="7" max="7" width="22.140625" customWidth="1"/>
    <col min="8" max="13" width="27.7109375" style="9" customWidth="1"/>
    <col min="14" max="14" width="38.42578125" style="9" customWidth="1"/>
    <col min="15" max="15" width="11.140625" style="9" bestFit="1" customWidth="1"/>
    <col min="16" max="17" width="14" style="9" bestFit="1" customWidth="1"/>
    <col min="18" max="18" width="16.7109375" style="9" bestFit="1" customWidth="1"/>
    <col min="19" max="19" width="18.42578125" style="9" bestFit="1" customWidth="1"/>
  </cols>
  <sheetData>
    <row r="1" spans="1:21">
      <c r="A1" s="41" t="s">
        <v>6588</v>
      </c>
      <c r="H1" s="36"/>
    </row>
    <row r="3" spans="1:21">
      <c r="A3" s="38" t="s">
        <v>3364</v>
      </c>
      <c r="B3" s="38" t="s">
        <v>3365</v>
      </c>
      <c r="C3" s="40" t="s">
        <v>3369</v>
      </c>
      <c r="D3" s="38" t="s">
        <v>3371</v>
      </c>
      <c r="E3" s="38" t="s">
        <v>3372</v>
      </c>
      <c r="F3" s="37" t="s">
        <v>6587</v>
      </c>
      <c r="G3" s="30"/>
      <c r="H3" s="25" t="s">
        <v>3364</v>
      </c>
      <c r="I3" s="25" t="s">
        <v>3365</v>
      </c>
      <c r="J3" s="25" t="s">
        <v>3366</v>
      </c>
      <c r="K3" s="25" t="s">
        <v>3367</v>
      </c>
      <c r="L3" s="25" t="s">
        <v>3368</v>
      </c>
      <c r="M3" s="25" t="s">
        <v>3369</v>
      </c>
      <c r="N3" s="25" t="s">
        <v>3370</v>
      </c>
      <c r="O3" s="25" t="s">
        <v>3371</v>
      </c>
      <c r="P3" s="25" t="s">
        <v>3372</v>
      </c>
      <c r="Q3" s="25" t="s">
        <v>3373</v>
      </c>
      <c r="R3" s="25" t="s">
        <v>3374</v>
      </c>
      <c r="S3" s="25" t="s">
        <v>3375</v>
      </c>
      <c r="U3" s="28" t="s">
        <v>6308</v>
      </c>
    </row>
    <row r="4" spans="1:21">
      <c r="A4" s="37" t="s">
        <v>36</v>
      </c>
      <c r="B4" s="37">
        <v>15</v>
      </c>
      <c r="C4" s="37">
        <v>1</v>
      </c>
      <c r="D4" s="37" t="s">
        <v>6485</v>
      </c>
      <c r="E4" s="37" t="s">
        <v>6586</v>
      </c>
      <c r="F4" s="37">
        <v>70.917678203714317</v>
      </c>
      <c r="H4" t="s">
        <v>36</v>
      </c>
      <c r="I4">
        <v>15</v>
      </c>
      <c r="J4" t="s">
        <v>9</v>
      </c>
      <c r="K4">
        <v>220</v>
      </c>
      <c r="L4">
        <v>0.73867700000000003</v>
      </c>
      <c r="M4">
        <v>1</v>
      </c>
      <c r="N4">
        <v>55.936</v>
      </c>
      <c r="O4" t="s">
        <v>6617</v>
      </c>
      <c r="P4" t="s">
        <v>6586</v>
      </c>
      <c r="Q4">
        <v>1.0325599999999999</v>
      </c>
      <c r="R4" t="s">
        <v>3304</v>
      </c>
      <c r="S4">
        <v>42.663971482040317</v>
      </c>
      <c r="U4" t="s">
        <v>6309</v>
      </c>
    </row>
    <row r="5" spans="1:21">
      <c r="A5" s="37" t="s">
        <v>36</v>
      </c>
      <c r="B5" s="37">
        <v>15</v>
      </c>
      <c r="C5" s="37">
        <v>1</v>
      </c>
      <c r="D5" s="37" t="s">
        <v>6617</v>
      </c>
      <c r="E5" s="37" t="s">
        <v>6586</v>
      </c>
      <c r="F5" s="37">
        <v>57.546107138864798</v>
      </c>
      <c r="H5" t="s">
        <v>36</v>
      </c>
      <c r="I5">
        <v>15</v>
      </c>
      <c r="J5" t="s">
        <v>9</v>
      </c>
      <c r="K5">
        <v>220</v>
      </c>
      <c r="L5">
        <v>0.73867700000000003</v>
      </c>
      <c r="M5">
        <v>2</v>
      </c>
      <c r="N5">
        <v>56.033999999999999</v>
      </c>
      <c r="O5" t="s">
        <v>6617</v>
      </c>
      <c r="P5" t="s">
        <v>6586</v>
      </c>
      <c r="Q5">
        <v>1.0325599999999999</v>
      </c>
      <c r="R5" t="s">
        <v>3304</v>
      </c>
      <c r="S5">
        <v>42.738718857706083</v>
      </c>
    </row>
    <row r="6" spans="1:21">
      <c r="A6" s="37" t="s">
        <v>36</v>
      </c>
      <c r="B6" s="37">
        <v>15</v>
      </c>
      <c r="C6" s="37">
        <v>2</v>
      </c>
      <c r="D6" s="37" t="s">
        <v>6485</v>
      </c>
      <c r="E6" s="37" t="s">
        <v>6586</v>
      </c>
      <c r="F6" s="37">
        <v>64.488073562675922</v>
      </c>
      <c r="H6" t="s">
        <v>36</v>
      </c>
      <c r="I6">
        <v>15</v>
      </c>
      <c r="J6" t="s">
        <v>9</v>
      </c>
      <c r="K6">
        <v>220</v>
      </c>
      <c r="L6">
        <v>0.73867700000000003</v>
      </c>
      <c r="M6">
        <v>3</v>
      </c>
      <c r="N6">
        <v>39.116999999999997</v>
      </c>
      <c r="O6" t="s">
        <v>6617</v>
      </c>
      <c r="P6" t="s">
        <v>6586</v>
      </c>
      <c r="Q6">
        <v>1.0325599999999999</v>
      </c>
      <c r="R6" t="s">
        <v>3304</v>
      </c>
      <c r="S6">
        <v>29.835643815485039</v>
      </c>
    </row>
    <row r="7" spans="1:21">
      <c r="A7" s="37" t="s">
        <v>36</v>
      </c>
      <c r="B7" s="37">
        <v>15</v>
      </c>
      <c r="C7" s="37">
        <v>2</v>
      </c>
      <c r="D7" s="37" t="s">
        <v>6617</v>
      </c>
      <c r="E7" s="37" t="s">
        <v>6586</v>
      </c>
      <c r="F7" s="37">
        <v>57.655586730087762</v>
      </c>
      <c r="H7" t="s">
        <v>36</v>
      </c>
      <c r="I7">
        <v>15</v>
      </c>
      <c r="J7" t="s">
        <v>9</v>
      </c>
      <c r="K7">
        <v>220</v>
      </c>
      <c r="L7">
        <v>0.73867700000000003</v>
      </c>
      <c r="M7">
        <v>4</v>
      </c>
      <c r="N7">
        <v>38.668999999999997</v>
      </c>
      <c r="O7" t="s">
        <v>6617</v>
      </c>
      <c r="P7" t="s">
        <v>6586</v>
      </c>
      <c r="Q7">
        <v>1.0325599999999999</v>
      </c>
      <c r="R7" t="s">
        <v>3304</v>
      </c>
      <c r="S7">
        <v>29.49394152672728</v>
      </c>
    </row>
    <row r="8" spans="1:21">
      <c r="A8" s="37" t="s">
        <v>36</v>
      </c>
      <c r="B8" s="37">
        <v>15</v>
      </c>
      <c r="C8" s="37">
        <v>3</v>
      </c>
      <c r="D8" s="37" t="s">
        <v>6485</v>
      </c>
      <c r="E8" s="37" t="s">
        <v>6586</v>
      </c>
      <c r="F8" s="37">
        <v>33.976708634496156</v>
      </c>
      <c r="H8" t="s">
        <v>36</v>
      </c>
      <c r="I8">
        <v>15</v>
      </c>
      <c r="J8" t="s">
        <v>9</v>
      </c>
      <c r="K8">
        <v>220</v>
      </c>
      <c r="L8">
        <v>0.73867700000000003</v>
      </c>
      <c r="M8">
        <v>5</v>
      </c>
      <c r="N8">
        <v>51.475999999999999</v>
      </c>
      <c r="O8" t="s">
        <v>6617</v>
      </c>
      <c r="P8" t="s">
        <v>6586</v>
      </c>
      <c r="Q8">
        <v>1.0325599999999999</v>
      </c>
      <c r="R8" t="s">
        <v>3304</v>
      </c>
      <c r="S8">
        <v>39.262203160925118</v>
      </c>
    </row>
    <row r="9" spans="1:21">
      <c r="A9" s="37" t="s">
        <v>36</v>
      </c>
      <c r="B9" s="37">
        <v>15</v>
      </c>
      <c r="C9" s="37">
        <v>3</v>
      </c>
      <c r="D9" s="37" t="s">
        <v>6617</v>
      </c>
      <c r="E9" s="37" t="s">
        <v>6586</v>
      </c>
      <c r="F9" s="37">
        <v>40.400018288982963</v>
      </c>
      <c r="H9" t="s">
        <v>36</v>
      </c>
      <c r="I9">
        <v>15</v>
      </c>
      <c r="J9" t="s">
        <v>9</v>
      </c>
      <c r="K9">
        <v>220</v>
      </c>
      <c r="L9">
        <v>0.73867700000000003</v>
      </c>
      <c r="M9">
        <v>6</v>
      </c>
      <c r="N9">
        <v>62.256999999999998</v>
      </c>
      <c r="O9" t="s">
        <v>6617</v>
      </c>
      <c r="P9" t="s">
        <v>6586</v>
      </c>
      <c r="Q9">
        <v>1.0325599999999999</v>
      </c>
      <c r="R9" t="s">
        <v>3304</v>
      </c>
      <c r="S9">
        <v>47.485177212481837</v>
      </c>
    </row>
    <row r="10" spans="1:21">
      <c r="A10" s="37" t="s">
        <v>36</v>
      </c>
      <c r="B10" s="37">
        <v>15</v>
      </c>
      <c r="C10" s="37">
        <v>4</v>
      </c>
      <c r="D10" s="37" t="s">
        <v>6485</v>
      </c>
      <c r="E10" s="37" t="s">
        <v>6586</v>
      </c>
      <c r="F10" s="37">
        <v>33.085325622496562</v>
      </c>
      <c r="H10" t="s">
        <v>36</v>
      </c>
      <c r="I10">
        <v>15</v>
      </c>
      <c r="J10" t="s">
        <v>9</v>
      </c>
      <c r="K10">
        <v>220</v>
      </c>
      <c r="L10">
        <v>0.73867700000000003</v>
      </c>
      <c r="M10">
        <v>1</v>
      </c>
      <c r="N10">
        <v>69.262</v>
      </c>
      <c r="O10" t="s">
        <v>6485</v>
      </c>
      <c r="P10" t="s">
        <v>6586</v>
      </c>
      <c r="Q10">
        <v>1.0325599999999999</v>
      </c>
      <c r="R10" t="s">
        <v>3304</v>
      </c>
      <c r="S10">
        <v>52.828089115937438</v>
      </c>
    </row>
    <row r="11" spans="1:21">
      <c r="A11" s="37" t="s">
        <v>36</v>
      </c>
      <c r="B11" s="37">
        <v>15</v>
      </c>
      <c r="C11" s="37">
        <v>4</v>
      </c>
      <c r="D11" s="37" t="s">
        <v>6617</v>
      </c>
      <c r="E11" s="37" t="s">
        <v>6586</v>
      </c>
      <c r="F11" s="37">
        <v>39.914251986855518</v>
      </c>
      <c r="H11" t="s">
        <v>36</v>
      </c>
      <c r="I11">
        <v>15</v>
      </c>
      <c r="J11" t="s">
        <v>9</v>
      </c>
      <c r="K11">
        <v>220</v>
      </c>
      <c r="L11">
        <v>0.73867700000000003</v>
      </c>
      <c r="M11">
        <v>2</v>
      </c>
      <c r="N11">
        <v>62.783000000000001</v>
      </c>
      <c r="O11" t="s">
        <v>6485</v>
      </c>
      <c r="P11" t="s">
        <v>6586</v>
      </c>
      <c r="Q11">
        <v>1.0325599999999999</v>
      </c>
      <c r="R11" t="s">
        <v>3304</v>
      </c>
      <c r="S11">
        <v>47.886372310442958</v>
      </c>
    </row>
    <row r="12" spans="1:21">
      <c r="A12" s="37" t="s">
        <v>36</v>
      </c>
      <c r="B12" s="37">
        <v>15</v>
      </c>
      <c r="C12" s="37">
        <v>5</v>
      </c>
      <c r="D12" s="37" t="s">
        <v>6485</v>
      </c>
      <c r="E12" s="37" t="s">
        <v>6586</v>
      </c>
      <c r="F12" s="37">
        <v>54.25153072892504</v>
      </c>
      <c r="H12" t="s">
        <v>36</v>
      </c>
      <c r="I12">
        <v>15</v>
      </c>
      <c r="J12" t="s">
        <v>9</v>
      </c>
      <c r="K12">
        <v>220</v>
      </c>
      <c r="L12">
        <v>0.73867700000000003</v>
      </c>
      <c r="M12">
        <v>3</v>
      </c>
      <c r="N12">
        <v>32.915999999999997</v>
      </c>
      <c r="O12" t="s">
        <v>6485</v>
      </c>
      <c r="P12" t="s">
        <v>6586</v>
      </c>
      <c r="Q12">
        <v>1.0325599999999999</v>
      </c>
      <c r="R12" t="s">
        <v>3304</v>
      </c>
      <c r="S12">
        <v>25.105965483817911</v>
      </c>
    </row>
    <row r="13" spans="1:21">
      <c r="A13" s="37" t="s">
        <v>36</v>
      </c>
      <c r="B13" s="37">
        <v>15</v>
      </c>
      <c r="C13" s="37">
        <v>5</v>
      </c>
      <c r="D13" s="37" t="s">
        <v>6617</v>
      </c>
      <c r="E13" s="37" t="s">
        <v>6586</v>
      </c>
      <c r="F13" s="37">
        <v>51.97318717669264</v>
      </c>
      <c r="H13" t="s">
        <v>36</v>
      </c>
      <c r="I13">
        <v>15</v>
      </c>
      <c r="J13" t="s">
        <v>9</v>
      </c>
      <c r="K13">
        <v>220</v>
      </c>
      <c r="L13">
        <v>0.73867700000000003</v>
      </c>
      <c r="M13">
        <v>4</v>
      </c>
      <c r="N13">
        <v>32.179000000000002</v>
      </c>
      <c r="O13" t="s">
        <v>6485</v>
      </c>
      <c r="P13" t="s">
        <v>6586</v>
      </c>
      <c r="Q13">
        <v>1.0325599999999999</v>
      </c>
      <c r="R13" t="s">
        <v>3304</v>
      </c>
      <c r="S13">
        <v>24.543834709678482</v>
      </c>
    </row>
    <row r="14" spans="1:21">
      <c r="A14" s="37" t="s">
        <v>36</v>
      </c>
      <c r="B14" s="37">
        <v>15</v>
      </c>
      <c r="C14" s="37">
        <v>6</v>
      </c>
      <c r="D14" s="37" t="s">
        <v>6485</v>
      </c>
      <c r="E14" s="37" t="s">
        <v>6586</v>
      </c>
      <c r="F14" s="37">
        <v>89.07580052798825</v>
      </c>
      <c r="H14" t="s">
        <v>36</v>
      </c>
      <c r="I14">
        <v>15</v>
      </c>
      <c r="J14" t="s">
        <v>9</v>
      </c>
      <c r="K14">
        <v>220</v>
      </c>
      <c r="L14">
        <v>0.73867700000000003</v>
      </c>
      <c r="M14">
        <v>5</v>
      </c>
      <c r="N14">
        <v>54.389000000000003</v>
      </c>
      <c r="O14" t="s">
        <v>6485</v>
      </c>
      <c r="P14" t="s">
        <v>6586</v>
      </c>
      <c r="Q14">
        <v>1.0325599999999999</v>
      </c>
      <c r="R14" t="s">
        <v>3304</v>
      </c>
      <c r="S14">
        <v>41.484030766173682</v>
      </c>
    </row>
    <row r="15" spans="1:21">
      <c r="A15" s="37" t="s">
        <v>36</v>
      </c>
      <c r="B15" s="37">
        <v>15</v>
      </c>
      <c r="C15" s="37">
        <v>6</v>
      </c>
      <c r="D15" s="37" t="s">
        <v>6617</v>
      </c>
      <c r="E15" s="37" t="s">
        <v>6586</v>
      </c>
      <c r="F15" s="37">
        <v>63.254879470364394</v>
      </c>
      <c r="H15" t="s">
        <v>36</v>
      </c>
      <c r="I15">
        <v>15</v>
      </c>
      <c r="J15" t="s">
        <v>9</v>
      </c>
      <c r="K15">
        <v>220</v>
      </c>
      <c r="L15">
        <v>0.73867700000000003</v>
      </c>
      <c r="M15">
        <v>6</v>
      </c>
      <c r="N15">
        <v>88.427000000000007</v>
      </c>
      <c r="O15" t="s">
        <v>6485</v>
      </c>
      <c r="P15" t="s">
        <v>6586</v>
      </c>
      <c r="Q15">
        <v>1.0325599999999999</v>
      </c>
      <c r="R15" t="s">
        <v>3304</v>
      </c>
      <c r="S15">
        <v>67.445777428532253</v>
      </c>
    </row>
    <row r="16" spans="1:21">
      <c r="A16" s="37" t="s">
        <v>48</v>
      </c>
      <c r="B16" s="39">
        <v>23</v>
      </c>
      <c r="C16" s="39">
        <v>1</v>
      </c>
      <c r="D16" s="37" t="s">
        <v>6485</v>
      </c>
      <c r="E16" s="37" t="s">
        <v>6586</v>
      </c>
      <c r="F16" s="37">
        <v>72.392539368651924</v>
      </c>
      <c r="H16" t="s">
        <v>36</v>
      </c>
      <c r="I16">
        <v>15</v>
      </c>
      <c r="J16" t="s">
        <v>14</v>
      </c>
      <c r="K16">
        <v>220</v>
      </c>
      <c r="L16">
        <v>1.0111999999999999E-2</v>
      </c>
      <c r="M16">
        <v>1</v>
      </c>
      <c r="N16">
        <v>56.027999999999999</v>
      </c>
      <c r="O16" t="s">
        <v>6617</v>
      </c>
      <c r="P16" t="s">
        <v>6586</v>
      </c>
      <c r="Q16">
        <v>1.0325599999999999</v>
      </c>
      <c r="R16" t="s">
        <v>3304</v>
      </c>
      <c r="S16">
        <v>0.5850021712281599</v>
      </c>
    </row>
    <row r="17" spans="1:19">
      <c r="A17" s="37" t="s">
        <v>48</v>
      </c>
      <c r="B17" s="39">
        <v>23</v>
      </c>
      <c r="C17" s="39">
        <v>1</v>
      </c>
      <c r="D17" s="37" t="s">
        <v>6617</v>
      </c>
      <c r="E17" s="37" t="s">
        <v>6586</v>
      </c>
      <c r="F17" s="37">
        <v>57.668279405738801</v>
      </c>
      <c r="H17" t="s">
        <v>36</v>
      </c>
      <c r="I17">
        <v>15</v>
      </c>
      <c r="J17" t="s">
        <v>14</v>
      </c>
      <c r="K17">
        <v>220</v>
      </c>
      <c r="L17">
        <v>1.0111999999999999E-2</v>
      </c>
      <c r="M17">
        <v>2</v>
      </c>
      <c r="N17">
        <v>56.122999999999998</v>
      </c>
      <c r="O17" t="s">
        <v>6617</v>
      </c>
      <c r="P17" t="s">
        <v>6586</v>
      </c>
      <c r="Q17">
        <v>1.0325599999999999</v>
      </c>
      <c r="R17" t="s">
        <v>3304</v>
      </c>
      <c r="S17">
        <v>0.58599408966655986</v>
      </c>
    </row>
    <row r="18" spans="1:19">
      <c r="A18" s="37" t="s">
        <v>48</v>
      </c>
      <c r="B18" s="39">
        <v>23</v>
      </c>
      <c r="C18" s="39">
        <v>2</v>
      </c>
      <c r="D18" s="37" t="s">
        <v>6485</v>
      </c>
      <c r="E18" s="37" t="s">
        <v>6586</v>
      </c>
      <c r="F18" s="37">
        <v>65.300625995215441</v>
      </c>
      <c r="H18" t="s">
        <v>36</v>
      </c>
      <c r="I18">
        <v>15</v>
      </c>
      <c r="J18" t="s">
        <v>14</v>
      </c>
      <c r="K18">
        <v>220</v>
      </c>
      <c r="L18">
        <v>1.0111999999999999E-2</v>
      </c>
      <c r="M18">
        <v>3</v>
      </c>
      <c r="N18">
        <v>39.145000000000003</v>
      </c>
      <c r="O18" t="s">
        <v>6617</v>
      </c>
      <c r="P18" t="s">
        <v>6586</v>
      </c>
      <c r="Q18">
        <v>1.0325599999999999</v>
      </c>
      <c r="R18" t="s">
        <v>3304</v>
      </c>
      <c r="S18">
        <v>0.40872260285439999</v>
      </c>
    </row>
    <row r="19" spans="1:19">
      <c r="A19" s="37" t="s">
        <v>48</v>
      </c>
      <c r="B19" s="39">
        <v>23</v>
      </c>
      <c r="C19" s="39">
        <v>2</v>
      </c>
      <c r="D19" s="37" t="s">
        <v>6617</v>
      </c>
      <c r="E19" s="37" t="s">
        <v>6586</v>
      </c>
      <c r="F19" s="37">
        <v>57.886462390116385</v>
      </c>
      <c r="H19" t="s">
        <v>36</v>
      </c>
      <c r="I19">
        <v>15</v>
      </c>
      <c r="J19" t="s">
        <v>14</v>
      </c>
      <c r="K19">
        <v>220</v>
      </c>
      <c r="L19">
        <v>1.0111999999999999E-2</v>
      </c>
      <c r="M19">
        <v>4</v>
      </c>
      <c r="N19">
        <v>38.646999999999998</v>
      </c>
      <c r="O19" t="s">
        <v>6617</v>
      </c>
      <c r="P19" t="s">
        <v>6586</v>
      </c>
      <c r="Q19">
        <v>1.0325599999999999</v>
      </c>
      <c r="R19" t="s">
        <v>3304</v>
      </c>
      <c r="S19">
        <v>0.40352286198783988</v>
      </c>
    </row>
    <row r="20" spans="1:19">
      <c r="A20" s="37" t="s">
        <v>48</v>
      </c>
      <c r="B20" s="39">
        <v>23</v>
      </c>
      <c r="C20" s="39">
        <v>3</v>
      </c>
      <c r="D20" s="37" t="s">
        <v>6485</v>
      </c>
      <c r="E20" s="37" t="s">
        <v>6586</v>
      </c>
      <c r="F20" s="37">
        <v>33.608354152767674</v>
      </c>
      <c r="H20" t="s">
        <v>36</v>
      </c>
      <c r="I20">
        <v>15</v>
      </c>
      <c r="J20" t="s">
        <v>14</v>
      </c>
      <c r="K20">
        <v>220</v>
      </c>
      <c r="L20">
        <v>1.0111999999999999E-2</v>
      </c>
      <c r="M20">
        <v>5</v>
      </c>
      <c r="N20">
        <v>49.831000000000003</v>
      </c>
      <c r="O20" t="s">
        <v>6617</v>
      </c>
      <c r="P20" t="s">
        <v>6586</v>
      </c>
      <c r="Q20">
        <v>1.0325599999999999</v>
      </c>
      <c r="R20" t="s">
        <v>3304</v>
      </c>
      <c r="S20">
        <v>0.52029776530432004</v>
      </c>
    </row>
    <row r="21" spans="1:19">
      <c r="A21" s="37" t="s">
        <v>48</v>
      </c>
      <c r="B21" s="39">
        <v>23</v>
      </c>
      <c r="C21" s="39">
        <v>3</v>
      </c>
      <c r="D21" s="37" t="s">
        <v>6617</v>
      </c>
      <c r="E21" s="37" t="s">
        <v>6586</v>
      </c>
      <c r="F21" s="37">
        <v>40.412006304387603</v>
      </c>
      <c r="H21" t="s">
        <v>36</v>
      </c>
      <c r="I21">
        <v>15</v>
      </c>
      <c r="J21" t="s">
        <v>14</v>
      </c>
      <c r="K21">
        <v>220</v>
      </c>
      <c r="L21">
        <v>1.0111999999999999E-2</v>
      </c>
      <c r="M21">
        <v>6</v>
      </c>
      <c r="N21">
        <v>61.533000000000001</v>
      </c>
      <c r="O21" t="s">
        <v>6617</v>
      </c>
      <c r="P21" t="s">
        <v>6586</v>
      </c>
      <c r="Q21">
        <v>1.0325599999999999</v>
      </c>
      <c r="R21" t="s">
        <v>3304</v>
      </c>
      <c r="S21">
        <v>0.64248123442175997</v>
      </c>
    </row>
    <row r="22" spans="1:19">
      <c r="A22" s="37" t="s">
        <v>48</v>
      </c>
      <c r="B22" s="39">
        <v>23</v>
      </c>
      <c r="C22" s="39">
        <v>4</v>
      </c>
      <c r="D22" s="37" t="s">
        <v>6485</v>
      </c>
      <c r="E22" s="37" t="s">
        <v>6586</v>
      </c>
      <c r="F22" s="37">
        <v>31.89653672548728</v>
      </c>
      <c r="H22" t="s">
        <v>36</v>
      </c>
      <c r="I22">
        <v>15</v>
      </c>
      <c r="J22" t="s">
        <v>14</v>
      </c>
      <c r="K22">
        <v>220</v>
      </c>
      <c r="L22">
        <v>1.0111999999999999E-2</v>
      </c>
      <c r="M22">
        <v>1</v>
      </c>
      <c r="N22">
        <v>70.548000000000002</v>
      </c>
      <c r="O22" t="s">
        <v>6485</v>
      </c>
      <c r="P22" t="s">
        <v>6586</v>
      </c>
      <c r="Q22">
        <v>1.0325599999999999</v>
      </c>
      <c r="R22" t="s">
        <v>3304</v>
      </c>
      <c r="S22">
        <v>0.73660907360255989</v>
      </c>
    </row>
    <row r="23" spans="1:19">
      <c r="A23" s="37" t="s">
        <v>48</v>
      </c>
      <c r="B23" s="39">
        <v>23</v>
      </c>
      <c r="C23" s="39">
        <v>4</v>
      </c>
      <c r="D23" s="37" t="s">
        <v>6617</v>
      </c>
      <c r="E23" s="37" t="s">
        <v>6586</v>
      </c>
      <c r="F23" s="37">
        <v>39.886741891408796</v>
      </c>
      <c r="H23" t="s">
        <v>36</v>
      </c>
      <c r="I23">
        <v>15</v>
      </c>
      <c r="J23" t="s">
        <v>14</v>
      </c>
      <c r="K23">
        <v>220</v>
      </c>
      <c r="L23">
        <v>1.0111999999999999E-2</v>
      </c>
      <c r="M23">
        <v>2</v>
      </c>
      <c r="N23">
        <v>63.55</v>
      </c>
      <c r="O23" t="s">
        <v>6485</v>
      </c>
      <c r="P23" t="s">
        <v>6586</v>
      </c>
      <c r="Q23">
        <v>1.0325599999999999</v>
      </c>
      <c r="R23" t="s">
        <v>3304</v>
      </c>
      <c r="S23">
        <v>0.66354122905599988</v>
      </c>
    </row>
    <row r="24" spans="1:19">
      <c r="A24" s="37" t="s">
        <v>48</v>
      </c>
      <c r="B24" s="39">
        <v>23</v>
      </c>
      <c r="C24" s="39">
        <v>5</v>
      </c>
      <c r="D24" s="37" t="s">
        <v>6485</v>
      </c>
      <c r="E24" s="37" t="s">
        <v>6586</v>
      </c>
      <c r="F24" s="37">
        <v>53.145119476976227</v>
      </c>
      <c r="H24" t="s">
        <v>36</v>
      </c>
      <c r="I24">
        <v>15</v>
      </c>
      <c r="J24" t="s">
        <v>14</v>
      </c>
      <c r="K24">
        <v>220</v>
      </c>
      <c r="L24">
        <v>1.0111999999999999E-2</v>
      </c>
      <c r="M24">
        <v>3</v>
      </c>
      <c r="N24">
        <v>32.978000000000002</v>
      </c>
      <c r="O24" t="s">
        <v>6485</v>
      </c>
      <c r="P24" t="s">
        <v>6586</v>
      </c>
      <c r="Q24">
        <v>1.0325599999999999</v>
      </c>
      <c r="R24" t="s">
        <v>3304</v>
      </c>
      <c r="S24">
        <v>0.34433143433216001</v>
      </c>
    </row>
    <row r="25" spans="1:19">
      <c r="A25" s="37" t="s">
        <v>48</v>
      </c>
      <c r="B25" s="39">
        <v>23</v>
      </c>
      <c r="C25" s="39">
        <v>5</v>
      </c>
      <c r="D25" s="37" t="s">
        <v>6617</v>
      </c>
      <c r="E25" s="37" t="s">
        <v>6586</v>
      </c>
      <c r="F25" s="37">
        <v>51.37905270924248</v>
      </c>
      <c r="H25" t="s">
        <v>36</v>
      </c>
      <c r="I25">
        <v>15</v>
      </c>
      <c r="J25" t="s">
        <v>14</v>
      </c>
      <c r="K25">
        <v>220</v>
      </c>
      <c r="L25">
        <v>1.0111999999999999E-2</v>
      </c>
      <c r="M25">
        <v>4</v>
      </c>
      <c r="N25">
        <v>31.867000000000001</v>
      </c>
      <c r="O25" t="s">
        <v>6485</v>
      </c>
      <c r="P25" t="s">
        <v>6586</v>
      </c>
      <c r="Q25">
        <v>1.0325599999999999</v>
      </c>
      <c r="R25" t="s">
        <v>3304</v>
      </c>
      <c r="S25">
        <v>0.33273120922624</v>
      </c>
    </row>
    <row r="26" spans="1:19">
      <c r="A26" s="37" t="s">
        <v>48</v>
      </c>
      <c r="B26" s="39">
        <v>23</v>
      </c>
      <c r="C26" s="39">
        <v>6</v>
      </c>
      <c r="D26" s="37" t="s">
        <v>6485</v>
      </c>
      <c r="E26" s="37" t="s">
        <v>6586</v>
      </c>
      <c r="F26" s="37">
        <v>90.721131207258964</v>
      </c>
      <c r="H26" t="s">
        <v>36</v>
      </c>
      <c r="I26">
        <v>15</v>
      </c>
      <c r="J26" t="s">
        <v>14</v>
      </c>
      <c r="K26">
        <v>220</v>
      </c>
      <c r="L26">
        <v>1.0111999999999999E-2</v>
      </c>
      <c r="M26">
        <v>5</v>
      </c>
      <c r="N26">
        <v>51.658000000000001</v>
      </c>
      <c r="O26" t="s">
        <v>6485</v>
      </c>
      <c r="P26" t="s">
        <v>6586</v>
      </c>
      <c r="Q26">
        <v>1.0325599999999999</v>
      </c>
      <c r="R26" t="s">
        <v>3304</v>
      </c>
      <c r="S26">
        <v>0.53937392306175991</v>
      </c>
    </row>
    <row r="27" spans="1:19">
      <c r="A27" s="37" t="s">
        <v>48</v>
      </c>
      <c r="B27" s="39">
        <v>23</v>
      </c>
      <c r="C27" s="39">
        <v>6</v>
      </c>
      <c r="D27" s="37" t="s">
        <v>6617</v>
      </c>
      <c r="E27" s="37" t="s">
        <v>6586</v>
      </c>
      <c r="F27" s="37">
        <v>63.463632564402388</v>
      </c>
      <c r="H27" t="s">
        <v>36</v>
      </c>
      <c r="I27">
        <v>15</v>
      </c>
      <c r="J27" t="s">
        <v>14</v>
      </c>
      <c r="K27">
        <v>220</v>
      </c>
      <c r="L27">
        <v>1.0111999999999999E-2</v>
      </c>
      <c r="M27">
        <v>6</v>
      </c>
      <c r="N27">
        <v>88.040999999999997</v>
      </c>
      <c r="O27" t="s">
        <v>6485</v>
      </c>
      <c r="P27" t="s">
        <v>6586</v>
      </c>
      <c r="Q27">
        <v>1.0325599999999999</v>
      </c>
      <c r="R27" t="s">
        <v>3304</v>
      </c>
      <c r="S27">
        <v>0.9192578024755198</v>
      </c>
    </row>
    <row r="28" spans="1:19">
      <c r="A28" s="37" t="s">
        <v>132</v>
      </c>
      <c r="B28" s="39">
        <v>13</v>
      </c>
      <c r="C28" s="39">
        <v>1</v>
      </c>
      <c r="D28" s="37" t="s">
        <v>6485</v>
      </c>
      <c r="E28" s="37" t="s">
        <v>6586</v>
      </c>
      <c r="F28" s="37">
        <v>71.111613843882139</v>
      </c>
      <c r="H28" t="s">
        <v>36</v>
      </c>
      <c r="I28">
        <v>15</v>
      </c>
      <c r="J28" t="s">
        <v>248</v>
      </c>
      <c r="K28">
        <v>220</v>
      </c>
      <c r="L28">
        <v>6.2680000000000001E-3</v>
      </c>
      <c r="M28">
        <v>1</v>
      </c>
      <c r="N28">
        <v>54.328000000000003</v>
      </c>
      <c r="O28" t="s">
        <v>6617</v>
      </c>
      <c r="P28" t="s">
        <v>6586</v>
      </c>
      <c r="Q28">
        <v>1.0325599999999999</v>
      </c>
      <c r="R28" t="s">
        <v>3304</v>
      </c>
      <c r="S28">
        <v>0.35161549255424002</v>
      </c>
    </row>
    <row r="29" spans="1:19">
      <c r="A29" s="37" t="s">
        <v>132</v>
      </c>
      <c r="B29" s="39">
        <v>13</v>
      </c>
      <c r="C29" s="39">
        <v>1</v>
      </c>
      <c r="D29" s="37" t="s">
        <v>6617</v>
      </c>
      <c r="E29" s="37" t="s">
        <v>6586</v>
      </c>
      <c r="F29" s="37">
        <v>57.606722669142243</v>
      </c>
      <c r="H29" t="s">
        <v>36</v>
      </c>
      <c r="I29">
        <v>15</v>
      </c>
      <c r="J29" t="s">
        <v>248</v>
      </c>
      <c r="K29">
        <v>220</v>
      </c>
      <c r="L29">
        <v>6.2680000000000001E-3</v>
      </c>
      <c r="M29">
        <v>2</v>
      </c>
      <c r="N29">
        <v>54.436999999999998</v>
      </c>
      <c r="O29" t="s">
        <v>6617</v>
      </c>
      <c r="P29" t="s">
        <v>6586</v>
      </c>
      <c r="Q29">
        <v>1.0325599999999999</v>
      </c>
      <c r="R29" t="s">
        <v>3304</v>
      </c>
      <c r="S29">
        <v>0.35232094993695989</v>
      </c>
    </row>
    <row r="30" spans="1:19">
      <c r="A30" s="37" t="s">
        <v>132</v>
      </c>
      <c r="B30" s="39">
        <v>13</v>
      </c>
      <c r="C30" s="39">
        <v>2</v>
      </c>
      <c r="D30" s="37" t="s">
        <v>6485</v>
      </c>
      <c r="E30" s="37" t="s">
        <v>6586</v>
      </c>
      <c r="F30" s="37">
        <v>64.597389124514962</v>
      </c>
      <c r="H30" t="s">
        <v>36</v>
      </c>
      <c r="I30">
        <v>15</v>
      </c>
      <c r="J30" t="s">
        <v>248</v>
      </c>
      <c r="K30">
        <v>220</v>
      </c>
      <c r="L30">
        <v>6.2680000000000001E-3</v>
      </c>
      <c r="M30">
        <v>3</v>
      </c>
      <c r="N30">
        <v>39.161000000000001</v>
      </c>
      <c r="O30" t="s">
        <v>6617</v>
      </c>
      <c r="P30" t="s">
        <v>6586</v>
      </c>
      <c r="Q30">
        <v>1.0325599999999999</v>
      </c>
      <c r="R30" t="s">
        <v>3304</v>
      </c>
      <c r="S30">
        <v>0.25345336297887999</v>
      </c>
    </row>
    <row r="31" spans="1:19">
      <c r="A31" s="37" t="s">
        <v>132</v>
      </c>
      <c r="B31" s="39">
        <v>13</v>
      </c>
      <c r="C31" s="39">
        <v>2</v>
      </c>
      <c r="D31" s="37" t="s">
        <v>6617</v>
      </c>
      <c r="E31" s="37" t="s">
        <v>6586</v>
      </c>
      <c r="F31" s="37">
        <v>57.713961756951512</v>
      </c>
      <c r="H31" t="s">
        <v>36</v>
      </c>
      <c r="I31">
        <v>15</v>
      </c>
      <c r="J31" t="s">
        <v>248</v>
      </c>
      <c r="K31">
        <v>220</v>
      </c>
      <c r="L31">
        <v>6.2680000000000001E-3</v>
      </c>
      <c r="M31">
        <v>4</v>
      </c>
      <c r="N31">
        <v>38.674999999999997</v>
      </c>
      <c r="O31" t="s">
        <v>6617</v>
      </c>
      <c r="P31" t="s">
        <v>6586</v>
      </c>
      <c r="Q31">
        <v>1.0325599999999999</v>
      </c>
      <c r="R31" t="s">
        <v>3304</v>
      </c>
      <c r="S31">
        <v>0.25030792914400002</v>
      </c>
    </row>
    <row r="32" spans="1:19">
      <c r="A32" s="37" t="s">
        <v>132</v>
      </c>
      <c r="B32" s="39">
        <v>13</v>
      </c>
      <c r="C32" s="39">
        <v>3</v>
      </c>
      <c r="D32" s="37" t="s">
        <v>6485</v>
      </c>
      <c r="E32" s="37" t="s">
        <v>6586</v>
      </c>
      <c r="F32" s="37">
        <v>33.980622466441112</v>
      </c>
      <c r="H32" t="s">
        <v>36</v>
      </c>
      <c r="I32">
        <v>15</v>
      </c>
      <c r="J32" t="s">
        <v>248</v>
      </c>
      <c r="K32">
        <v>220</v>
      </c>
      <c r="L32">
        <v>6.2680000000000001E-3</v>
      </c>
      <c r="M32">
        <v>5</v>
      </c>
      <c r="N32">
        <v>49.055</v>
      </c>
      <c r="O32" t="s">
        <v>6617</v>
      </c>
      <c r="P32" t="s">
        <v>6586</v>
      </c>
      <c r="Q32">
        <v>1.0325599999999999</v>
      </c>
      <c r="R32" t="s">
        <v>3304</v>
      </c>
      <c r="S32">
        <v>0.31748818265439999</v>
      </c>
    </row>
    <row r="33" spans="1:19">
      <c r="A33" s="37" t="s">
        <v>132</v>
      </c>
      <c r="B33" s="39">
        <v>13</v>
      </c>
      <c r="C33" s="39">
        <v>3</v>
      </c>
      <c r="D33" s="37" t="s">
        <v>6617</v>
      </c>
      <c r="E33" s="37" t="s">
        <v>6586</v>
      </c>
      <c r="F33" s="37">
        <v>40.397810181106713</v>
      </c>
      <c r="H33" t="s">
        <v>36</v>
      </c>
      <c r="I33">
        <v>15</v>
      </c>
      <c r="J33" t="s">
        <v>248</v>
      </c>
      <c r="K33">
        <v>220</v>
      </c>
      <c r="L33">
        <v>6.2680000000000001E-3</v>
      </c>
      <c r="M33">
        <v>6</v>
      </c>
      <c r="N33">
        <v>58.87</v>
      </c>
      <c r="O33" t="s">
        <v>6617</v>
      </c>
      <c r="P33" t="s">
        <v>6586</v>
      </c>
      <c r="Q33">
        <v>1.0325599999999999</v>
      </c>
      <c r="R33" t="s">
        <v>3304</v>
      </c>
      <c r="S33">
        <v>0.38101170752960001</v>
      </c>
    </row>
    <row r="34" spans="1:19">
      <c r="A34" s="37" t="s">
        <v>132</v>
      </c>
      <c r="B34" s="39">
        <v>13</v>
      </c>
      <c r="C34" s="39">
        <v>4</v>
      </c>
      <c r="D34" s="37" t="s">
        <v>6485</v>
      </c>
      <c r="E34" s="37" t="s">
        <v>6586</v>
      </c>
      <c r="F34" s="37">
        <v>33.119075720674878</v>
      </c>
      <c r="H34" t="s">
        <v>36</v>
      </c>
      <c r="I34">
        <v>15</v>
      </c>
      <c r="J34" t="s">
        <v>248</v>
      </c>
      <c r="K34">
        <v>220</v>
      </c>
      <c r="L34">
        <v>6.2680000000000001E-3</v>
      </c>
      <c r="M34">
        <v>1</v>
      </c>
      <c r="N34">
        <v>65.05</v>
      </c>
      <c r="O34" t="s">
        <v>6485</v>
      </c>
      <c r="P34" t="s">
        <v>6586</v>
      </c>
      <c r="Q34">
        <v>1.0325599999999999</v>
      </c>
      <c r="R34" t="s">
        <v>3304</v>
      </c>
      <c r="S34">
        <v>0.42100919950400001</v>
      </c>
    </row>
    <row r="35" spans="1:19">
      <c r="A35" s="37" t="s">
        <v>132</v>
      </c>
      <c r="B35" s="39">
        <v>13</v>
      </c>
      <c r="C35" s="39">
        <v>4</v>
      </c>
      <c r="D35" s="37" t="s">
        <v>6617</v>
      </c>
      <c r="E35" s="37" t="s">
        <v>6586</v>
      </c>
      <c r="F35" s="37">
        <v>39.917927426510467</v>
      </c>
      <c r="H35" t="s">
        <v>36</v>
      </c>
      <c r="I35">
        <v>15</v>
      </c>
      <c r="J35" t="s">
        <v>248</v>
      </c>
      <c r="K35">
        <v>220</v>
      </c>
      <c r="L35">
        <v>6.2680000000000001E-3</v>
      </c>
      <c r="M35">
        <v>2</v>
      </c>
      <c r="N35">
        <v>60.055999999999997</v>
      </c>
      <c r="O35" t="s">
        <v>6485</v>
      </c>
      <c r="P35" t="s">
        <v>6586</v>
      </c>
      <c r="Q35">
        <v>1.0325599999999999</v>
      </c>
      <c r="R35" t="s">
        <v>3304</v>
      </c>
      <c r="S35">
        <v>0.38868760162047999</v>
      </c>
    </row>
    <row r="36" spans="1:19">
      <c r="A36" s="37" t="s">
        <v>132</v>
      </c>
      <c r="B36" s="39">
        <v>13</v>
      </c>
      <c r="C36" s="39">
        <v>5</v>
      </c>
      <c r="D36" s="37" t="s">
        <v>6485</v>
      </c>
      <c r="E36" s="37" t="s">
        <v>6586</v>
      </c>
      <c r="F36" s="37">
        <v>54.763965351577845</v>
      </c>
      <c r="H36" t="s">
        <v>36</v>
      </c>
      <c r="I36">
        <v>15</v>
      </c>
      <c r="J36" t="s">
        <v>248</v>
      </c>
      <c r="K36">
        <v>220</v>
      </c>
      <c r="L36">
        <v>6.2680000000000001E-3</v>
      </c>
      <c r="M36">
        <v>3</v>
      </c>
      <c r="N36">
        <v>33.075000000000003</v>
      </c>
      <c r="O36" t="s">
        <v>6485</v>
      </c>
      <c r="P36" t="s">
        <v>6586</v>
      </c>
      <c r="Q36">
        <v>1.0325599999999999</v>
      </c>
      <c r="R36" t="s">
        <v>3304</v>
      </c>
      <c r="S36">
        <v>0.214064247096</v>
      </c>
    </row>
    <row r="37" spans="1:19">
      <c r="A37" s="37" t="s">
        <v>132</v>
      </c>
      <c r="B37" s="39">
        <v>13</v>
      </c>
      <c r="C37" s="39">
        <v>5</v>
      </c>
      <c r="D37" s="37" t="s">
        <v>6617</v>
      </c>
      <c r="E37" s="37" t="s">
        <v>6586</v>
      </c>
      <c r="F37" s="37">
        <v>52.29013246098279</v>
      </c>
      <c r="H37" t="s">
        <v>36</v>
      </c>
      <c r="I37">
        <v>15</v>
      </c>
      <c r="J37" t="s">
        <v>248</v>
      </c>
      <c r="K37">
        <v>220</v>
      </c>
      <c r="L37">
        <v>6.2680000000000001E-3</v>
      </c>
      <c r="M37">
        <v>4</v>
      </c>
      <c r="N37">
        <v>32.075000000000003</v>
      </c>
      <c r="O37" t="s">
        <v>6485</v>
      </c>
      <c r="P37" t="s">
        <v>6586</v>
      </c>
      <c r="Q37">
        <v>1.0325599999999999</v>
      </c>
      <c r="R37" t="s">
        <v>3304</v>
      </c>
      <c r="S37">
        <v>0.207592161016</v>
      </c>
    </row>
    <row r="38" spans="1:19">
      <c r="A38" s="37" t="s">
        <v>132</v>
      </c>
      <c r="B38" s="39">
        <v>13</v>
      </c>
      <c r="C38" s="39">
        <v>6</v>
      </c>
      <c r="D38" s="37" t="s">
        <v>6485</v>
      </c>
      <c r="E38" s="37" t="s">
        <v>6586</v>
      </c>
      <c r="F38" s="37">
        <v>89.714840447474558</v>
      </c>
      <c r="H38" t="s">
        <v>36</v>
      </c>
      <c r="I38">
        <v>15</v>
      </c>
      <c r="J38" t="s">
        <v>248</v>
      </c>
      <c r="K38">
        <v>220</v>
      </c>
      <c r="L38">
        <v>6.2680000000000001E-3</v>
      </c>
      <c r="M38">
        <v>5</v>
      </c>
      <c r="N38">
        <v>50.77</v>
      </c>
      <c r="O38" t="s">
        <v>6485</v>
      </c>
      <c r="P38" t="s">
        <v>6586</v>
      </c>
      <c r="Q38">
        <v>1.0325599999999999</v>
      </c>
      <c r="R38" t="s">
        <v>3304</v>
      </c>
      <c r="S38">
        <v>0.3285878102816</v>
      </c>
    </row>
    <row r="39" spans="1:19">
      <c r="A39" s="37" t="s">
        <v>132</v>
      </c>
      <c r="B39" s="39">
        <v>13</v>
      </c>
      <c r="C39" s="39">
        <v>6</v>
      </c>
      <c r="D39" s="37" t="s">
        <v>6617</v>
      </c>
      <c r="E39" s="37" t="s">
        <v>6586</v>
      </c>
      <c r="F39" s="37">
        <v>63.542102876450556</v>
      </c>
      <c r="H39" t="s">
        <v>36</v>
      </c>
      <c r="I39">
        <v>15</v>
      </c>
      <c r="J39" t="s">
        <v>248</v>
      </c>
      <c r="K39">
        <v>220</v>
      </c>
      <c r="L39">
        <v>6.2680000000000001E-3</v>
      </c>
      <c r="M39">
        <v>6</v>
      </c>
      <c r="N39">
        <v>78.662999999999997</v>
      </c>
      <c r="O39" t="s">
        <v>6485</v>
      </c>
      <c r="P39" t="s">
        <v>6586</v>
      </c>
      <c r="Q39">
        <v>1.0325599999999999</v>
      </c>
      <c r="R39" t="s">
        <v>3304</v>
      </c>
      <c r="S39">
        <v>0.50911370731104</v>
      </c>
    </row>
    <row r="40" spans="1:19">
      <c r="A40" s="37" t="s">
        <v>161</v>
      </c>
      <c r="B40" s="37">
        <v>13</v>
      </c>
      <c r="C40" s="39">
        <v>1</v>
      </c>
      <c r="D40" s="37" t="s">
        <v>6485</v>
      </c>
      <c r="E40" s="37" t="s">
        <v>6586</v>
      </c>
      <c r="F40" s="37">
        <v>67.392289609339358</v>
      </c>
      <c r="H40" t="s">
        <v>36</v>
      </c>
      <c r="I40">
        <v>15</v>
      </c>
      <c r="J40" t="s">
        <v>548</v>
      </c>
      <c r="K40">
        <v>220</v>
      </c>
      <c r="L40">
        <v>0.241281</v>
      </c>
      <c r="M40">
        <v>1</v>
      </c>
      <c r="N40">
        <v>55.128</v>
      </c>
      <c r="O40" t="s">
        <v>6617</v>
      </c>
      <c r="P40" t="s">
        <v>6586</v>
      </c>
      <c r="Q40">
        <v>1.0325599999999999</v>
      </c>
      <c r="R40" t="s">
        <v>3304</v>
      </c>
      <c r="S40">
        <v>13.73443056479808</v>
      </c>
    </row>
    <row r="41" spans="1:19">
      <c r="A41" s="37" t="s">
        <v>161</v>
      </c>
      <c r="B41" s="37">
        <v>13</v>
      </c>
      <c r="C41" s="39">
        <v>1</v>
      </c>
      <c r="D41" s="37" t="s">
        <v>6617</v>
      </c>
      <c r="E41" s="37" t="s">
        <v>6586</v>
      </c>
      <c r="F41" s="37">
        <v>56.178865638571033</v>
      </c>
      <c r="H41" t="s">
        <v>36</v>
      </c>
      <c r="I41">
        <v>15</v>
      </c>
      <c r="J41" t="s">
        <v>548</v>
      </c>
      <c r="K41">
        <v>220</v>
      </c>
      <c r="L41">
        <v>0.241281</v>
      </c>
      <c r="M41">
        <v>2</v>
      </c>
      <c r="N41">
        <v>55.256999999999998</v>
      </c>
      <c r="O41" t="s">
        <v>6617</v>
      </c>
      <c r="P41" t="s">
        <v>6586</v>
      </c>
      <c r="Q41">
        <v>1.0325599999999999</v>
      </c>
      <c r="R41" t="s">
        <v>3304</v>
      </c>
      <c r="S41">
        <v>13.766569251905519</v>
      </c>
    </row>
    <row r="42" spans="1:19">
      <c r="A42" s="37" t="s">
        <v>161</v>
      </c>
      <c r="B42" s="37">
        <v>13</v>
      </c>
      <c r="C42" s="39">
        <v>2</v>
      </c>
      <c r="D42" s="37" t="s">
        <v>6485</v>
      </c>
      <c r="E42" s="37" t="s">
        <v>6586</v>
      </c>
      <c r="F42" s="37">
        <v>62.158263763032622</v>
      </c>
      <c r="H42" t="s">
        <v>36</v>
      </c>
      <c r="I42">
        <v>15</v>
      </c>
      <c r="J42" t="s">
        <v>548</v>
      </c>
      <c r="K42">
        <v>220</v>
      </c>
      <c r="L42">
        <v>0.241281</v>
      </c>
      <c r="M42">
        <v>3</v>
      </c>
      <c r="N42">
        <v>39.152000000000001</v>
      </c>
      <c r="O42" t="s">
        <v>6617</v>
      </c>
      <c r="P42" t="s">
        <v>6586</v>
      </c>
      <c r="Q42">
        <v>1.0325599999999999</v>
      </c>
      <c r="R42" t="s">
        <v>3304</v>
      </c>
      <c r="S42">
        <v>9.754216105662719</v>
      </c>
    </row>
    <row r="43" spans="1:19">
      <c r="A43" s="37" t="s">
        <v>161</v>
      </c>
      <c r="B43" s="37">
        <v>13</v>
      </c>
      <c r="C43" s="39">
        <v>2</v>
      </c>
      <c r="D43" s="37" t="s">
        <v>6617</v>
      </c>
      <c r="E43" s="37" t="s">
        <v>6586</v>
      </c>
      <c r="F43" s="37">
        <v>56.291736908537672</v>
      </c>
      <c r="H43" t="s">
        <v>36</v>
      </c>
      <c r="I43">
        <v>15</v>
      </c>
      <c r="J43" t="s">
        <v>548</v>
      </c>
      <c r="K43">
        <v>220</v>
      </c>
      <c r="L43">
        <v>0.241281</v>
      </c>
      <c r="M43">
        <v>4</v>
      </c>
      <c r="N43">
        <v>38.615000000000002</v>
      </c>
      <c r="O43" t="s">
        <v>6617</v>
      </c>
      <c r="P43" t="s">
        <v>6586</v>
      </c>
      <c r="Q43">
        <v>1.0325599999999999</v>
      </c>
      <c r="R43" t="s">
        <v>3304</v>
      </c>
      <c r="S43">
        <v>9.6204294779363995</v>
      </c>
    </row>
    <row r="44" spans="1:19">
      <c r="A44" s="37" t="s">
        <v>161</v>
      </c>
      <c r="B44" s="37">
        <v>13</v>
      </c>
      <c r="C44" s="39">
        <v>3</v>
      </c>
      <c r="D44" s="37" t="s">
        <v>6485</v>
      </c>
      <c r="E44" s="37" t="s">
        <v>6586</v>
      </c>
      <c r="F44" s="37">
        <v>34.140771402113522</v>
      </c>
      <c r="H44" t="s">
        <v>36</v>
      </c>
      <c r="I44">
        <v>15</v>
      </c>
      <c r="J44" t="s">
        <v>548</v>
      </c>
      <c r="K44">
        <v>220</v>
      </c>
      <c r="L44">
        <v>0.241281</v>
      </c>
      <c r="M44">
        <v>5</v>
      </c>
      <c r="N44">
        <v>46.902000000000001</v>
      </c>
      <c r="O44" t="s">
        <v>6617</v>
      </c>
      <c r="P44" t="s">
        <v>6586</v>
      </c>
      <c r="Q44">
        <v>1.0325599999999999</v>
      </c>
      <c r="R44" t="s">
        <v>3304</v>
      </c>
      <c r="S44">
        <v>11.68502870320272</v>
      </c>
    </row>
    <row r="45" spans="1:19">
      <c r="A45" s="37" t="s">
        <v>161</v>
      </c>
      <c r="B45" s="37">
        <v>13</v>
      </c>
      <c r="C45" s="39">
        <v>3</v>
      </c>
      <c r="D45" s="37" t="s">
        <v>6617</v>
      </c>
      <c r="E45" s="37" t="s">
        <v>6586</v>
      </c>
      <c r="F45" s="37">
        <v>40.434267843661196</v>
      </c>
      <c r="H45" t="s">
        <v>36</v>
      </c>
      <c r="I45">
        <v>15</v>
      </c>
      <c r="J45" t="s">
        <v>548</v>
      </c>
      <c r="K45">
        <v>220</v>
      </c>
      <c r="L45">
        <v>0.241281</v>
      </c>
      <c r="M45">
        <v>6</v>
      </c>
      <c r="N45">
        <v>58.256</v>
      </c>
      <c r="O45" t="s">
        <v>6617</v>
      </c>
      <c r="P45" t="s">
        <v>6586</v>
      </c>
      <c r="Q45">
        <v>1.0325599999999999</v>
      </c>
      <c r="R45" t="s">
        <v>3304</v>
      </c>
      <c r="S45">
        <v>14.513731442876161</v>
      </c>
    </row>
    <row r="46" spans="1:19">
      <c r="A46" s="37" t="s">
        <v>161</v>
      </c>
      <c r="B46" s="37">
        <v>13</v>
      </c>
      <c r="C46" s="39">
        <v>4</v>
      </c>
      <c r="D46" s="37" t="s">
        <v>6485</v>
      </c>
      <c r="E46" s="37" t="s">
        <v>6586</v>
      </c>
      <c r="F46" s="37">
        <v>33.109793151865844</v>
      </c>
      <c r="H46" t="s">
        <v>36</v>
      </c>
      <c r="I46">
        <v>15</v>
      </c>
      <c r="J46" t="s">
        <v>548</v>
      </c>
      <c r="K46">
        <v>220</v>
      </c>
      <c r="L46">
        <v>0.241281</v>
      </c>
      <c r="M46">
        <v>1</v>
      </c>
      <c r="N46">
        <v>66.899000000000001</v>
      </c>
      <c r="O46" t="s">
        <v>6485</v>
      </c>
      <c r="P46" t="s">
        <v>6586</v>
      </c>
      <c r="Q46">
        <v>1.0325599999999999</v>
      </c>
      <c r="R46" t="s">
        <v>3304</v>
      </c>
      <c r="S46">
        <v>16.66702347907464</v>
      </c>
    </row>
    <row r="47" spans="1:19">
      <c r="A47" s="37" t="s">
        <v>161</v>
      </c>
      <c r="B47" s="37">
        <v>13</v>
      </c>
      <c r="C47" s="39">
        <v>4</v>
      </c>
      <c r="D47" s="37" t="s">
        <v>6617</v>
      </c>
      <c r="E47" s="37" t="s">
        <v>6586</v>
      </c>
      <c r="F47" s="37">
        <v>39.932825431418799</v>
      </c>
      <c r="H47" t="s">
        <v>36</v>
      </c>
      <c r="I47">
        <v>15</v>
      </c>
      <c r="J47" t="s">
        <v>548</v>
      </c>
      <c r="K47">
        <v>220</v>
      </c>
      <c r="L47">
        <v>0.241281</v>
      </c>
      <c r="M47">
        <v>2</v>
      </c>
      <c r="N47">
        <v>61.454000000000001</v>
      </c>
      <c r="O47" t="s">
        <v>6485</v>
      </c>
      <c r="P47" t="s">
        <v>6586</v>
      </c>
      <c r="Q47">
        <v>1.0325599999999999</v>
      </c>
      <c r="R47" t="s">
        <v>3304</v>
      </c>
      <c r="S47">
        <v>15.310471918609441</v>
      </c>
    </row>
    <row r="48" spans="1:19">
      <c r="A48" s="37" t="s">
        <v>161</v>
      </c>
      <c r="B48" s="37">
        <v>13</v>
      </c>
      <c r="C48" s="39">
        <v>5</v>
      </c>
      <c r="D48" s="37" t="s">
        <v>6485</v>
      </c>
      <c r="E48" s="37" t="s">
        <v>6586</v>
      </c>
      <c r="F48" s="37">
        <v>52.50165682421872</v>
      </c>
      <c r="H48" t="s">
        <v>36</v>
      </c>
      <c r="I48">
        <v>15</v>
      </c>
      <c r="J48" t="s">
        <v>548</v>
      </c>
      <c r="K48">
        <v>220</v>
      </c>
      <c r="L48">
        <v>0.241281</v>
      </c>
      <c r="M48">
        <v>3</v>
      </c>
      <c r="N48">
        <v>32.872</v>
      </c>
      <c r="O48" t="s">
        <v>6485</v>
      </c>
      <c r="P48" t="s">
        <v>6586</v>
      </c>
      <c r="Q48">
        <v>1.0325599999999999</v>
      </c>
      <c r="R48" t="s">
        <v>3304</v>
      </c>
      <c r="S48">
        <v>8.1896350588819189</v>
      </c>
    </row>
    <row r="49" spans="1:19">
      <c r="A49" s="37" t="s">
        <v>161</v>
      </c>
      <c r="B49" s="37">
        <v>13</v>
      </c>
      <c r="C49" s="39">
        <v>5</v>
      </c>
      <c r="D49" s="37" t="s">
        <v>6617</v>
      </c>
      <c r="E49" s="37" t="s">
        <v>6586</v>
      </c>
      <c r="F49" s="37">
        <v>50.712136733361667</v>
      </c>
      <c r="H49" t="s">
        <v>36</v>
      </c>
      <c r="I49">
        <v>15</v>
      </c>
      <c r="J49" t="s">
        <v>548</v>
      </c>
      <c r="K49">
        <v>220</v>
      </c>
      <c r="L49">
        <v>0.241281</v>
      </c>
      <c r="M49">
        <v>4</v>
      </c>
      <c r="N49">
        <v>31.65</v>
      </c>
      <c r="O49" t="s">
        <v>6485</v>
      </c>
      <c r="P49" t="s">
        <v>6586</v>
      </c>
      <c r="Q49">
        <v>1.0325599999999999</v>
      </c>
      <c r="R49" t="s">
        <v>3304</v>
      </c>
      <c r="S49">
        <v>7.8851895112439987</v>
      </c>
    </row>
    <row r="50" spans="1:19">
      <c r="A50" s="37" t="s">
        <v>161</v>
      </c>
      <c r="B50" s="37">
        <v>13</v>
      </c>
      <c r="C50" s="39">
        <v>6</v>
      </c>
      <c r="D50" s="37" t="s">
        <v>6485</v>
      </c>
      <c r="E50" s="37" t="s">
        <v>6586</v>
      </c>
      <c r="F50" s="37">
        <v>81.666990858005676</v>
      </c>
      <c r="H50" t="s">
        <v>36</v>
      </c>
      <c r="I50">
        <v>15</v>
      </c>
      <c r="J50" t="s">
        <v>548</v>
      </c>
      <c r="K50">
        <v>220</v>
      </c>
      <c r="L50">
        <v>0.241281</v>
      </c>
      <c r="M50">
        <v>5</v>
      </c>
      <c r="N50">
        <v>46.981999999999999</v>
      </c>
      <c r="O50" t="s">
        <v>6485</v>
      </c>
      <c r="P50" t="s">
        <v>6586</v>
      </c>
      <c r="Q50">
        <v>1.0325599999999999</v>
      </c>
      <c r="R50" t="s">
        <v>3304</v>
      </c>
      <c r="S50">
        <v>11.704959671951521</v>
      </c>
    </row>
    <row r="51" spans="1:19">
      <c r="A51" s="37" t="s">
        <v>161</v>
      </c>
      <c r="B51" s="37">
        <v>13</v>
      </c>
      <c r="C51" s="39">
        <v>6</v>
      </c>
      <c r="D51" s="37" t="s">
        <v>6617</v>
      </c>
      <c r="E51" s="37" t="s">
        <v>6586</v>
      </c>
      <c r="F51" s="37">
        <v>60.920495890442879</v>
      </c>
      <c r="H51" t="s">
        <v>36</v>
      </c>
      <c r="I51">
        <v>15</v>
      </c>
      <c r="J51" t="s">
        <v>548</v>
      </c>
      <c r="K51">
        <v>220</v>
      </c>
      <c r="L51">
        <v>0.241281</v>
      </c>
      <c r="M51">
        <v>6</v>
      </c>
      <c r="N51">
        <v>79.751999999999995</v>
      </c>
      <c r="O51" t="s">
        <v>6485</v>
      </c>
      <c r="P51" t="s">
        <v>6586</v>
      </c>
      <c r="Q51">
        <v>1.0325599999999999</v>
      </c>
      <c r="R51" t="s">
        <v>3304</v>
      </c>
      <c r="S51">
        <v>19.869182745678721</v>
      </c>
    </row>
    <row r="52" spans="1:19">
      <c r="A52" s="37" t="s">
        <v>191</v>
      </c>
      <c r="B52" s="39">
        <v>23</v>
      </c>
      <c r="C52" s="39">
        <v>1</v>
      </c>
      <c r="D52" s="37" t="s">
        <v>6485</v>
      </c>
      <c r="E52" s="37" t="s">
        <v>6586</v>
      </c>
      <c r="F52" s="37">
        <v>67.607876763690953</v>
      </c>
      <c r="H52" t="s">
        <v>36</v>
      </c>
      <c r="I52">
        <v>15</v>
      </c>
      <c r="J52" t="s">
        <v>1197</v>
      </c>
      <c r="K52">
        <v>220</v>
      </c>
      <c r="L52">
        <v>3.6619999999999999E-3</v>
      </c>
      <c r="M52">
        <v>1</v>
      </c>
      <c r="N52">
        <v>55.825000000000003</v>
      </c>
      <c r="O52" t="s">
        <v>6617</v>
      </c>
      <c r="P52" t="s">
        <v>6586</v>
      </c>
      <c r="Q52">
        <v>1.0325599999999999</v>
      </c>
      <c r="R52" t="s">
        <v>3304</v>
      </c>
      <c r="S52">
        <v>0.21108742824400001</v>
      </c>
    </row>
    <row r="53" spans="1:19">
      <c r="A53" s="37" t="s">
        <v>191</v>
      </c>
      <c r="B53" s="39">
        <v>23</v>
      </c>
      <c r="C53" s="39">
        <v>1</v>
      </c>
      <c r="D53" s="37" t="s">
        <v>6617</v>
      </c>
      <c r="E53" s="37" t="s">
        <v>6586</v>
      </c>
      <c r="F53" s="37">
        <v>56.232037997260633</v>
      </c>
      <c r="H53" t="s">
        <v>36</v>
      </c>
      <c r="I53">
        <v>15</v>
      </c>
      <c r="J53" t="s">
        <v>1197</v>
      </c>
      <c r="K53">
        <v>220</v>
      </c>
      <c r="L53">
        <v>3.6619999999999999E-3</v>
      </c>
      <c r="M53">
        <v>2</v>
      </c>
      <c r="N53">
        <v>56.061999999999998</v>
      </c>
      <c r="O53" t="s">
        <v>6617</v>
      </c>
      <c r="P53" t="s">
        <v>6586</v>
      </c>
      <c r="Q53">
        <v>1.0325599999999999</v>
      </c>
      <c r="R53" t="s">
        <v>3304</v>
      </c>
      <c r="S53">
        <v>0.21198358087263999</v>
      </c>
    </row>
    <row r="54" spans="1:19">
      <c r="A54" s="37" t="s">
        <v>191</v>
      </c>
      <c r="B54" s="39">
        <v>23</v>
      </c>
      <c r="C54" s="39">
        <v>2</v>
      </c>
      <c r="D54" s="37" t="s">
        <v>6485</v>
      </c>
      <c r="E54" s="37" t="s">
        <v>6586</v>
      </c>
      <c r="F54" s="37">
        <v>62.299781878912796</v>
      </c>
      <c r="H54" t="s">
        <v>36</v>
      </c>
      <c r="I54">
        <v>15</v>
      </c>
      <c r="J54" t="s">
        <v>1197</v>
      </c>
      <c r="K54">
        <v>220</v>
      </c>
      <c r="L54">
        <v>3.6619999999999999E-3</v>
      </c>
      <c r="M54">
        <v>3</v>
      </c>
      <c r="N54">
        <v>39.136000000000003</v>
      </c>
      <c r="O54" t="s">
        <v>6617</v>
      </c>
      <c r="P54" t="s">
        <v>6586</v>
      </c>
      <c r="Q54">
        <v>1.0325599999999999</v>
      </c>
      <c r="R54" t="s">
        <v>3304</v>
      </c>
      <c r="S54">
        <v>0.14798240200192</v>
      </c>
    </row>
    <row r="55" spans="1:19">
      <c r="A55" s="37" t="s">
        <v>191</v>
      </c>
      <c r="B55" s="39">
        <v>23</v>
      </c>
      <c r="C55" s="39">
        <v>2</v>
      </c>
      <c r="D55" s="37" t="s">
        <v>6617</v>
      </c>
      <c r="E55" s="37" t="s">
        <v>6586</v>
      </c>
      <c r="F55" s="37">
        <v>56.315164445540063</v>
      </c>
      <c r="H55" t="s">
        <v>36</v>
      </c>
      <c r="I55">
        <v>15</v>
      </c>
      <c r="J55" t="s">
        <v>1197</v>
      </c>
      <c r="K55">
        <v>220</v>
      </c>
      <c r="L55">
        <v>3.6619999999999999E-3</v>
      </c>
      <c r="M55">
        <v>4</v>
      </c>
      <c r="N55">
        <v>38.625</v>
      </c>
      <c r="O55" t="s">
        <v>6617</v>
      </c>
      <c r="P55" t="s">
        <v>6586</v>
      </c>
      <c r="Q55">
        <v>1.0325599999999999</v>
      </c>
      <c r="R55" t="s">
        <v>3304</v>
      </c>
      <c r="S55">
        <v>0.14605019106</v>
      </c>
    </row>
    <row r="56" spans="1:19">
      <c r="A56" s="37" t="s">
        <v>191</v>
      </c>
      <c r="B56" s="39">
        <v>23</v>
      </c>
      <c r="C56" s="39">
        <v>3</v>
      </c>
      <c r="D56" s="37" t="s">
        <v>6485</v>
      </c>
      <c r="E56" s="37" t="s">
        <v>6586</v>
      </c>
      <c r="F56" s="37">
        <v>34.450015786807285</v>
      </c>
      <c r="H56" t="s">
        <v>36</v>
      </c>
      <c r="I56">
        <v>15</v>
      </c>
      <c r="J56" t="s">
        <v>1197</v>
      </c>
      <c r="K56">
        <v>220</v>
      </c>
      <c r="L56">
        <v>3.6619999999999999E-3</v>
      </c>
      <c r="M56">
        <v>5</v>
      </c>
      <c r="N56">
        <v>49.764000000000003</v>
      </c>
      <c r="O56" t="s">
        <v>6617</v>
      </c>
      <c r="P56" t="s">
        <v>6586</v>
      </c>
      <c r="Q56">
        <v>1.0325599999999999</v>
      </c>
      <c r="R56" t="s">
        <v>3304</v>
      </c>
      <c r="S56">
        <v>0.18816936460608</v>
      </c>
    </row>
    <row r="57" spans="1:19">
      <c r="A57" s="37" t="s">
        <v>191</v>
      </c>
      <c r="B57" s="39">
        <v>23</v>
      </c>
      <c r="C57" s="39">
        <v>3</v>
      </c>
      <c r="D57" s="37" t="s">
        <v>6617</v>
      </c>
      <c r="E57" s="37" t="s">
        <v>6586</v>
      </c>
      <c r="F57" s="37">
        <v>40.464947724837842</v>
      </c>
      <c r="H57" t="s">
        <v>36</v>
      </c>
      <c r="I57">
        <v>15</v>
      </c>
      <c r="J57" t="s">
        <v>1197</v>
      </c>
      <c r="K57">
        <v>220</v>
      </c>
      <c r="L57">
        <v>3.6619999999999999E-3</v>
      </c>
      <c r="M57">
        <v>6</v>
      </c>
      <c r="N57">
        <v>61.481999999999999</v>
      </c>
      <c r="O57" t="s">
        <v>6617</v>
      </c>
      <c r="P57" t="s">
        <v>6586</v>
      </c>
      <c r="Q57">
        <v>1.0325599999999999</v>
      </c>
      <c r="R57" t="s">
        <v>3304</v>
      </c>
      <c r="S57">
        <v>0.23247787305504</v>
      </c>
    </row>
    <row r="58" spans="1:19">
      <c r="A58" s="37" t="s">
        <v>191</v>
      </c>
      <c r="B58" s="39">
        <v>23</v>
      </c>
      <c r="C58" s="39">
        <v>4</v>
      </c>
      <c r="D58" s="37" t="s">
        <v>6485</v>
      </c>
      <c r="E58" s="37" t="s">
        <v>6586</v>
      </c>
      <c r="F58" s="37">
        <v>33.413513665815998</v>
      </c>
      <c r="H58" t="s">
        <v>36</v>
      </c>
      <c r="I58">
        <v>15</v>
      </c>
      <c r="J58" t="s">
        <v>1197</v>
      </c>
      <c r="K58">
        <v>220</v>
      </c>
      <c r="L58">
        <v>3.6619999999999999E-3</v>
      </c>
      <c r="M58">
        <v>1</v>
      </c>
      <c r="N58">
        <v>70.069000000000003</v>
      </c>
      <c r="O58" t="s">
        <v>6485</v>
      </c>
      <c r="P58" t="s">
        <v>6586</v>
      </c>
      <c r="Q58">
        <v>1.0325599999999999</v>
      </c>
      <c r="R58" t="s">
        <v>3304</v>
      </c>
      <c r="S58">
        <v>0.26494733559568001</v>
      </c>
    </row>
    <row r="59" spans="1:19">
      <c r="A59" s="37" t="s">
        <v>191</v>
      </c>
      <c r="B59" s="39">
        <v>23</v>
      </c>
      <c r="C59" s="39">
        <v>4</v>
      </c>
      <c r="D59" s="37" t="s">
        <v>6617</v>
      </c>
      <c r="E59" s="37" t="s">
        <v>6586</v>
      </c>
      <c r="F59" s="37">
        <v>40.037584308042959</v>
      </c>
      <c r="H59" t="s">
        <v>36</v>
      </c>
      <c r="I59">
        <v>15</v>
      </c>
      <c r="J59" t="s">
        <v>1197</v>
      </c>
      <c r="K59">
        <v>220</v>
      </c>
      <c r="L59">
        <v>3.6619999999999999E-3</v>
      </c>
      <c r="M59">
        <v>2</v>
      </c>
      <c r="N59">
        <v>63.207000000000001</v>
      </c>
      <c r="O59" t="s">
        <v>6485</v>
      </c>
      <c r="P59" t="s">
        <v>6586</v>
      </c>
      <c r="Q59">
        <v>1.0325599999999999</v>
      </c>
      <c r="R59" t="s">
        <v>3304</v>
      </c>
      <c r="S59">
        <v>0.23900050294704001</v>
      </c>
    </row>
    <row r="60" spans="1:19">
      <c r="A60" s="37" t="s">
        <v>191</v>
      </c>
      <c r="B60" s="39">
        <v>23</v>
      </c>
      <c r="C60" s="39">
        <v>5</v>
      </c>
      <c r="D60" s="37" t="s">
        <v>6485</v>
      </c>
      <c r="E60" s="37" t="s">
        <v>6586</v>
      </c>
      <c r="F60" s="37">
        <v>53.265491074856953</v>
      </c>
      <c r="H60" t="s">
        <v>36</v>
      </c>
      <c r="I60">
        <v>15</v>
      </c>
      <c r="J60" t="s">
        <v>1197</v>
      </c>
      <c r="K60">
        <v>220</v>
      </c>
      <c r="L60">
        <v>3.6619999999999999E-3</v>
      </c>
      <c r="M60">
        <v>3</v>
      </c>
      <c r="N60">
        <v>32.453000000000003</v>
      </c>
      <c r="O60" t="s">
        <v>6485</v>
      </c>
      <c r="P60" t="s">
        <v>6586</v>
      </c>
      <c r="Q60">
        <v>1.0325599999999999</v>
      </c>
      <c r="R60" t="s">
        <v>3304</v>
      </c>
      <c r="S60">
        <v>0.12271241036816</v>
      </c>
    </row>
    <row r="61" spans="1:19">
      <c r="A61" s="37" t="s">
        <v>191</v>
      </c>
      <c r="B61" s="39">
        <v>23</v>
      </c>
      <c r="C61" s="39">
        <v>5</v>
      </c>
      <c r="D61" s="37" t="s">
        <v>6617</v>
      </c>
      <c r="E61" s="37" t="s">
        <v>6586</v>
      </c>
      <c r="F61" s="37">
        <v>50.845617622137112</v>
      </c>
      <c r="H61" t="s">
        <v>36</v>
      </c>
      <c r="I61">
        <v>15</v>
      </c>
      <c r="J61" t="s">
        <v>1197</v>
      </c>
      <c r="K61">
        <v>220</v>
      </c>
      <c r="L61">
        <v>3.6619999999999999E-3</v>
      </c>
      <c r="M61">
        <v>4</v>
      </c>
      <c r="N61">
        <v>30.672000000000001</v>
      </c>
      <c r="O61" t="s">
        <v>6485</v>
      </c>
      <c r="P61" t="s">
        <v>6586</v>
      </c>
      <c r="Q61">
        <v>1.0325599999999999</v>
      </c>
      <c r="R61" t="s">
        <v>3304</v>
      </c>
      <c r="S61">
        <v>0.11597803133184</v>
      </c>
    </row>
    <row r="62" spans="1:19">
      <c r="A62" s="37" t="s">
        <v>191</v>
      </c>
      <c r="B62" s="39">
        <v>23</v>
      </c>
      <c r="C62" s="39">
        <v>6</v>
      </c>
      <c r="D62" s="37" t="s">
        <v>6485</v>
      </c>
      <c r="E62" s="37" t="s">
        <v>6586</v>
      </c>
      <c r="F62" s="37">
        <v>82.472371424097361</v>
      </c>
      <c r="H62" t="s">
        <v>36</v>
      </c>
      <c r="I62">
        <v>15</v>
      </c>
      <c r="J62" t="s">
        <v>1197</v>
      </c>
      <c r="K62">
        <v>220</v>
      </c>
      <c r="L62">
        <v>3.6619999999999999E-3</v>
      </c>
      <c r="M62">
        <v>5</v>
      </c>
      <c r="N62">
        <v>51.459000000000003</v>
      </c>
      <c r="O62" t="s">
        <v>6485</v>
      </c>
      <c r="P62" t="s">
        <v>6586</v>
      </c>
      <c r="Q62">
        <v>1.0325599999999999</v>
      </c>
      <c r="R62" t="s">
        <v>3304</v>
      </c>
      <c r="S62">
        <v>0.19457855745648001</v>
      </c>
    </row>
    <row r="63" spans="1:19">
      <c r="A63" s="37" t="s">
        <v>191</v>
      </c>
      <c r="B63" s="39">
        <v>23</v>
      </c>
      <c r="C63" s="39">
        <v>6</v>
      </c>
      <c r="D63" s="37" t="s">
        <v>6617</v>
      </c>
      <c r="E63" s="37" t="s">
        <v>6586</v>
      </c>
      <c r="F63" s="37">
        <v>61.085537932801437</v>
      </c>
      <c r="H63" t="s">
        <v>36</v>
      </c>
      <c r="I63">
        <v>15</v>
      </c>
      <c r="J63" t="s">
        <v>1197</v>
      </c>
      <c r="K63">
        <v>220</v>
      </c>
      <c r="L63">
        <v>3.6619999999999999E-3</v>
      </c>
      <c r="M63">
        <v>6</v>
      </c>
      <c r="N63">
        <v>87.926000000000002</v>
      </c>
      <c r="O63" t="s">
        <v>6485</v>
      </c>
      <c r="P63" t="s">
        <v>6586</v>
      </c>
      <c r="Q63">
        <v>1.0325599999999999</v>
      </c>
      <c r="R63" t="s">
        <v>3304</v>
      </c>
      <c r="S63">
        <v>0.33246884399072002</v>
      </c>
    </row>
    <row r="64" spans="1:19">
      <c r="A64" s="37" t="s">
        <v>204</v>
      </c>
      <c r="B64" s="37">
        <v>23</v>
      </c>
      <c r="C64" s="39">
        <v>1</v>
      </c>
      <c r="D64" s="37" t="s">
        <v>6485</v>
      </c>
      <c r="E64" s="37" t="s">
        <v>6586</v>
      </c>
      <c r="F64" s="37">
        <v>76.51481489999999</v>
      </c>
      <c r="H64" t="s">
        <v>48</v>
      </c>
      <c r="I64">
        <v>23</v>
      </c>
      <c r="J64" t="s">
        <v>9</v>
      </c>
      <c r="K64">
        <v>220</v>
      </c>
      <c r="L64">
        <v>2.4039999999999999E-3</v>
      </c>
      <c r="M64">
        <v>1</v>
      </c>
      <c r="N64">
        <v>55.936</v>
      </c>
      <c r="O64" t="s">
        <v>6617</v>
      </c>
      <c r="P64" t="s">
        <v>6586</v>
      </c>
      <c r="Q64">
        <v>1.0325599999999999</v>
      </c>
      <c r="R64" t="s">
        <v>3304</v>
      </c>
      <c r="S64">
        <v>0.13884849188864001</v>
      </c>
    </row>
    <row r="65" spans="1:19">
      <c r="A65" s="37" t="s">
        <v>204</v>
      </c>
      <c r="B65" s="37">
        <v>23</v>
      </c>
      <c r="C65" s="39">
        <v>1</v>
      </c>
      <c r="D65" s="37" t="s">
        <v>6617</v>
      </c>
      <c r="E65" s="37" t="s">
        <v>6586</v>
      </c>
      <c r="F65" s="37">
        <v>60.300490999999987</v>
      </c>
      <c r="H65" t="s">
        <v>48</v>
      </c>
      <c r="I65">
        <v>23</v>
      </c>
      <c r="J65" t="s">
        <v>9</v>
      </c>
      <c r="K65">
        <v>220</v>
      </c>
      <c r="L65">
        <v>2.4039999999999999E-3</v>
      </c>
      <c r="M65">
        <v>2</v>
      </c>
      <c r="N65">
        <v>56.033999999999999</v>
      </c>
      <c r="O65" t="s">
        <v>6617</v>
      </c>
      <c r="P65" t="s">
        <v>6586</v>
      </c>
      <c r="Q65">
        <v>1.0325599999999999</v>
      </c>
      <c r="R65" t="s">
        <v>3304</v>
      </c>
      <c r="S65">
        <v>0.13909175476416</v>
      </c>
    </row>
    <row r="66" spans="1:19">
      <c r="A66" s="37" t="s">
        <v>204</v>
      </c>
      <c r="B66" s="37">
        <v>23</v>
      </c>
      <c r="C66" s="39">
        <v>2</v>
      </c>
      <c r="D66" s="37" t="s">
        <v>6485</v>
      </c>
      <c r="E66" s="37" t="s">
        <v>6586</v>
      </c>
      <c r="F66" s="37">
        <v>68.560373900000002</v>
      </c>
      <c r="H66" t="s">
        <v>48</v>
      </c>
      <c r="I66">
        <v>23</v>
      </c>
      <c r="J66" t="s">
        <v>9</v>
      </c>
      <c r="K66">
        <v>220</v>
      </c>
      <c r="L66">
        <v>2.4039999999999999E-3</v>
      </c>
      <c r="M66">
        <v>3</v>
      </c>
      <c r="N66">
        <v>39.116999999999997</v>
      </c>
      <c r="O66" t="s">
        <v>6617</v>
      </c>
      <c r="P66" t="s">
        <v>6586</v>
      </c>
      <c r="Q66">
        <v>1.0325599999999999</v>
      </c>
      <c r="R66" t="s">
        <v>3304</v>
      </c>
      <c r="S66">
        <v>9.7099121446079989E-2</v>
      </c>
    </row>
    <row r="67" spans="1:19">
      <c r="A67" s="37" t="s">
        <v>204</v>
      </c>
      <c r="B67" s="37">
        <v>23</v>
      </c>
      <c r="C67" s="39">
        <v>2</v>
      </c>
      <c r="D67" s="37" t="s">
        <v>6617</v>
      </c>
      <c r="E67" s="37" t="s">
        <v>6586</v>
      </c>
      <c r="F67" s="37">
        <v>60.438641399999987</v>
      </c>
      <c r="H67" t="s">
        <v>48</v>
      </c>
      <c r="I67">
        <v>23</v>
      </c>
      <c r="J67" t="s">
        <v>9</v>
      </c>
      <c r="K67">
        <v>220</v>
      </c>
      <c r="L67">
        <v>2.4039999999999999E-3</v>
      </c>
      <c r="M67">
        <v>4</v>
      </c>
      <c r="N67">
        <v>38.668999999999997</v>
      </c>
      <c r="O67" t="s">
        <v>6617</v>
      </c>
      <c r="P67" t="s">
        <v>6586</v>
      </c>
      <c r="Q67">
        <v>1.0325599999999999</v>
      </c>
      <c r="R67" t="s">
        <v>3304</v>
      </c>
      <c r="S67">
        <v>9.5987062586559993E-2</v>
      </c>
    </row>
    <row r="68" spans="1:19">
      <c r="A68" s="37" t="s">
        <v>204</v>
      </c>
      <c r="B68" s="37">
        <v>23</v>
      </c>
      <c r="C68" s="39">
        <v>3</v>
      </c>
      <c r="D68" s="37" t="s">
        <v>6485</v>
      </c>
      <c r="E68" s="37" t="s">
        <v>6586</v>
      </c>
      <c r="F68" s="37">
        <v>35.547824800000001</v>
      </c>
      <c r="H68" t="s">
        <v>48</v>
      </c>
      <c r="I68">
        <v>23</v>
      </c>
      <c r="J68" t="s">
        <v>9</v>
      </c>
      <c r="K68">
        <v>220</v>
      </c>
      <c r="L68">
        <v>2.4039999999999999E-3</v>
      </c>
      <c r="M68">
        <v>5</v>
      </c>
      <c r="N68">
        <v>51.475999999999999</v>
      </c>
      <c r="O68" t="s">
        <v>6617</v>
      </c>
      <c r="P68" t="s">
        <v>6586</v>
      </c>
      <c r="Q68">
        <v>1.0325599999999999</v>
      </c>
      <c r="R68" t="s">
        <v>3304</v>
      </c>
      <c r="S68">
        <v>0.12777754877823999</v>
      </c>
    </row>
    <row r="69" spans="1:19">
      <c r="A69" s="37" t="s">
        <v>204</v>
      </c>
      <c r="B69" s="37">
        <v>23</v>
      </c>
      <c r="C69" s="39">
        <v>3</v>
      </c>
      <c r="D69" s="37" t="s">
        <v>6617</v>
      </c>
      <c r="E69" s="37" t="s">
        <v>6586</v>
      </c>
      <c r="F69" s="37">
        <v>42.225453899999998</v>
      </c>
      <c r="H69" t="s">
        <v>48</v>
      </c>
      <c r="I69">
        <v>23</v>
      </c>
      <c r="J69" t="s">
        <v>9</v>
      </c>
      <c r="K69">
        <v>220</v>
      </c>
      <c r="L69">
        <v>2.4039999999999999E-3</v>
      </c>
      <c r="M69">
        <v>6</v>
      </c>
      <c r="N69">
        <v>62.256999999999998</v>
      </c>
      <c r="O69" t="s">
        <v>6617</v>
      </c>
      <c r="P69" t="s">
        <v>6586</v>
      </c>
      <c r="Q69">
        <v>1.0325599999999999</v>
      </c>
      <c r="R69" t="s">
        <v>3304</v>
      </c>
      <c r="S69">
        <v>0.15453894735967999</v>
      </c>
    </row>
    <row r="70" spans="1:19">
      <c r="A70" s="37" t="s">
        <v>204</v>
      </c>
      <c r="B70" s="37">
        <v>23</v>
      </c>
      <c r="C70" s="39">
        <v>4</v>
      </c>
      <c r="D70" s="37" t="s">
        <v>6485</v>
      </c>
      <c r="E70" s="37" t="s">
        <v>6586</v>
      </c>
      <c r="F70" s="37">
        <v>34.489031500000003</v>
      </c>
      <c r="H70" t="s">
        <v>48</v>
      </c>
      <c r="I70">
        <v>23</v>
      </c>
      <c r="J70" t="s">
        <v>9</v>
      </c>
      <c r="K70">
        <v>220</v>
      </c>
      <c r="L70">
        <v>2.4039999999999999E-3</v>
      </c>
      <c r="M70">
        <v>1</v>
      </c>
      <c r="N70">
        <v>69.262</v>
      </c>
      <c r="O70" t="s">
        <v>6485</v>
      </c>
      <c r="P70" t="s">
        <v>6586</v>
      </c>
      <c r="Q70">
        <v>1.0325599999999999</v>
      </c>
      <c r="R70" t="s">
        <v>3304</v>
      </c>
      <c r="S70">
        <v>0.17192727841088001</v>
      </c>
    </row>
    <row r="71" spans="1:19">
      <c r="A71" s="37" t="s">
        <v>204</v>
      </c>
      <c r="B71" s="37">
        <v>23</v>
      </c>
      <c r="C71" s="39">
        <v>4</v>
      </c>
      <c r="D71" s="37" t="s">
        <v>6617</v>
      </c>
      <c r="E71" s="37" t="s">
        <v>6586</v>
      </c>
      <c r="F71" s="37">
        <v>41.716024300000001</v>
      </c>
      <c r="H71" t="s">
        <v>48</v>
      </c>
      <c r="I71">
        <v>23</v>
      </c>
      <c r="J71" t="s">
        <v>9</v>
      </c>
      <c r="K71">
        <v>220</v>
      </c>
      <c r="L71">
        <v>2.4039999999999999E-3</v>
      </c>
      <c r="M71">
        <v>2</v>
      </c>
      <c r="N71">
        <v>62.783000000000001</v>
      </c>
      <c r="O71" t="s">
        <v>6485</v>
      </c>
      <c r="P71" t="s">
        <v>6586</v>
      </c>
      <c r="Q71">
        <v>1.0325599999999999</v>
      </c>
      <c r="R71" t="s">
        <v>3304</v>
      </c>
      <c r="S71">
        <v>0.15584462360991999</v>
      </c>
    </row>
    <row r="72" spans="1:19">
      <c r="A72" s="37" t="s">
        <v>204</v>
      </c>
      <c r="B72" s="37">
        <v>23</v>
      </c>
      <c r="C72" s="39">
        <v>5</v>
      </c>
      <c r="D72" s="37" t="s">
        <v>6485</v>
      </c>
      <c r="E72" s="37" t="s">
        <v>6586</v>
      </c>
      <c r="F72" s="37">
        <v>57.257944299999998</v>
      </c>
      <c r="H72" t="s">
        <v>48</v>
      </c>
      <c r="I72">
        <v>23</v>
      </c>
      <c r="J72" t="s">
        <v>9</v>
      </c>
      <c r="K72">
        <v>220</v>
      </c>
      <c r="L72">
        <v>2.4039999999999999E-3</v>
      </c>
      <c r="M72">
        <v>3</v>
      </c>
      <c r="N72">
        <v>32.915999999999997</v>
      </c>
      <c r="O72" t="s">
        <v>6485</v>
      </c>
      <c r="P72" t="s">
        <v>6586</v>
      </c>
      <c r="Q72">
        <v>1.0325599999999999</v>
      </c>
      <c r="R72" t="s">
        <v>3304</v>
      </c>
      <c r="S72">
        <v>8.1706538883839983E-2</v>
      </c>
    </row>
    <row r="73" spans="1:19">
      <c r="A73" s="37" t="s">
        <v>204</v>
      </c>
      <c r="B73" s="37">
        <v>23</v>
      </c>
      <c r="C73" s="39">
        <v>5</v>
      </c>
      <c r="D73" s="37" t="s">
        <v>6617</v>
      </c>
      <c r="E73" s="37" t="s">
        <v>6586</v>
      </c>
      <c r="F73" s="37">
        <v>54.693527499999988</v>
      </c>
      <c r="H73" t="s">
        <v>48</v>
      </c>
      <c r="I73">
        <v>23</v>
      </c>
      <c r="J73" t="s">
        <v>9</v>
      </c>
      <c r="K73">
        <v>220</v>
      </c>
      <c r="L73">
        <v>2.4039999999999999E-3</v>
      </c>
      <c r="M73">
        <v>4</v>
      </c>
      <c r="N73">
        <v>32.179000000000002</v>
      </c>
      <c r="O73" t="s">
        <v>6485</v>
      </c>
      <c r="P73" t="s">
        <v>6586</v>
      </c>
      <c r="Q73">
        <v>1.0325599999999999</v>
      </c>
      <c r="R73" t="s">
        <v>3304</v>
      </c>
      <c r="S73">
        <v>7.9877102768959984E-2</v>
      </c>
    </row>
    <row r="74" spans="1:19">
      <c r="A74" s="37" t="s">
        <v>204</v>
      </c>
      <c r="B74" s="37">
        <v>23</v>
      </c>
      <c r="C74" s="39">
        <v>6</v>
      </c>
      <c r="D74" s="37" t="s">
        <v>6485</v>
      </c>
      <c r="E74" s="37" t="s">
        <v>6586</v>
      </c>
      <c r="F74" s="37">
        <v>95.784637099999998</v>
      </c>
      <c r="H74" t="s">
        <v>48</v>
      </c>
      <c r="I74">
        <v>23</v>
      </c>
      <c r="J74" t="s">
        <v>9</v>
      </c>
      <c r="K74">
        <v>220</v>
      </c>
      <c r="L74">
        <v>2.4039999999999999E-3</v>
      </c>
      <c r="M74">
        <v>5</v>
      </c>
      <c r="N74">
        <v>54.389000000000003</v>
      </c>
      <c r="O74" t="s">
        <v>6485</v>
      </c>
      <c r="P74" t="s">
        <v>6586</v>
      </c>
      <c r="Q74">
        <v>1.0325599999999999</v>
      </c>
      <c r="R74" t="s">
        <v>3304</v>
      </c>
      <c r="S74">
        <v>0.13500841363936</v>
      </c>
    </row>
    <row r="75" spans="1:19">
      <c r="A75" s="37" t="s">
        <v>204</v>
      </c>
      <c r="B75" s="37">
        <v>23</v>
      </c>
      <c r="C75" s="39">
        <v>6</v>
      </c>
      <c r="D75" s="37" t="s">
        <v>6617</v>
      </c>
      <c r="E75" s="37" t="s">
        <v>6586</v>
      </c>
      <c r="F75" s="37">
        <v>66.856159199999993</v>
      </c>
      <c r="H75" t="s">
        <v>48</v>
      </c>
      <c r="I75">
        <v>23</v>
      </c>
      <c r="J75" t="s">
        <v>9</v>
      </c>
      <c r="K75">
        <v>220</v>
      </c>
      <c r="L75">
        <v>2.4039999999999999E-3</v>
      </c>
      <c r="M75">
        <v>6</v>
      </c>
      <c r="N75">
        <v>88.427000000000007</v>
      </c>
      <c r="O75" t="s">
        <v>6485</v>
      </c>
      <c r="P75" t="s">
        <v>6586</v>
      </c>
      <c r="Q75">
        <v>1.0325599999999999</v>
      </c>
      <c r="R75" t="s">
        <v>3304</v>
      </c>
      <c r="S75">
        <v>0.21950006422047999</v>
      </c>
    </row>
    <row r="76" spans="1:19">
      <c r="A76" s="37" t="s">
        <v>215</v>
      </c>
      <c r="B76" s="39">
        <v>13</v>
      </c>
      <c r="C76" s="39">
        <v>1</v>
      </c>
      <c r="D76" s="37" t="s">
        <v>6485</v>
      </c>
      <c r="E76" s="37" t="s">
        <v>6586</v>
      </c>
      <c r="F76" s="37">
        <v>68.357213535314628</v>
      </c>
      <c r="H76" t="s">
        <v>48</v>
      </c>
      <c r="I76">
        <v>23</v>
      </c>
      <c r="J76" t="s">
        <v>14</v>
      </c>
      <c r="K76">
        <v>220</v>
      </c>
      <c r="L76">
        <v>0.17042199999999999</v>
      </c>
      <c r="M76">
        <v>1</v>
      </c>
      <c r="N76">
        <v>56.027999999999999</v>
      </c>
      <c r="O76" t="s">
        <v>6617</v>
      </c>
      <c r="P76" t="s">
        <v>6586</v>
      </c>
      <c r="Q76">
        <v>1.0325599999999999</v>
      </c>
      <c r="R76" t="s">
        <v>3304</v>
      </c>
      <c r="S76">
        <v>9.859299844248957</v>
      </c>
    </row>
    <row r="77" spans="1:19">
      <c r="A77" s="37" t="s">
        <v>215</v>
      </c>
      <c r="B77" s="39">
        <v>13</v>
      </c>
      <c r="C77" s="39">
        <v>1</v>
      </c>
      <c r="D77" s="37" t="s">
        <v>6617</v>
      </c>
      <c r="E77" s="37" t="s">
        <v>6586</v>
      </c>
      <c r="F77" s="37">
        <v>56.545239784833683</v>
      </c>
      <c r="H77" t="s">
        <v>48</v>
      </c>
      <c r="I77">
        <v>23</v>
      </c>
      <c r="J77" t="s">
        <v>14</v>
      </c>
      <c r="K77">
        <v>220</v>
      </c>
      <c r="L77">
        <v>0.17042199999999999</v>
      </c>
      <c r="M77">
        <v>2</v>
      </c>
      <c r="N77">
        <v>56.122999999999998</v>
      </c>
      <c r="O77" t="s">
        <v>6617</v>
      </c>
      <c r="P77" t="s">
        <v>6586</v>
      </c>
      <c r="Q77">
        <v>1.0325599999999999</v>
      </c>
      <c r="R77" t="s">
        <v>3304</v>
      </c>
      <c r="S77">
        <v>9.8760170835793577</v>
      </c>
    </row>
    <row r="78" spans="1:19">
      <c r="A78" s="37" t="s">
        <v>215</v>
      </c>
      <c r="B78" s="39">
        <v>13</v>
      </c>
      <c r="C78" s="39">
        <v>2</v>
      </c>
      <c r="D78" s="37" t="s">
        <v>6485</v>
      </c>
      <c r="E78" s="37" t="s">
        <v>6586</v>
      </c>
      <c r="F78" s="37">
        <v>62.794729346261917</v>
      </c>
      <c r="H78" t="s">
        <v>48</v>
      </c>
      <c r="I78">
        <v>23</v>
      </c>
      <c r="J78" t="s">
        <v>14</v>
      </c>
      <c r="K78">
        <v>220</v>
      </c>
      <c r="L78">
        <v>0.17042199999999999</v>
      </c>
      <c r="M78">
        <v>3</v>
      </c>
      <c r="N78">
        <v>39.145000000000003</v>
      </c>
      <c r="O78" t="s">
        <v>6617</v>
      </c>
      <c r="P78" t="s">
        <v>6586</v>
      </c>
      <c r="Q78">
        <v>1.0325599999999999</v>
      </c>
      <c r="R78" t="s">
        <v>3304</v>
      </c>
      <c r="S78">
        <v>6.8883824588264</v>
      </c>
    </row>
    <row r="79" spans="1:19">
      <c r="A79" s="37" t="s">
        <v>215</v>
      </c>
      <c r="B79" s="39">
        <v>13</v>
      </c>
      <c r="C79" s="39">
        <v>2</v>
      </c>
      <c r="D79" s="37" t="s">
        <v>6617</v>
      </c>
      <c r="E79" s="37" t="s">
        <v>6586</v>
      </c>
      <c r="F79" s="37">
        <v>56.658245548837989</v>
      </c>
      <c r="H79" t="s">
        <v>48</v>
      </c>
      <c r="I79">
        <v>23</v>
      </c>
      <c r="J79" t="s">
        <v>14</v>
      </c>
      <c r="K79">
        <v>220</v>
      </c>
      <c r="L79">
        <v>0.17042199999999999</v>
      </c>
      <c r="M79">
        <v>4</v>
      </c>
      <c r="N79">
        <v>38.646999999999998</v>
      </c>
      <c r="O79" t="s">
        <v>6617</v>
      </c>
      <c r="P79" t="s">
        <v>6586</v>
      </c>
      <c r="Q79">
        <v>1.0325599999999999</v>
      </c>
      <c r="R79" t="s">
        <v>3304</v>
      </c>
      <c r="S79">
        <v>6.800748930547039</v>
      </c>
    </row>
    <row r="80" spans="1:19">
      <c r="A80" s="37" t="s">
        <v>215</v>
      </c>
      <c r="B80" s="39">
        <v>13</v>
      </c>
      <c r="C80" s="39">
        <v>3</v>
      </c>
      <c r="D80" s="37" t="s">
        <v>6485</v>
      </c>
      <c r="E80" s="37" t="s">
        <v>6586</v>
      </c>
      <c r="F80" s="37">
        <v>34.093897004780878</v>
      </c>
      <c r="H80" t="s">
        <v>48</v>
      </c>
      <c r="I80">
        <v>23</v>
      </c>
      <c r="J80" t="s">
        <v>14</v>
      </c>
      <c r="K80">
        <v>220</v>
      </c>
      <c r="L80">
        <v>0.17042199999999999</v>
      </c>
      <c r="M80">
        <v>5</v>
      </c>
      <c r="N80">
        <v>49.831000000000003</v>
      </c>
      <c r="O80" t="s">
        <v>6617</v>
      </c>
      <c r="P80" t="s">
        <v>6586</v>
      </c>
      <c r="Q80">
        <v>1.0325599999999999</v>
      </c>
      <c r="R80" t="s">
        <v>3304</v>
      </c>
      <c r="S80">
        <v>8.7688079270859181</v>
      </c>
    </row>
    <row r="81" spans="1:19">
      <c r="A81" s="37" t="s">
        <v>215</v>
      </c>
      <c r="B81" s="39">
        <v>13</v>
      </c>
      <c r="C81" s="39">
        <v>3</v>
      </c>
      <c r="D81" s="37" t="s">
        <v>6617</v>
      </c>
      <c r="E81" s="37" t="s">
        <v>6586</v>
      </c>
      <c r="F81" s="37">
        <v>40.425611512166554</v>
      </c>
      <c r="H81" t="s">
        <v>48</v>
      </c>
      <c r="I81">
        <v>23</v>
      </c>
      <c r="J81" t="s">
        <v>14</v>
      </c>
      <c r="K81">
        <v>220</v>
      </c>
      <c r="L81">
        <v>0.17042199999999999</v>
      </c>
      <c r="M81">
        <v>6</v>
      </c>
      <c r="N81">
        <v>61.533000000000001</v>
      </c>
      <c r="O81" t="s">
        <v>6617</v>
      </c>
      <c r="P81" t="s">
        <v>6586</v>
      </c>
      <c r="Q81">
        <v>1.0325599999999999</v>
      </c>
      <c r="R81" t="s">
        <v>3304</v>
      </c>
      <c r="S81">
        <v>10.828019870710561</v>
      </c>
    </row>
    <row r="82" spans="1:19">
      <c r="A82" s="37" t="s">
        <v>215</v>
      </c>
      <c r="B82" s="39">
        <v>13</v>
      </c>
      <c r="C82" s="39">
        <v>4</v>
      </c>
      <c r="D82" s="37" t="s">
        <v>6485</v>
      </c>
      <c r="E82" s="37" t="s">
        <v>6586</v>
      </c>
      <c r="F82" s="37">
        <v>33.087047632101601</v>
      </c>
      <c r="H82" t="s">
        <v>48</v>
      </c>
      <c r="I82">
        <v>23</v>
      </c>
      <c r="J82" t="s">
        <v>14</v>
      </c>
      <c r="K82">
        <v>220</v>
      </c>
      <c r="L82">
        <v>0.17042199999999999</v>
      </c>
      <c r="M82">
        <v>1</v>
      </c>
      <c r="N82">
        <v>70.548000000000002</v>
      </c>
      <c r="O82" t="s">
        <v>6485</v>
      </c>
      <c r="P82" t="s">
        <v>6586</v>
      </c>
      <c r="Q82">
        <v>1.0325599999999999</v>
      </c>
      <c r="R82" t="s">
        <v>3304</v>
      </c>
      <c r="S82">
        <v>12.414397897695361</v>
      </c>
    </row>
    <row r="83" spans="1:19">
      <c r="A83" s="37" t="s">
        <v>215</v>
      </c>
      <c r="B83" s="39">
        <v>13</v>
      </c>
      <c r="C83" s="39">
        <v>4</v>
      </c>
      <c r="D83" s="37" t="s">
        <v>6617</v>
      </c>
      <c r="E83" s="37" t="s">
        <v>6586</v>
      </c>
      <c r="F83" s="37">
        <v>39.927081242315438</v>
      </c>
      <c r="H83" t="s">
        <v>48</v>
      </c>
      <c r="I83">
        <v>23</v>
      </c>
      <c r="J83" t="s">
        <v>14</v>
      </c>
      <c r="K83">
        <v>220</v>
      </c>
      <c r="L83">
        <v>0.17042199999999999</v>
      </c>
      <c r="M83">
        <v>2</v>
      </c>
      <c r="N83">
        <v>63.55</v>
      </c>
      <c r="O83" t="s">
        <v>6485</v>
      </c>
      <c r="P83" t="s">
        <v>6586</v>
      </c>
      <c r="Q83">
        <v>1.0325599999999999</v>
      </c>
      <c r="R83" t="s">
        <v>3304</v>
      </c>
      <c r="S83">
        <v>11.182953257336001</v>
      </c>
    </row>
    <row r="84" spans="1:19">
      <c r="A84" s="37" t="s">
        <v>215</v>
      </c>
      <c r="B84" s="39">
        <v>13</v>
      </c>
      <c r="C84" s="39">
        <v>5</v>
      </c>
      <c r="D84" s="37" t="s">
        <v>6485</v>
      </c>
      <c r="E84" s="37" t="s">
        <v>6586</v>
      </c>
      <c r="F84" s="37">
        <v>52.89838762010816</v>
      </c>
      <c r="H84" t="s">
        <v>48</v>
      </c>
      <c r="I84">
        <v>23</v>
      </c>
      <c r="J84" t="s">
        <v>14</v>
      </c>
      <c r="K84">
        <v>220</v>
      </c>
      <c r="L84">
        <v>0.17042199999999999</v>
      </c>
      <c r="M84">
        <v>3</v>
      </c>
      <c r="N84">
        <v>32.978000000000002</v>
      </c>
      <c r="O84" t="s">
        <v>6485</v>
      </c>
      <c r="P84" t="s">
        <v>6586</v>
      </c>
      <c r="Q84">
        <v>1.0325599999999999</v>
      </c>
      <c r="R84" t="s">
        <v>3304</v>
      </c>
      <c r="S84">
        <v>5.8031696698729593</v>
      </c>
    </row>
    <row r="85" spans="1:19">
      <c r="A85" s="37" t="s">
        <v>215</v>
      </c>
      <c r="B85" s="39">
        <v>13</v>
      </c>
      <c r="C85" s="39">
        <v>5</v>
      </c>
      <c r="D85" s="37" t="s">
        <v>6617</v>
      </c>
      <c r="E85" s="37" t="s">
        <v>6586</v>
      </c>
      <c r="F85" s="37">
        <v>51.006933753307912</v>
      </c>
      <c r="H85" t="s">
        <v>48</v>
      </c>
      <c r="I85">
        <v>23</v>
      </c>
      <c r="J85" t="s">
        <v>14</v>
      </c>
      <c r="K85">
        <v>220</v>
      </c>
      <c r="L85">
        <v>0.17042199999999999</v>
      </c>
      <c r="M85">
        <v>4</v>
      </c>
      <c r="N85">
        <v>31.867000000000001</v>
      </c>
      <c r="O85" t="s">
        <v>6485</v>
      </c>
      <c r="P85" t="s">
        <v>6586</v>
      </c>
      <c r="Q85">
        <v>1.0325599999999999</v>
      </c>
      <c r="R85" t="s">
        <v>3304</v>
      </c>
      <c r="S85">
        <v>5.6076659551774393</v>
      </c>
    </row>
    <row r="86" spans="1:19">
      <c r="A86" s="37" t="s">
        <v>215</v>
      </c>
      <c r="B86" s="39">
        <v>13</v>
      </c>
      <c r="C86" s="39">
        <v>6</v>
      </c>
      <c r="D86" s="37" t="s">
        <v>6485</v>
      </c>
      <c r="E86" s="37" t="s">
        <v>6586</v>
      </c>
      <c r="F86" s="37">
        <v>83.630892806189266</v>
      </c>
      <c r="H86" t="s">
        <v>48</v>
      </c>
      <c r="I86">
        <v>23</v>
      </c>
      <c r="J86" t="s">
        <v>14</v>
      </c>
      <c r="K86">
        <v>220</v>
      </c>
      <c r="L86">
        <v>0.17042199999999999</v>
      </c>
      <c r="M86">
        <v>5</v>
      </c>
      <c r="N86">
        <v>51.658000000000001</v>
      </c>
      <c r="O86" t="s">
        <v>6485</v>
      </c>
      <c r="P86" t="s">
        <v>6586</v>
      </c>
      <c r="Q86">
        <v>1.0325599999999999</v>
      </c>
      <c r="R86" t="s">
        <v>3304</v>
      </c>
      <c r="S86">
        <v>9.0903068350505603</v>
      </c>
    </row>
    <row r="87" spans="1:19">
      <c r="A87" s="37" t="s">
        <v>215</v>
      </c>
      <c r="B87" s="39">
        <v>13</v>
      </c>
      <c r="C87" s="39">
        <v>6</v>
      </c>
      <c r="D87" s="37" t="s">
        <v>6617</v>
      </c>
      <c r="E87" s="37" t="s">
        <v>6586</v>
      </c>
      <c r="F87" s="37">
        <v>61.524022355345757</v>
      </c>
      <c r="H87" t="s">
        <v>48</v>
      </c>
      <c r="I87">
        <v>23</v>
      </c>
      <c r="J87" t="s">
        <v>14</v>
      </c>
      <c r="K87">
        <v>220</v>
      </c>
      <c r="L87">
        <v>0.17042199999999999</v>
      </c>
      <c r="M87">
        <v>6</v>
      </c>
      <c r="N87">
        <v>88.040999999999997</v>
      </c>
      <c r="O87" t="s">
        <v>6485</v>
      </c>
      <c r="P87" t="s">
        <v>6586</v>
      </c>
      <c r="Q87">
        <v>1.0325599999999999</v>
      </c>
      <c r="R87" t="s">
        <v>3304</v>
      </c>
      <c r="S87">
        <v>15.49265755671312</v>
      </c>
    </row>
    <row r="88" spans="1:19">
      <c r="A88" s="37" t="s">
        <v>315</v>
      </c>
      <c r="B88" s="39">
        <v>15</v>
      </c>
      <c r="C88" s="39">
        <v>1</v>
      </c>
      <c r="D88" s="37" t="s">
        <v>6485</v>
      </c>
      <c r="E88" s="37" t="s">
        <v>6586</v>
      </c>
      <c r="F88" s="37">
        <v>70.391124261658561</v>
      </c>
      <c r="H88" t="s">
        <v>48</v>
      </c>
      <c r="I88">
        <v>23</v>
      </c>
      <c r="J88" t="s">
        <v>248</v>
      </c>
      <c r="K88">
        <v>220</v>
      </c>
      <c r="L88">
        <v>3.797E-3</v>
      </c>
      <c r="M88">
        <v>1</v>
      </c>
      <c r="N88">
        <v>54.328000000000003</v>
      </c>
      <c r="O88" t="s">
        <v>6617</v>
      </c>
      <c r="P88" t="s">
        <v>6586</v>
      </c>
      <c r="Q88">
        <v>1.0325599999999999</v>
      </c>
      <c r="R88" t="s">
        <v>3304</v>
      </c>
      <c r="S88">
        <v>0.21300000402496</v>
      </c>
    </row>
    <row r="89" spans="1:19">
      <c r="A89" s="37" t="s">
        <v>315</v>
      </c>
      <c r="B89" s="39">
        <v>15</v>
      </c>
      <c r="C89" s="39">
        <v>1</v>
      </c>
      <c r="D89" s="37" t="s">
        <v>6617</v>
      </c>
      <c r="E89" s="37" t="s">
        <v>6586</v>
      </c>
      <c r="F89" s="37">
        <v>57.365868596055442</v>
      </c>
      <c r="H89" t="s">
        <v>48</v>
      </c>
      <c r="I89">
        <v>23</v>
      </c>
      <c r="J89" t="s">
        <v>248</v>
      </c>
      <c r="K89">
        <v>220</v>
      </c>
      <c r="L89">
        <v>3.797E-3</v>
      </c>
      <c r="M89">
        <v>2</v>
      </c>
      <c r="N89">
        <v>54.436999999999998</v>
      </c>
      <c r="O89" t="s">
        <v>6617</v>
      </c>
      <c r="P89" t="s">
        <v>6586</v>
      </c>
      <c r="Q89">
        <v>1.0325599999999999</v>
      </c>
      <c r="R89" t="s">
        <v>3304</v>
      </c>
      <c r="S89">
        <v>0.21342735272984001</v>
      </c>
    </row>
    <row r="90" spans="1:19">
      <c r="A90" s="37" t="s">
        <v>315</v>
      </c>
      <c r="B90" s="39">
        <v>15</v>
      </c>
      <c r="C90" s="39">
        <v>2</v>
      </c>
      <c r="D90" s="37" t="s">
        <v>6485</v>
      </c>
      <c r="E90" s="37" t="s">
        <v>6586</v>
      </c>
      <c r="F90" s="37">
        <v>64.189313390556322</v>
      </c>
      <c r="H90" t="s">
        <v>48</v>
      </c>
      <c r="I90">
        <v>23</v>
      </c>
      <c r="J90" t="s">
        <v>248</v>
      </c>
      <c r="K90">
        <v>220</v>
      </c>
      <c r="L90">
        <v>3.797E-3</v>
      </c>
      <c r="M90">
        <v>3</v>
      </c>
      <c r="N90">
        <v>39.161000000000001</v>
      </c>
      <c r="O90" t="s">
        <v>6617</v>
      </c>
      <c r="P90" t="s">
        <v>6586</v>
      </c>
      <c r="Q90">
        <v>1.0325599999999999</v>
      </c>
      <c r="R90" t="s">
        <v>3304</v>
      </c>
      <c r="S90">
        <v>0.15353580396152</v>
      </c>
    </row>
    <row r="91" spans="1:19">
      <c r="A91" s="37" t="s">
        <v>315</v>
      </c>
      <c r="B91" s="39">
        <v>15</v>
      </c>
      <c r="C91" s="39">
        <v>2</v>
      </c>
      <c r="D91" s="37" t="s">
        <v>6617</v>
      </c>
      <c r="E91" s="37" t="s">
        <v>6586</v>
      </c>
      <c r="F91" s="37">
        <v>57.481920761065027</v>
      </c>
      <c r="H91" t="s">
        <v>48</v>
      </c>
      <c r="I91">
        <v>23</v>
      </c>
      <c r="J91" t="s">
        <v>248</v>
      </c>
      <c r="K91">
        <v>220</v>
      </c>
      <c r="L91">
        <v>3.797E-3</v>
      </c>
      <c r="M91">
        <v>4</v>
      </c>
      <c r="N91">
        <v>38.674999999999997</v>
      </c>
      <c r="O91" t="s">
        <v>6617</v>
      </c>
      <c r="P91" t="s">
        <v>6586</v>
      </c>
      <c r="Q91">
        <v>1.0325599999999999</v>
      </c>
      <c r="R91" t="s">
        <v>3304</v>
      </c>
      <c r="S91">
        <v>0.15163037762600001</v>
      </c>
    </row>
    <row r="92" spans="1:19">
      <c r="A92" s="37" t="s">
        <v>315</v>
      </c>
      <c r="B92" s="39">
        <v>15</v>
      </c>
      <c r="C92" s="39">
        <v>3</v>
      </c>
      <c r="D92" s="37" t="s">
        <v>6485</v>
      </c>
      <c r="E92" s="37" t="s">
        <v>6586</v>
      </c>
      <c r="F92" s="37">
        <v>33.968356300023672</v>
      </c>
      <c r="H92" t="s">
        <v>48</v>
      </c>
      <c r="I92">
        <v>23</v>
      </c>
      <c r="J92" t="s">
        <v>248</v>
      </c>
      <c r="K92">
        <v>220</v>
      </c>
      <c r="L92">
        <v>3.797E-3</v>
      </c>
      <c r="M92">
        <v>5</v>
      </c>
      <c r="N92">
        <v>49.055</v>
      </c>
      <c r="O92" t="s">
        <v>6617</v>
      </c>
      <c r="P92" t="s">
        <v>6586</v>
      </c>
      <c r="Q92">
        <v>1.0325599999999999</v>
      </c>
      <c r="R92" t="s">
        <v>3304</v>
      </c>
      <c r="S92">
        <v>0.19232652034760001</v>
      </c>
    </row>
    <row r="93" spans="1:19">
      <c r="A93" s="37" t="s">
        <v>315</v>
      </c>
      <c r="B93" s="39">
        <v>15</v>
      </c>
      <c r="C93" s="39">
        <v>3</v>
      </c>
      <c r="D93" s="37" t="s">
        <v>6617</v>
      </c>
      <c r="E93" s="37" t="s">
        <v>6586</v>
      </c>
      <c r="F93" s="37">
        <v>40.407513381817822</v>
      </c>
      <c r="H93" t="s">
        <v>48</v>
      </c>
      <c r="I93">
        <v>23</v>
      </c>
      <c r="J93" t="s">
        <v>248</v>
      </c>
      <c r="K93">
        <v>220</v>
      </c>
      <c r="L93">
        <v>3.797E-3</v>
      </c>
      <c r="M93">
        <v>6</v>
      </c>
      <c r="N93">
        <v>58.87</v>
      </c>
      <c r="O93" t="s">
        <v>6617</v>
      </c>
      <c r="P93" t="s">
        <v>6586</v>
      </c>
      <c r="Q93">
        <v>1.0325599999999999</v>
      </c>
      <c r="R93" t="s">
        <v>3304</v>
      </c>
      <c r="S93">
        <v>0.23080750693839999</v>
      </c>
    </row>
    <row r="94" spans="1:19">
      <c r="A94" s="37" t="s">
        <v>315</v>
      </c>
      <c r="B94" s="39">
        <v>15</v>
      </c>
      <c r="C94" s="39">
        <v>4</v>
      </c>
      <c r="D94" s="37" t="s">
        <v>6485</v>
      </c>
      <c r="E94" s="37" t="s">
        <v>6586</v>
      </c>
      <c r="F94" s="37">
        <v>32.974838736984239</v>
      </c>
      <c r="H94" t="s">
        <v>48</v>
      </c>
      <c r="I94">
        <v>23</v>
      </c>
      <c r="J94" t="s">
        <v>248</v>
      </c>
      <c r="K94">
        <v>220</v>
      </c>
      <c r="L94">
        <v>3.797E-3</v>
      </c>
      <c r="M94">
        <v>1</v>
      </c>
      <c r="N94">
        <v>65.05</v>
      </c>
      <c r="O94" t="s">
        <v>6485</v>
      </c>
      <c r="P94" t="s">
        <v>6586</v>
      </c>
      <c r="Q94">
        <v>1.0325599999999999</v>
      </c>
      <c r="R94" t="s">
        <v>3304</v>
      </c>
      <c r="S94">
        <v>0.25503700231600002</v>
      </c>
    </row>
    <row r="95" spans="1:19">
      <c r="A95" s="37" t="s">
        <v>315</v>
      </c>
      <c r="B95" s="39">
        <v>15</v>
      </c>
      <c r="C95" s="39">
        <v>4</v>
      </c>
      <c r="D95" s="37" t="s">
        <v>6617</v>
      </c>
      <c r="E95" s="37" t="s">
        <v>6586</v>
      </c>
      <c r="F95" s="37">
        <v>39.903029995705516</v>
      </c>
      <c r="H95" t="s">
        <v>48</v>
      </c>
      <c r="I95">
        <v>23</v>
      </c>
      <c r="J95" t="s">
        <v>248</v>
      </c>
      <c r="K95">
        <v>220</v>
      </c>
      <c r="L95">
        <v>3.797E-3</v>
      </c>
      <c r="M95">
        <v>2</v>
      </c>
      <c r="N95">
        <v>60.055999999999997</v>
      </c>
      <c r="O95" t="s">
        <v>6485</v>
      </c>
      <c r="P95" t="s">
        <v>6586</v>
      </c>
      <c r="Q95">
        <v>1.0325599999999999</v>
      </c>
      <c r="R95" t="s">
        <v>3304</v>
      </c>
      <c r="S95">
        <v>0.23545737449792001</v>
      </c>
    </row>
    <row r="96" spans="1:19">
      <c r="A96" s="37" t="s">
        <v>315</v>
      </c>
      <c r="B96" s="39">
        <v>15</v>
      </c>
      <c r="C96" s="39">
        <v>5</v>
      </c>
      <c r="D96" s="37" t="s">
        <v>6485</v>
      </c>
      <c r="E96" s="37" t="s">
        <v>6586</v>
      </c>
      <c r="F96" s="37">
        <v>52.686530736412642</v>
      </c>
      <c r="H96" t="s">
        <v>48</v>
      </c>
      <c r="I96">
        <v>23</v>
      </c>
      <c r="J96" t="s">
        <v>248</v>
      </c>
      <c r="K96">
        <v>220</v>
      </c>
      <c r="L96">
        <v>3.797E-3</v>
      </c>
      <c r="M96">
        <v>3</v>
      </c>
      <c r="N96">
        <v>33.075000000000003</v>
      </c>
      <c r="O96" t="s">
        <v>6485</v>
      </c>
      <c r="P96" t="s">
        <v>6586</v>
      </c>
      <c r="Q96">
        <v>1.0325599999999999</v>
      </c>
      <c r="R96" t="s">
        <v>3304</v>
      </c>
      <c r="S96">
        <v>0.12967484783399999</v>
      </c>
    </row>
    <row r="97" spans="1:19">
      <c r="A97" s="37" t="s">
        <v>315</v>
      </c>
      <c r="B97" s="39">
        <v>15</v>
      </c>
      <c r="C97" s="39">
        <v>5</v>
      </c>
      <c r="D97" s="37" t="s">
        <v>6617</v>
      </c>
      <c r="E97" s="37" t="s">
        <v>6586</v>
      </c>
      <c r="F97" s="37">
        <v>51.005349604918713</v>
      </c>
      <c r="H97" t="s">
        <v>48</v>
      </c>
      <c r="I97">
        <v>23</v>
      </c>
      <c r="J97" t="s">
        <v>248</v>
      </c>
      <c r="K97">
        <v>220</v>
      </c>
      <c r="L97">
        <v>3.797E-3</v>
      </c>
      <c r="M97">
        <v>4</v>
      </c>
      <c r="N97">
        <v>32.075000000000003</v>
      </c>
      <c r="O97" t="s">
        <v>6485</v>
      </c>
      <c r="P97" t="s">
        <v>6586</v>
      </c>
      <c r="Q97">
        <v>1.0325599999999999</v>
      </c>
      <c r="R97" t="s">
        <v>3304</v>
      </c>
      <c r="S97">
        <v>0.12575421751400001</v>
      </c>
    </row>
    <row r="98" spans="1:19">
      <c r="A98" s="37" t="s">
        <v>315</v>
      </c>
      <c r="B98" s="39">
        <v>15</v>
      </c>
      <c r="C98" s="39">
        <v>6</v>
      </c>
      <c r="D98" s="37" t="s">
        <v>6485</v>
      </c>
      <c r="E98" s="37" t="s">
        <v>6586</v>
      </c>
      <c r="F98" s="37">
        <v>87.196834934359103</v>
      </c>
      <c r="H98" t="s">
        <v>48</v>
      </c>
      <c r="I98">
        <v>23</v>
      </c>
      <c r="J98" t="s">
        <v>248</v>
      </c>
      <c r="K98">
        <v>220</v>
      </c>
      <c r="L98">
        <v>3.797E-3</v>
      </c>
      <c r="M98">
        <v>5</v>
      </c>
      <c r="N98">
        <v>50.77</v>
      </c>
      <c r="O98" t="s">
        <v>6485</v>
      </c>
      <c r="P98" t="s">
        <v>6586</v>
      </c>
      <c r="Q98">
        <v>1.0325599999999999</v>
      </c>
      <c r="R98" t="s">
        <v>3304</v>
      </c>
      <c r="S98">
        <v>0.19905040134640001</v>
      </c>
    </row>
    <row r="99" spans="1:19">
      <c r="A99" s="37" t="s">
        <v>315</v>
      </c>
      <c r="B99" s="39">
        <v>15</v>
      </c>
      <c r="C99" s="39">
        <v>6</v>
      </c>
      <c r="D99" s="37" t="s">
        <v>6617</v>
      </c>
      <c r="E99" s="37" t="s">
        <v>6586</v>
      </c>
      <c r="F99" s="37">
        <v>62.397495639959352</v>
      </c>
      <c r="H99" t="s">
        <v>48</v>
      </c>
      <c r="I99">
        <v>23</v>
      </c>
      <c r="J99" t="s">
        <v>248</v>
      </c>
      <c r="K99">
        <v>220</v>
      </c>
      <c r="L99">
        <v>3.797E-3</v>
      </c>
      <c r="M99">
        <v>6</v>
      </c>
      <c r="N99">
        <v>78.662999999999997</v>
      </c>
      <c r="O99" t="s">
        <v>6485</v>
      </c>
      <c r="P99" t="s">
        <v>6586</v>
      </c>
      <c r="Q99">
        <v>1.0325599999999999</v>
      </c>
      <c r="R99" t="s">
        <v>3304</v>
      </c>
      <c r="S99">
        <v>0.30840854286216002</v>
      </c>
    </row>
    <row r="100" spans="1:19">
      <c r="A100" s="37" t="s">
        <v>355</v>
      </c>
      <c r="B100" s="39">
        <v>23</v>
      </c>
      <c r="C100" s="39">
        <v>1</v>
      </c>
      <c r="D100" s="37" t="s">
        <v>6485</v>
      </c>
      <c r="E100" s="37" t="s">
        <v>6586</v>
      </c>
      <c r="F100" s="37">
        <v>68.597707</v>
      </c>
      <c r="H100" t="s">
        <v>48</v>
      </c>
      <c r="I100">
        <v>23</v>
      </c>
      <c r="J100" t="s">
        <v>548</v>
      </c>
      <c r="K100">
        <v>220</v>
      </c>
      <c r="L100">
        <v>6.2680000000000001E-3</v>
      </c>
      <c r="M100">
        <v>1</v>
      </c>
      <c r="N100">
        <v>55.128</v>
      </c>
      <c r="O100" t="s">
        <v>6617</v>
      </c>
      <c r="P100" t="s">
        <v>6586</v>
      </c>
      <c r="Q100">
        <v>1.0325599999999999</v>
      </c>
      <c r="R100" t="s">
        <v>3304</v>
      </c>
      <c r="S100">
        <v>0.35679316141824002</v>
      </c>
    </row>
    <row r="101" spans="1:19">
      <c r="A101" s="37" t="s">
        <v>355</v>
      </c>
      <c r="B101" s="39">
        <v>23</v>
      </c>
      <c r="C101" s="39">
        <v>1</v>
      </c>
      <c r="D101" s="37" t="s">
        <v>6617</v>
      </c>
      <c r="E101" s="37" t="s">
        <v>6586</v>
      </c>
      <c r="F101" s="37">
        <v>55.643507739999997</v>
      </c>
      <c r="H101" t="s">
        <v>48</v>
      </c>
      <c r="I101">
        <v>23</v>
      </c>
      <c r="J101" t="s">
        <v>548</v>
      </c>
      <c r="K101">
        <v>220</v>
      </c>
      <c r="L101">
        <v>6.2680000000000001E-3</v>
      </c>
      <c r="M101">
        <v>2</v>
      </c>
      <c r="N101">
        <v>55.256999999999998</v>
      </c>
      <c r="O101" t="s">
        <v>6617</v>
      </c>
      <c r="P101" t="s">
        <v>6586</v>
      </c>
      <c r="Q101">
        <v>1.0325599999999999</v>
      </c>
      <c r="R101" t="s">
        <v>3304</v>
      </c>
      <c r="S101">
        <v>0.35762806052256002</v>
      </c>
    </row>
    <row r="102" spans="1:19">
      <c r="A102" s="37" t="s">
        <v>355</v>
      </c>
      <c r="B102" s="39">
        <v>23</v>
      </c>
      <c r="C102" s="39">
        <v>2</v>
      </c>
      <c r="D102" s="37" t="s">
        <v>6485</v>
      </c>
      <c r="E102" s="37" t="s">
        <v>6586</v>
      </c>
      <c r="F102" s="37">
        <v>62.179752039999997</v>
      </c>
      <c r="H102" t="s">
        <v>48</v>
      </c>
      <c r="I102">
        <v>23</v>
      </c>
      <c r="J102" t="s">
        <v>548</v>
      </c>
      <c r="K102">
        <v>220</v>
      </c>
      <c r="L102">
        <v>6.2680000000000001E-3</v>
      </c>
      <c r="M102">
        <v>3</v>
      </c>
      <c r="N102">
        <v>39.152000000000001</v>
      </c>
      <c r="O102" t="s">
        <v>6617</v>
      </c>
      <c r="P102" t="s">
        <v>6586</v>
      </c>
      <c r="Q102">
        <v>1.0325599999999999</v>
      </c>
      <c r="R102" t="s">
        <v>3304</v>
      </c>
      <c r="S102">
        <v>0.25339511420416</v>
      </c>
    </row>
    <row r="103" spans="1:19">
      <c r="A103" s="37" t="s">
        <v>355</v>
      </c>
      <c r="B103" s="39">
        <v>23</v>
      </c>
      <c r="C103" s="39">
        <v>2</v>
      </c>
      <c r="D103" s="37" t="s">
        <v>6617</v>
      </c>
      <c r="E103" s="37" t="s">
        <v>6586</v>
      </c>
      <c r="F103" s="37">
        <v>55.561615120000013</v>
      </c>
      <c r="H103" t="s">
        <v>48</v>
      </c>
      <c r="I103">
        <v>23</v>
      </c>
      <c r="J103" t="s">
        <v>548</v>
      </c>
      <c r="K103">
        <v>220</v>
      </c>
      <c r="L103">
        <v>6.2680000000000001E-3</v>
      </c>
      <c r="M103">
        <v>4</v>
      </c>
      <c r="N103">
        <v>38.615000000000002</v>
      </c>
      <c r="O103" t="s">
        <v>6617</v>
      </c>
      <c r="P103" t="s">
        <v>6586</v>
      </c>
      <c r="Q103">
        <v>1.0325599999999999</v>
      </c>
      <c r="R103" t="s">
        <v>3304</v>
      </c>
      <c r="S103">
        <v>0.24991960397919999</v>
      </c>
    </row>
    <row r="104" spans="1:19">
      <c r="A104" s="37" t="s">
        <v>355</v>
      </c>
      <c r="B104" s="39">
        <v>23</v>
      </c>
      <c r="C104" s="39">
        <v>3</v>
      </c>
      <c r="D104" s="37" t="s">
        <v>6485</v>
      </c>
      <c r="E104" s="37" t="s">
        <v>6586</v>
      </c>
      <c r="F104" s="37">
        <v>33.4799273</v>
      </c>
      <c r="H104" t="s">
        <v>48</v>
      </c>
      <c r="I104">
        <v>23</v>
      </c>
      <c r="J104" t="s">
        <v>548</v>
      </c>
      <c r="K104">
        <v>220</v>
      </c>
      <c r="L104">
        <v>6.2680000000000001E-3</v>
      </c>
      <c r="M104">
        <v>5</v>
      </c>
      <c r="N104">
        <v>46.902000000000001</v>
      </c>
      <c r="O104" t="s">
        <v>6617</v>
      </c>
      <c r="P104" t="s">
        <v>6586</v>
      </c>
      <c r="Q104">
        <v>1.0325599999999999</v>
      </c>
      <c r="R104" t="s">
        <v>3304</v>
      </c>
      <c r="S104">
        <v>0.30355378132415989</v>
      </c>
    </row>
    <row r="105" spans="1:19">
      <c r="A105" s="37" t="s">
        <v>355</v>
      </c>
      <c r="B105" s="39">
        <v>23</v>
      </c>
      <c r="C105" s="39">
        <v>3</v>
      </c>
      <c r="D105" s="37" t="s">
        <v>6617</v>
      </c>
      <c r="E105" s="37" t="s">
        <v>6586</v>
      </c>
      <c r="F105" s="37">
        <v>39.635017060000003</v>
      </c>
      <c r="H105" t="s">
        <v>48</v>
      </c>
      <c r="I105">
        <v>23</v>
      </c>
      <c r="J105" t="s">
        <v>548</v>
      </c>
      <c r="K105">
        <v>220</v>
      </c>
      <c r="L105">
        <v>6.2680000000000001E-3</v>
      </c>
      <c r="M105">
        <v>6</v>
      </c>
      <c r="N105">
        <v>58.256</v>
      </c>
      <c r="O105" t="s">
        <v>6617</v>
      </c>
      <c r="P105" t="s">
        <v>6586</v>
      </c>
      <c r="Q105">
        <v>1.0325599999999999</v>
      </c>
      <c r="R105" t="s">
        <v>3304</v>
      </c>
      <c r="S105">
        <v>0.37703784667647988</v>
      </c>
    </row>
    <row r="106" spans="1:19">
      <c r="A106" s="37" t="s">
        <v>355</v>
      </c>
      <c r="B106" s="39">
        <v>23</v>
      </c>
      <c r="C106" s="39">
        <v>4</v>
      </c>
      <c r="D106" s="37" t="s">
        <v>6485</v>
      </c>
      <c r="E106" s="37" t="s">
        <v>6586</v>
      </c>
      <c r="F106" s="37">
        <v>32.502270959999997</v>
      </c>
      <c r="H106" t="s">
        <v>48</v>
      </c>
      <c r="I106">
        <v>23</v>
      </c>
      <c r="J106" t="s">
        <v>548</v>
      </c>
      <c r="K106">
        <v>220</v>
      </c>
      <c r="L106">
        <v>6.2680000000000001E-3</v>
      </c>
      <c r="M106">
        <v>1</v>
      </c>
      <c r="N106">
        <v>66.899000000000001</v>
      </c>
      <c r="O106" t="s">
        <v>6485</v>
      </c>
      <c r="P106" t="s">
        <v>6586</v>
      </c>
      <c r="Q106">
        <v>1.0325599999999999</v>
      </c>
      <c r="R106" t="s">
        <v>3304</v>
      </c>
      <c r="S106">
        <v>0.43297608666592002</v>
      </c>
    </row>
    <row r="107" spans="1:19">
      <c r="A107" s="37" t="s">
        <v>355</v>
      </c>
      <c r="B107" s="39">
        <v>23</v>
      </c>
      <c r="C107" s="39">
        <v>4</v>
      </c>
      <c r="D107" s="37" t="s">
        <v>6617</v>
      </c>
      <c r="E107" s="37" t="s">
        <v>6586</v>
      </c>
      <c r="F107" s="37">
        <v>39.078956060000003</v>
      </c>
      <c r="H107" t="s">
        <v>48</v>
      </c>
      <c r="I107">
        <v>23</v>
      </c>
      <c r="J107" t="s">
        <v>548</v>
      </c>
      <c r="K107">
        <v>220</v>
      </c>
      <c r="L107">
        <v>6.2680000000000001E-3</v>
      </c>
      <c r="M107">
        <v>2</v>
      </c>
      <c r="N107">
        <v>61.454000000000001</v>
      </c>
      <c r="O107" t="s">
        <v>6485</v>
      </c>
      <c r="P107" t="s">
        <v>6586</v>
      </c>
      <c r="Q107">
        <v>1.0325599999999999</v>
      </c>
      <c r="R107" t="s">
        <v>3304</v>
      </c>
      <c r="S107">
        <v>0.39773557796031989</v>
      </c>
    </row>
    <row r="108" spans="1:19">
      <c r="A108" s="37" t="s">
        <v>355</v>
      </c>
      <c r="B108" s="39">
        <v>23</v>
      </c>
      <c r="C108" s="39">
        <v>5</v>
      </c>
      <c r="D108" s="37" t="s">
        <v>6485</v>
      </c>
      <c r="E108" s="37" t="s">
        <v>6586</v>
      </c>
      <c r="F108" s="37">
        <v>53.212004640000004</v>
      </c>
      <c r="H108" t="s">
        <v>48</v>
      </c>
      <c r="I108">
        <v>23</v>
      </c>
      <c r="J108" t="s">
        <v>548</v>
      </c>
      <c r="K108">
        <v>220</v>
      </c>
      <c r="L108">
        <v>6.2680000000000001E-3</v>
      </c>
      <c r="M108">
        <v>3</v>
      </c>
      <c r="N108">
        <v>32.872</v>
      </c>
      <c r="O108" t="s">
        <v>6485</v>
      </c>
      <c r="P108" t="s">
        <v>6586</v>
      </c>
      <c r="Q108">
        <v>1.0325599999999999</v>
      </c>
      <c r="R108" t="s">
        <v>3304</v>
      </c>
      <c r="S108">
        <v>0.21275041362176</v>
      </c>
    </row>
    <row r="109" spans="1:19">
      <c r="A109" s="37" t="s">
        <v>355</v>
      </c>
      <c r="B109" s="39">
        <v>23</v>
      </c>
      <c r="C109" s="39">
        <v>5</v>
      </c>
      <c r="D109" s="37" t="s">
        <v>6617</v>
      </c>
      <c r="E109" s="37" t="s">
        <v>6586</v>
      </c>
      <c r="F109" s="37">
        <v>50.364972320000007</v>
      </c>
      <c r="H109" t="s">
        <v>48</v>
      </c>
      <c r="I109">
        <v>23</v>
      </c>
      <c r="J109" t="s">
        <v>548</v>
      </c>
      <c r="K109">
        <v>220</v>
      </c>
      <c r="L109">
        <v>6.2680000000000001E-3</v>
      </c>
      <c r="M109">
        <v>4</v>
      </c>
      <c r="N109">
        <v>31.65</v>
      </c>
      <c r="O109" t="s">
        <v>6485</v>
      </c>
      <c r="P109" t="s">
        <v>6586</v>
      </c>
      <c r="Q109">
        <v>1.0325599999999999</v>
      </c>
      <c r="R109" t="s">
        <v>3304</v>
      </c>
      <c r="S109">
        <v>0.20484152443199999</v>
      </c>
    </row>
    <row r="110" spans="1:19">
      <c r="A110" s="37" t="s">
        <v>355</v>
      </c>
      <c r="B110" s="39">
        <v>23</v>
      </c>
      <c r="C110" s="39">
        <v>6</v>
      </c>
      <c r="D110" s="37" t="s">
        <v>6485</v>
      </c>
      <c r="E110" s="37" t="s">
        <v>6586</v>
      </c>
      <c r="F110" s="37">
        <v>87.893023700000001</v>
      </c>
      <c r="H110" t="s">
        <v>48</v>
      </c>
      <c r="I110">
        <v>23</v>
      </c>
      <c r="J110" t="s">
        <v>548</v>
      </c>
      <c r="K110">
        <v>220</v>
      </c>
      <c r="L110">
        <v>6.2680000000000001E-3</v>
      </c>
      <c r="M110">
        <v>5</v>
      </c>
      <c r="N110">
        <v>46.981999999999999</v>
      </c>
      <c r="O110" t="s">
        <v>6485</v>
      </c>
      <c r="P110" t="s">
        <v>6586</v>
      </c>
      <c r="Q110">
        <v>1.0325599999999999</v>
      </c>
      <c r="R110" t="s">
        <v>3304</v>
      </c>
      <c r="S110">
        <v>0.30407154821055998</v>
      </c>
    </row>
    <row r="111" spans="1:19">
      <c r="A111" s="37" t="s">
        <v>355</v>
      </c>
      <c r="B111" s="39">
        <v>23</v>
      </c>
      <c r="C111" s="39">
        <v>6</v>
      </c>
      <c r="D111" s="37" t="s">
        <v>6617</v>
      </c>
      <c r="E111" s="37" t="s">
        <v>6586</v>
      </c>
      <c r="F111" s="37">
        <v>61.471027020000001</v>
      </c>
      <c r="H111" t="s">
        <v>48</v>
      </c>
      <c r="I111">
        <v>23</v>
      </c>
      <c r="J111" t="s">
        <v>548</v>
      </c>
      <c r="K111">
        <v>220</v>
      </c>
      <c r="L111">
        <v>6.2680000000000001E-3</v>
      </c>
      <c r="M111">
        <v>6</v>
      </c>
      <c r="N111">
        <v>79.751999999999995</v>
      </c>
      <c r="O111" t="s">
        <v>6485</v>
      </c>
      <c r="P111" t="s">
        <v>6586</v>
      </c>
      <c r="Q111">
        <v>1.0325599999999999</v>
      </c>
      <c r="R111" t="s">
        <v>3304</v>
      </c>
      <c r="S111">
        <v>0.51616180905215991</v>
      </c>
    </row>
    <row r="112" spans="1:19">
      <c r="A112" s="37" t="s">
        <v>405</v>
      </c>
      <c r="B112" s="37">
        <v>23</v>
      </c>
      <c r="C112" s="39">
        <v>1</v>
      </c>
      <c r="D112" s="37" t="s">
        <v>6485</v>
      </c>
      <c r="E112" s="37" t="s">
        <v>6586</v>
      </c>
      <c r="F112" s="37">
        <v>77.649707529730591</v>
      </c>
      <c r="H112" t="s">
        <v>48</v>
      </c>
      <c r="I112">
        <v>23</v>
      </c>
      <c r="J112" t="s">
        <v>1197</v>
      </c>
      <c r="K112">
        <v>220</v>
      </c>
      <c r="L112">
        <v>0.81710899999999997</v>
      </c>
      <c r="M112">
        <v>1</v>
      </c>
      <c r="N112">
        <v>55.825000000000003</v>
      </c>
      <c r="O112" t="s">
        <v>6617</v>
      </c>
      <c r="P112" t="s">
        <v>6586</v>
      </c>
      <c r="Q112">
        <v>1.0325599999999999</v>
      </c>
      <c r="R112" t="s">
        <v>3304</v>
      </c>
      <c r="S112">
        <v>47.100337904158003</v>
      </c>
    </row>
    <row r="113" spans="1:19">
      <c r="A113" s="37" t="s">
        <v>405</v>
      </c>
      <c r="B113" s="37">
        <v>23</v>
      </c>
      <c r="C113" s="39">
        <v>1</v>
      </c>
      <c r="D113" s="37" t="s">
        <v>6617</v>
      </c>
      <c r="E113" s="37" t="s">
        <v>6586</v>
      </c>
      <c r="F113" s="37">
        <v>60.141536944635888</v>
      </c>
      <c r="H113" t="s">
        <v>48</v>
      </c>
      <c r="I113">
        <v>23</v>
      </c>
      <c r="J113" t="s">
        <v>1197</v>
      </c>
      <c r="K113">
        <v>220</v>
      </c>
      <c r="L113">
        <v>0.81710899999999997</v>
      </c>
      <c r="M113">
        <v>2</v>
      </c>
      <c r="N113">
        <v>56.061999999999998</v>
      </c>
      <c r="O113" t="s">
        <v>6617</v>
      </c>
      <c r="P113" t="s">
        <v>6586</v>
      </c>
      <c r="Q113">
        <v>1.0325599999999999</v>
      </c>
      <c r="R113" t="s">
        <v>3304</v>
      </c>
      <c r="S113">
        <v>47.300298138520468</v>
      </c>
    </row>
    <row r="114" spans="1:19">
      <c r="A114" s="37" t="s">
        <v>405</v>
      </c>
      <c r="B114" s="37">
        <v>23</v>
      </c>
      <c r="C114" s="39">
        <v>2</v>
      </c>
      <c r="D114" s="37" t="s">
        <v>6485</v>
      </c>
      <c r="E114" s="37" t="s">
        <v>6586</v>
      </c>
      <c r="F114" s="37">
        <v>68.969710440846896</v>
      </c>
      <c r="H114" t="s">
        <v>48</v>
      </c>
      <c r="I114">
        <v>23</v>
      </c>
      <c r="J114" t="s">
        <v>1197</v>
      </c>
      <c r="K114">
        <v>220</v>
      </c>
      <c r="L114">
        <v>0.81710899999999997</v>
      </c>
      <c r="M114">
        <v>3</v>
      </c>
      <c r="N114">
        <v>39.136000000000003</v>
      </c>
      <c r="O114" t="s">
        <v>6617</v>
      </c>
      <c r="P114" t="s">
        <v>6586</v>
      </c>
      <c r="Q114">
        <v>1.0325599999999999</v>
      </c>
      <c r="R114" t="s">
        <v>3304</v>
      </c>
      <c r="S114">
        <v>33.019593805949441</v>
      </c>
    </row>
    <row r="115" spans="1:19">
      <c r="A115" s="37" t="s">
        <v>405</v>
      </c>
      <c r="B115" s="37">
        <v>23</v>
      </c>
      <c r="C115" s="39">
        <v>2</v>
      </c>
      <c r="D115" s="37" t="s">
        <v>6617</v>
      </c>
      <c r="E115" s="37" t="s">
        <v>6586</v>
      </c>
      <c r="F115" s="37">
        <v>60.00474520848929</v>
      </c>
      <c r="H115" t="s">
        <v>48</v>
      </c>
      <c r="I115">
        <v>23</v>
      </c>
      <c r="J115" t="s">
        <v>1197</v>
      </c>
      <c r="K115">
        <v>220</v>
      </c>
      <c r="L115">
        <v>0.81710899999999997</v>
      </c>
      <c r="M115">
        <v>4</v>
      </c>
      <c r="N115">
        <v>38.625</v>
      </c>
      <c r="O115" t="s">
        <v>6617</v>
      </c>
      <c r="P115" t="s">
        <v>6586</v>
      </c>
      <c r="Q115">
        <v>1.0325599999999999</v>
      </c>
      <c r="R115" t="s">
        <v>3304</v>
      </c>
      <c r="S115">
        <v>32.58845591667</v>
      </c>
    </row>
    <row r="116" spans="1:19">
      <c r="A116" s="37" t="s">
        <v>405</v>
      </c>
      <c r="B116" s="37">
        <v>23</v>
      </c>
      <c r="C116" s="39">
        <v>3</v>
      </c>
      <c r="D116" s="37" t="s">
        <v>6485</v>
      </c>
      <c r="E116" s="37" t="s">
        <v>6586</v>
      </c>
      <c r="F116" s="37">
        <v>35.190205062142901</v>
      </c>
      <c r="H116" t="s">
        <v>48</v>
      </c>
      <c r="I116">
        <v>23</v>
      </c>
      <c r="J116" t="s">
        <v>1197</v>
      </c>
      <c r="K116">
        <v>220</v>
      </c>
      <c r="L116">
        <v>0.81710899999999997</v>
      </c>
      <c r="M116">
        <v>5</v>
      </c>
      <c r="N116">
        <v>49.764000000000003</v>
      </c>
      <c r="O116" t="s">
        <v>6617</v>
      </c>
      <c r="P116" t="s">
        <v>6586</v>
      </c>
      <c r="Q116">
        <v>1.0325599999999999</v>
      </c>
      <c r="R116" t="s">
        <v>3304</v>
      </c>
      <c r="S116">
        <v>41.986586931706562</v>
      </c>
    </row>
    <row r="117" spans="1:19">
      <c r="A117" s="37" t="s">
        <v>405</v>
      </c>
      <c r="B117" s="37">
        <v>23</v>
      </c>
      <c r="C117" s="39">
        <v>3</v>
      </c>
      <c r="D117" s="37" t="s">
        <v>6617</v>
      </c>
      <c r="E117" s="37" t="s">
        <v>6586</v>
      </c>
      <c r="F117" s="37">
        <v>42.079775118071495</v>
      </c>
      <c r="H117" t="s">
        <v>48</v>
      </c>
      <c r="I117">
        <v>23</v>
      </c>
      <c r="J117" t="s">
        <v>1197</v>
      </c>
      <c r="K117">
        <v>220</v>
      </c>
      <c r="L117">
        <v>0.81710899999999997</v>
      </c>
      <c r="M117">
        <v>6</v>
      </c>
      <c r="N117">
        <v>61.481999999999999</v>
      </c>
      <c r="O117" t="s">
        <v>6617</v>
      </c>
      <c r="P117" t="s">
        <v>6586</v>
      </c>
      <c r="Q117">
        <v>1.0325599999999999</v>
      </c>
      <c r="R117" t="s">
        <v>3304</v>
      </c>
      <c r="S117">
        <v>51.873228392717273</v>
      </c>
    </row>
    <row r="118" spans="1:19">
      <c r="A118" s="37" t="s">
        <v>405</v>
      </c>
      <c r="B118" s="37">
        <v>23</v>
      </c>
      <c r="C118" s="39">
        <v>4</v>
      </c>
      <c r="D118" s="37" t="s">
        <v>6485</v>
      </c>
      <c r="E118" s="37" t="s">
        <v>6586</v>
      </c>
      <c r="F118" s="37">
        <v>34.525634090152401</v>
      </c>
      <c r="H118" t="s">
        <v>48</v>
      </c>
      <c r="I118">
        <v>23</v>
      </c>
      <c r="J118" t="s">
        <v>1197</v>
      </c>
      <c r="K118">
        <v>220</v>
      </c>
      <c r="L118">
        <v>0.81710899999999997</v>
      </c>
      <c r="M118">
        <v>1</v>
      </c>
      <c r="N118">
        <v>70.069000000000003</v>
      </c>
      <c r="O118" t="s">
        <v>6485</v>
      </c>
      <c r="P118" t="s">
        <v>6586</v>
      </c>
      <c r="Q118">
        <v>1.0325599999999999</v>
      </c>
      <c r="R118" t="s">
        <v>3304</v>
      </c>
      <c r="S118">
        <v>59.118201103563763</v>
      </c>
    </row>
    <row r="119" spans="1:19">
      <c r="A119" s="37" t="s">
        <v>405</v>
      </c>
      <c r="B119" s="37">
        <v>23</v>
      </c>
      <c r="C119" s="39">
        <v>4</v>
      </c>
      <c r="D119" s="37" t="s">
        <v>6617</v>
      </c>
      <c r="E119" s="37" t="s">
        <v>6586</v>
      </c>
      <c r="F119" s="37">
        <v>41.706939632229499</v>
      </c>
      <c r="H119" t="s">
        <v>48</v>
      </c>
      <c r="I119">
        <v>23</v>
      </c>
      <c r="J119" t="s">
        <v>1197</v>
      </c>
      <c r="K119">
        <v>220</v>
      </c>
      <c r="L119">
        <v>0.81710899999999997</v>
      </c>
      <c r="M119">
        <v>2</v>
      </c>
      <c r="N119">
        <v>63.207000000000001</v>
      </c>
      <c r="O119" t="s">
        <v>6485</v>
      </c>
      <c r="P119" t="s">
        <v>6586</v>
      </c>
      <c r="Q119">
        <v>1.0325599999999999</v>
      </c>
      <c r="R119" t="s">
        <v>3304</v>
      </c>
      <c r="S119">
        <v>53.328635161811277</v>
      </c>
    </row>
    <row r="120" spans="1:19">
      <c r="A120" s="37" t="s">
        <v>405</v>
      </c>
      <c r="B120" s="37">
        <v>23</v>
      </c>
      <c r="C120" s="39">
        <v>5</v>
      </c>
      <c r="D120" s="37" t="s">
        <v>6485</v>
      </c>
      <c r="E120" s="37" t="s">
        <v>6586</v>
      </c>
      <c r="F120" s="37">
        <v>54.920520625205498</v>
      </c>
      <c r="H120" t="s">
        <v>48</v>
      </c>
      <c r="I120">
        <v>23</v>
      </c>
      <c r="J120" t="s">
        <v>1197</v>
      </c>
      <c r="K120">
        <v>220</v>
      </c>
      <c r="L120">
        <v>0.81710899999999997</v>
      </c>
      <c r="M120">
        <v>3</v>
      </c>
      <c r="N120">
        <v>32.453000000000003</v>
      </c>
      <c r="O120" t="s">
        <v>6485</v>
      </c>
      <c r="P120" t="s">
        <v>6586</v>
      </c>
      <c r="Q120">
        <v>1.0325599999999999</v>
      </c>
      <c r="R120" t="s">
        <v>3304</v>
      </c>
      <c r="S120">
        <v>27.381052682555119</v>
      </c>
    </row>
    <row r="121" spans="1:19">
      <c r="A121" s="37" t="s">
        <v>405</v>
      </c>
      <c r="B121" s="37">
        <v>23</v>
      </c>
      <c r="C121" s="39">
        <v>5</v>
      </c>
      <c r="D121" s="37" t="s">
        <v>6617</v>
      </c>
      <c r="E121" s="37" t="s">
        <v>6586</v>
      </c>
      <c r="F121" s="37">
        <v>53.185251411945103</v>
      </c>
      <c r="H121" t="s">
        <v>48</v>
      </c>
      <c r="I121">
        <v>23</v>
      </c>
      <c r="J121" t="s">
        <v>1197</v>
      </c>
      <c r="K121">
        <v>220</v>
      </c>
      <c r="L121">
        <v>0.81710899999999997</v>
      </c>
      <c r="M121">
        <v>4</v>
      </c>
      <c r="N121">
        <v>30.672000000000001</v>
      </c>
      <c r="O121" t="s">
        <v>6485</v>
      </c>
      <c r="P121" t="s">
        <v>6586</v>
      </c>
      <c r="Q121">
        <v>1.0325599999999999</v>
      </c>
      <c r="R121" t="s">
        <v>3304</v>
      </c>
      <c r="S121">
        <v>25.878397925594879</v>
      </c>
    </row>
    <row r="122" spans="1:19">
      <c r="A122" s="37" t="s">
        <v>405</v>
      </c>
      <c r="B122" s="37">
        <v>23</v>
      </c>
      <c r="C122" s="39">
        <v>6</v>
      </c>
      <c r="D122" s="37" t="s">
        <v>6485</v>
      </c>
      <c r="E122" s="37" t="s">
        <v>6586</v>
      </c>
      <c r="F122" s="37">
        <v>96.595307222920894</v>
      </c>
      <c r="H122" t="s">
        <v>48</v>
      </c>
      <c r="I122">
        <v>23</v>
      </c>
      <c r="J122" t="s">
        <v>1197</v>
      </c>
      <c r="K122">
        <v>220</v>
      </c>
      <c r="L122">
        <v>0.81710899999999997</v>
      </c>
      <c r="M122">
        <v>5</v>
      </c>
      <c r="N122">
        <v>51.459000000000003</v>
      </c>
      <c r="O122" t="s">
        <v>6485</v>
      </c>
      <c r="P122" t="s">
        <v>6586</v>
      </c>
      <c r="Q122">
        <v>1.0325599999999999</v>
      </c>
      <c r="R122" t="s">
        <v>3304</v>
      </c>
      <c r="S122">
        <v>43.416682278729347</v>
      </c>
    </row>
    <row r="123" spans="1:19">
      <c r="A123" s="37" t="s">
        <v>405</v>
      </c>
      <c r="B123" s="37">
        <v>23</v>
      </c>
      <c r="C123" s="39">
        <v>6</v>
      </c>
      <c r="D123" s="37" t="s">
        <v>6617</v>
      </c>
      <c r="E123" s="37" t="s">
        <v>6586</v>
      </c>
      <c r="F123" s="37">
        <v>66.122737896926594</v>
      </c>
      <c r="H123" t="s">
        <v>48</v>
      </c>
      <c r="I123">
        <v>23</v>
      </c>
      <c r="J123" t="s">
        <v>1197</v>
      </c>
      <c r="K123">
        <v>220</v>
      </c>
      <c r="L123">
        <v>0.81710899999999997</v>
      </c>
      <c r="M123">
        <v>6</v>
      </c>
      <c r="N123">
        <v>87.926000000000002</v>
      </c>
      <c r="O123" t="s">
        <v>6485</v>
      </c>
      <c r="P123" t="s">
        <v>6586</v>
      </c>
      <c r="Q123">
        <v>1.0325599999999999</v>
      </c>
      <c r="R123" t="s">
        <v>3304</v>
      </c>
      <c r="S123">
        <v>74.184403234411036</v>
      </c>
    </row>
    <row r="124" spans="1:19">
      <c r="A124" s="37" t="s">
        <v>474</v>
      </c>
      <c r="B124" s="39">
        <v>13</v>
      </c>
      <c r="C124" s="39">
        <v>1</v>
      </c>
      <c r="D124" s="37" t="s">
        <v>6485</v>
      </c>
      <c r="E124" s="37" t="s">
        <v>6586</v>
      </c>
      <c r="F124" s="37">
        <v>70.600416201262803</v>
      </c>
      <c r="H124" t="s">
        <v>132</v>
      </c>
      <c r="I124">
        <v>13</v>
      </c>
      <c r="J124" t="s">
        <v>9</v>
      </c>
      <c r="K124">
        <v>220</v>
      </c>
      <c r="L124">
        <v>0.79561899999999997</v>
      </c>
      <c r="M124">
        <v>1</v>
      </c>
      <c r="N124">
        <v>55.936</v>
      </c>
      <c r="O124" t="s">
        <v>6617</v>
      </c>
      <c r="P124" t="s">
        <v>6586</v>
      </c>
      <c r="Q124">
        <v>1.0325599999999999</v>
      </c>
      <c r="R124" t="s">
        <v>3304</v>
      </c>
      <c r="S124">
        <v>45.952786301143043</v>
      </c>
    </row>
    <row r="125" spans="1:19">
      <c r="A125" s="37" t="s">
        <v>474</v>
      </c>
      <c r="B125" s="39">
        <v>13</v>
      </c>
      <c r="C125" s="39">
        <v>1</v>
      </c>
      <c r="D125" s="37" t="s">
        <v>6617</v>
      </c>
      <c r="E125" s="37" t="s">
        <v>6586</v>
      </c>
      <c r="F125" s="37">
        <v>57.330192423439271</v>
      </c>
      <c r="H125" t="s">
        <v>132</v>
      </c>
      <c r="I125">
        <v>13</v>
      </c>
      <c r="J125" t="s">
        <v>9</v>
      </c>
      <c r="K125">
        <v>220</v>
      </c>
      <c r="L125">
        <v>0.79561899999999997</v>
      </c>
      <c r="M125">
        <v>2</v>
      </c>
      <c r="N125">
        <v>56.033999999999999</v>
      </c>
      <c r="O125" t="s">
        <v>6617</v>
      </c>
      <c r="P125" t="s">
        <v>6586</v>
      </c>
      <c r="Q125">
        <v>1.0325599999999999</v>
      </c>
      <c r="R125" t="s">
        <v>3304</v>
      </c>
      <c r="S125">
        <v>46.033295687897763</v>
      </c>
    </row>
    <row r="126" spans="1:19">
      <c r="A126" s="37" t="s">
        <v>474</v>
      </c>
      <c r="B126" s="39">
        <v>13</v>
      </c>
      <c r="C126" s="39">
        <v>2</v>
      </c>
      <c r="D126" s="37" t="s">
        <v>6485</v>
      </c>
      <c r="E126" s="37" t="s">
        <v>6586</v>
      </c>
      <c r="F126" s="37">
        <v>64.293432430018328</v>
      </c>
      <c r="H126" t="s">
        <v>132</v>
      </c>
      <c r="I126">
        <v>13</v>
      </c>
      <c r="J126" t="s">
        <v>9</v>
      </c>
      <c r="K126">
        <v>220</v>
      </c>
      <c r="L126">
        <v>0.79561899999999997</v>
      </c>
      <c r="M126">
        <v>3</v>
      </c>
      <c r="N126">
        <v>39.116999999999997</v>
      </c>
      <c r="O126" t="s">
        <v>6617</v>
      </c>
      <c r="P126" t="s">
        <v>6586</v>
      </c>
      <c r="Q126">
        <v>1.0325599999999999</v>
      </c>
      <c r="R126" t="s">
        <v>3304</v>
      </c>
      <c r="S126">
        <v>32.135568180452871</v>
      </c>
    </row>
    <row r="127" spans="1:19">
      <c r="A127" s="37" t="s">
        <v>474</v>
      </c>
      <c r="B127" s="39">
        <v>13</v>
      </c>
      <c r="C127" s="39">
        <v>2</v>
      </c>
      <c r="D127" s="37" t="s">
        <v>6617</v>
      </c>
      <c r="E127" s="37" t="s">
        <v>6586</v>
      </c>
      <c r="F127" s="37">
        <v>57.475678942060398</v>
      </c>
      <c r="H127" t="s">
        <v>132</v>
      </c>
      <c r="I127">
        <v>13</v>
      </c>
      <c r="J127" t="s">
        <v>9</v>
      </c>
      <c r="K127">
        <v>220</v>
      </c>
      <c r="L127">
        <v>0.79561899999999997</v>
      </c>
      <c r="M127">
        <v>4</v>
      </c>
      <c r="N127">
        <v>38.668999999999997</v>
      </c>
      <c r="O127" t="s">
        <v>6617</v>
      </c>
      <c r="P127" t="s">
        <v>6586</v>
      </c>
      <c r="Q127">
        <v>1.0325599999999999</v>
      </c>
      <c r="R127" t="s">
        <v>3304</v>
      </c>
      <c r="S127">
        <v>31.767525269574151</v>
      </c>
    </row>
    <row r="128" spans="1:19">
      <c r="A128" s="37" t="s">
        <v>474</v>
      </c>
      <c r="B128" s="39">
        <v>13</v>
      </c>
      <c r="C128" s="39">
        <v>3</v>
      </c>
      <c r="D128" s="37" t="s">
        <v>6485</v>
      </c>
      <c r="E128" s="37" t="s">
        <v>6586</v>
      </c>
      <c r="F128" s="37">
        <v>33.876367546213359</v>
      </c>
      <c r="H128" t="s">
        <v>132</v>
      </c>
      <c r="I128">
        <v>13</v>
      </c>
      <c r="J128" t="s">
        <v>9</v>
      </c>
      <c r="K128">
        <v>220</v>
      </c>
      <c r="L128">
        <v>0.79561899999999997</v>
      </c>
      <c r="M128">
        <v>5</v>
      </c>
      <c r="N128">
        <v>51.475999999999999</v>
      </c>
      <c r="O128" t="s">
        <v>6617</v>
      </c>
      <c r="P128" t="s">
        <v>6586</v>
      </c>
      <c r="Q128">
        <v>1.0325599999999999</v>
      </c>
      <c r="R128" t="s">
        <v>3304</v>
      </c>
      <c r="S128">
        <v>42.288787679448632</v>
      </c>
    </row>
    <row r="129" spans="1:19">
      <c r="A129" s="37" t="s">
        <v>474</v>
      </c>
      <c r="B129" s="39">
        <v>13</v>
      </c>
      <c r="C129" s="39">
        <v>3</v>
      </c>
      <c r="D129" s="37" t="s">
        <v>6617</v>
      </c>
      <c r="E129" s="37" t="s">
        <v>6586</v>
      </c>
      <c r="F129" s="37">
        <v>40.413222141722478</v>
      </c>
      <c r="H129" t="s">
        <v>132</v>
      </c>
      <c r="I129">
        <v>13</v>
      </c>
      <c r="J129" t="s">
        <v>9</v>
      </c>
      <c r="K129">
        <v>220</v>
      </c>
      <c r="L129">
        <v>0.79561899999999997</v>
      </c>
      <c r="M129">
        <v>6</v>
      </c>
      <c r="N129">
        <v>62.256999999999998</v>
      </c>
      <c r="O129" t="s">
        <v>6617</v>
      </c>
      <c r="P129" t="s">
        <v>6586</v>
      </c>
      <c r="Q129">
        <v>1.0325599999999999</v>
      </c>
      <c r="R129" t="s">
        <v>3304</v>
      </c>
      <c r="S129">
        <v>51.14564174682247</v>
      </c>
    </row>
    <row r="130" spans="1:19">
      <c r="A130" s="37" t="s">
        <v>474</v>
      </c>
      <c r="B130" s="39">
        <v>13</v>
      </c>
      <c r="C130" s="39">
        <v>4</v>
      </c>
      <c r="D130" s="37" t="s">
        <v>6485</v>
      </c>
      <c r="E130" s="37" t="s">
        <v>6586</v>
      </c>
      <c r="F130" s="37">
        <v>32.644002839135759</v>
      </c>
      <c r="H130" t="s">
        <v>132</v>
      </c>
      <c r="I130">
        <v>13</v>
      </c>
      <c r="J130" t="s">
        <v>9</v>
      </c>
      <c r="K130">
        <v>220</v>
      </c>
      <c r="L130">
        <v>0.79561899999999997</v>
      </c>
      <c r="M130">
        <v>1</v>
      </c>
      <c r="N130">
        <v>69.262</v>
      </c>
      <c r="O130" t="s">
        <v>6485</v>
      </c>
      <c r="P130" t="s">
        <v>6586</v>
      </c>
      <c r="Q130">
        <v>1.0325599999999999</v>
      </c>
      <c r="R130" t="s">
        <v>3304</v>
      </c>
      <c r="S130">
        <v>56.900419851075668</v>
      </c>
    </row>
    <row r="131" spans="1:19">
      <c r="A131" s="37" t="s">
        <v>474</v>
      </c>
      <c r="B131" s="39">
        <v>13</v>
      </c>
      <c r="C131" s="39">
        <v>4</v>
      </c>
      <c r="D131" s="37" t="s">
        <v>6617</v>
      </c>
      <c r="E131" s="37" t="s">
        <v>6586</v>
      </c>
      <c r="F131" s="37">
        <v>39.894198007168796</v>
      </c>
      <c r="H131" t="s">
        <v>132</v>
      </c>
      <c r="I131">
        <v>13</v>
      </c>
      <c r="J131" t="s">
        <v>9</v>
      </c>
      <c r="K131">
        <v>220</v>
      </c>
      <c r="L131">
        <v>0.79561899999999997</v>
      </c>
      <c r="M131">
        <v>2</v>
      </c>
      <c r="N131">
        <v>62.783000000000001</v>
      </c>
      <c r="O131" t="s">
        <v>6485</v>
      </c>
      <c r="P131" t="s">
        <v>6586</v>
      </c>
      <c r="Q131">
        <v>1.0325599999999999</v>
      </c>
      <c r="R131" t="s">
        <v>3304</v>
      </c>
      <c r="S131">
        <v>51.57776355736312</v>
      </c>
    </row>
    <row r="132" spans="1:19">
      <c r="A132" s="37" t="s">
        <v>474</v>
      </c>
      <c r="B132" s="39">
        <v>13</v>
      </c>
      <c r="C132" s="39">
        <v>5</v>
      </c>
      <c r="D132" s="37" t="s">
        <v>6485</v>
      </c>
      <c r="E132" s="37" t="s">
        <v>6586</v>
      </c>
      <c r="F132" s="37">
        <v>52.04480241686376</v>
      </c>
      <c r="H132" t="s">
        <v>132</v>
      </c>
      <c r="I132">
        <v>13</v>
      </c>
      <c r="J132" t="s">
        <v>9</v>
      </c>
      <c r="K132">
        <v>220</v>
      </c>
      <c r="L132">
        <v>0.79561899999999997</v>
      </c>
      <c r="M132">
        <v>3</v>
      </c>
      <c r="N132">
        <v>32.915999999999997</v>
      </c>
      <c r="O132" t="s">
        <v>6485</v>
      </c>
      <c r="P132" t="s">
        <v>6586</v>
      </c>
      <c r="Q132">
        <v>1.0325599999999999</v>
      </c>
      <c r="R132" t="s">
        <v>3304</v>
      </c>
      <c r="S132">
        <v>27.041295657330231</v>
      </c>
    </row>
    <row r="133" spans="1:19">
      <c r="A133" s="37" t="s">
        <v>474</v>
      </c>
      <c r="B133" s="39">
        <v>13</v>
      </c>
      <c r="C133" s="39">
        <v>5</v>
      </c>
      <c r="D133" s="37" t="s">
        <v>6617</v>
      </c>
      <c r="E133" s="37" t="s">
        <v>6586</v>
      </c>
      <c r="F133" s="37">
        <v>50.627607408796401</v>
      </c>
      <c r="H133" t="s">
        <v>132</v>
      </c>
      <c r="I133">
        <v>13</v>
      </c>
      <c r="J133" t="s">
        <v>9</v>
      </c>
      <c r="K133">
        <v>220</v>
      </c>
      <c r="L133">
        <v>0.79561899999999997</v>
      </c>
      <c r="M133">
        <v>4</v>
      </c>
      <c r="N133">
        <v>32.179000000000002</v>
      </c>
      <c r="O133" t="s">
        <v>6485</v>
      </c>
      <c r="P133" t="s">
        <v>6586</v>
      </c>
      <c r="Q133">
        <v>1.0325599999999999</v>
      </c>
      <c r="R133" t="s">
        <v>3304</v>
      </c>
      <c r="S133">
        <v>26.435832207960559</v>
      </c>
    </row>
    <row r="134" spans="1:19">
      <c r="A134" s="37" t="s">
        <v>474</v>
      </c>
      <c r="B134" s="39">
        <v>13</v>
      </c>
      <c r="C134" s="39">
        <v>6</v>
      </c>
      <c r="D134" s="37" t="s">
        <v>6485</v>
      </c>
      <c r="E134" s="37" t="s">
        <v>6586</v>
      </c>
      <c r="F134" s="37">
        <v>87.08825578605159</v>
      </c>
      <c r="H134" t="s">
        <v>132</v>
      </c>
      <c r="I134">
        <v>13</v>
      </c>
      <c r="J134" t="s">
        <v>9</v>
      </c>
      <c r="K134">
        <v>220</v>
      </c>
      <c r="L134">
        <v>0.79561899999999997</v>
      </c>
      <c r="M134">
        <v>5</v>
      </c>
      <c r="N134">
        <v>54.389000000000003</v>
      </c>
      <c r="O134" t="s">
        <v>6485</v>
      </c>
      <c r="P134" t="s">
        <v>6586</v>
      </c>
      <c r="Q134">
        <v>1.0325599999999999</v>
      </c>
      <c r="R134" t="s">
        <v>3304</v>
      </c>
      <c r="S134">
        <v>44.681888124514963</v>
      </c>
    </row>
    <row r="135" spans="1:19">
      <c r="A135" s="37" t="s">
        <v>474</v>
      </c>
      <c r="B135" s="39">
        <v>13</v>
      </c>
      <c r="C135" s="39">
        <v>6</v>
      </c>
      <c r="D135" s="37" t="s">
        <v>6617</v>
      </c>
      <c r="E135" s="37" t="s">
        <v>6586</v>
      </c>
      <c r="F135" s="37">
        <v>62.229212878096561</v>
      </c>
      <c r="H135" t="s">
        <v>132</v>
      </c>
      <c r="I135">
        <v>13</v>
      </c>
      <c r="J135" t="s">
        <v>9</v>
      </c>
      <c r="K135">
        <v>220</v>
      </c>
      <c r="L135">
        <v>0.79561899999999997</v>
      </c>
      <c r="M135">
        <v>6</v>
      </c>
      <c r="N135">
        <v>88.427000000000007</v>
      </c>
      <c r="O135" t="s">
        <v>6485</v>
      </c>
      <c r="P135" t="s">
        <v>6586</v>
      </c>
      <c r="Q135">
        <v>1.0325599999999999</v>
      </c>
      <c r="R135" t="s">
        <v>3304</v>
      </c>
      <c r="S135">
        <v>72.644934107751283</v>
      </c>
    </row>
    <row r="136" spans="1:19">
      <c r="A136" s="37" t="s">
        <v>545</v>
      </c>
      <c r="B136" s="39">
        <v>66</v>
      </c>
      <c r="C136" s="39">
        <v>1</v>
      </c>
      <c r="D136" s="37" t="s">
        <v>6485</v>
      </c>
      <c r="E136" s="37" t="s">
        <v>6586</v>
      </c>
      <c r="F136" s="37">
        <v>71.228212118517604</v>
      </c>
      <c r="H136" t="s">
        <v>132</v>
      </c>
      <c r="I136">
        <v>13</v>
      </c>
      <c r="J136" t="s">
        <v>14</v>
      </c>
      <c r="K136">
        <v>220</v>
      </c>
      <c r="L136">
        <v>2.4400999999999999E-2</v>
      </c>
      <c r="M136">
        <v>1</v>
      </c>
      <c r="N136">
        <v>56.027999999999999</v>
      </c>
      <c r="O136" t="s">
        <v>6617</v>
      </c>
      <c r="P136" t="s">
        <v>6586</v>
      </c>
      <c r="Q136">
        <v>1.0325599999999999</v>
      </c>
      <c r="R136" t="s">
        <v>3304</v>
      </c>
      <c r="S136">
        <v>1.4116532812636799</v>
      </c>
    </row>
    <row r="137" spans="1:19">
      <c r="A137" s="37" t="s">
        <v>545</v>
      </c>
      <c r="B137" s="39">
        <v>66</v>
      </c>
      <c r="C137" s="39">
        <v>1</v>
      </c>
      <c r="D137" s="37" t="s">
        <v>6617</v>
      </c>
      <c r="E137" s="37" t="s">
        <v>6586</v>
      </c>
      <c r="F137" s="37">
        <v>57.62446327249328</v>
      </c>
      <c r="H137" t="s">
        <v>132</v>
      </c>
      <c r="I137">
        <v>13</v>
      </c>
      <c r="J137" t="s">
        <v>14</v>
      </c>
      <c r="K137">
        <v>220</v>
      </c>
      <c r="L137">
        <v>2.4400999999999999E-2</v>
      </c>
      <c r="M137">
        <v>2</v>
      </c>
      <c r="N137">
        <v>56.122999999999998</v>
      </c>
      <c r="O137" t="s">
        <v>6617</v>
      </c>
      <c r="P137" t="s">
        <v>6586</v>
      </c>
      <c r="Q137">
        <v>1.0325599999999999</v>
      </c>
      <c r="R137" t="s">
        <v>3304</v>
      </c>
      <c r="S137">
        <v>1.41404685343688</v>
      </c>
    </row>
    <row r="138" spans="1:19">
      <c r="A138" s="37" t="s">
        <v>545</v>
      </c>
      <c r="B138" s="39">
        <v>66</v>
      </c>
      <c r="C138" s="39">
        <v>2</v>
      </c>
      <c r="D138" s="37" t="s">
        <v>6485</v>
      </c>
      <c r="E138" s="37" t="s">
        <v>6586</v>
      </c>
      <c r="F138" s="37">
        <v>64.666018075193747</v>
      </c>
      <c r="H138" t="s">
        <v>132</v>
      </c>
      <c r="I138">
        <v>13</v>
      </c>
      <c r="J138" t="s">
        <v>14</v>
      </c>
      <c r="K138">
        <v>220</v>
      </c>
      <c r="L138">
        <v>2.4400999999999999E-2</v>
      </c>
      <c r="M138">
        <v>3</v>
      </c>
      <c r="N138">
        <v>39.145000000000003</v>
      </c>
      <c r="O138" t="s">
        <v>6617</v>
      </c>
      <c r="P138" t="s">
        <v>6586</v>
      </c>
      <c r="Q138">
        <v>1.0325599999999999</v>
      </c>
      <c r="R138" t="s">
        <v>3304</v>
      </c>
      <c r="S138">
        <v>0.98627771284120003</v>
      </c>
    </row>
    <row r="139" spans="1:19">
      <c r="A139" s="37" t="s">
        <v>545</v>
      </c>
      <c r="B139" s="39">
        <v>66</v>
      </c>
      <c r="C139" s="39">
        <v>2</v>
      </c>
      <c r="D139" s="37" t="s">
        <v>6617</v>
      </c>
      <c r="E139" s="37" t="s">
        <v>6586</v>
      </c>
      <c r="F139" s="37">
        <v>57.732175131321824</v>
      </c>
      <c r="H139" t="s">
        <v>132</v>
      </c>
      <c r="I139">
        <v>13</v>
      </c>
      <c r="J139" t="s">
        <v>14</v>
      </c>
      <c r="K139">
        <v>220</v>
      </c>
      <c r="L139">
        <v>2.4400999999999999E-2</v>
      </c>
      <c r="M139">
        <v>4</v>
      </c>
      <c r="N139">
        <v>38.646999999999998</v>
      </c>
      <c r="O139" t="s">
        <v>6617</v>
      </c>
      <c r="P139" t="s">
        <v>6586</v>
      </c>
      <c r="Q139">
        <v>1.0325599999999999</v>
      </c>
      <c r="R139" t="s">
        <v>3304</v>
      </c>
      <c r="S139">
        <v>0.97373035555431986</v>
      </c>
    </row>
    <row r="140" spans="1:19">
      <c r="A140" s="37" t="s">
        <v>545</v>
      </c>
      <c r="B140" s="39">
        <v>66</v>
      </c>
      <c r="C140" s="39">
        <v>3</v>
      </c>
      <c r="D140" s="37" t="s">
        <v>6485</v>
      </c>
      <c r="E140" s="37" t="s">
        <v>6586</v>
      </c>
      <c r="F140" s="37">
        <v>33.980823471798629</v>
      </c>
      <c r="H140" t="s">
        <v>132</v>
      </c>
      <c r="I140">
        <v>13</v>
      </c>
      <c r="J140" t="s">
        <v>14</v>
      </c>
      <c r="K140">
        <v>220</v>
      </c>
      <c r="L140">
        <v>2.4400999999999999E-2</v>
      </c>
      <c r="M140">
        <v>5</v>
      </c>
      <c r="N140">
        <v>49.831000000000003</v>
      </c>
      <c r="O140" t="s">
        <v>6617</v>
      </c>
      <c r="P140" t="s">
        <v>6586</v>
      </c>
      <c r="Q140">
        <v>1.0325599999999999</v>
      </c>
      <c r="R140" t="s">
        <v>3304</v>
      </c>
      <c r="S140">
        <v>1.2555167890813601</v>
      </c>
    </row>
    <row r="141" spans="1:19">
      <c r="A141" s="37" t="s">
        <v>545</v>
      </c>
      <c r="B141" s="39">
        <v>66</v>
      </c>
      <c r="C141" s="39">
        <v>3</v>
      </c>
      <c r="D141" s="37" t="s">
        <v>6617</v>
      </c>
      <c r="E141" s="37" t="s">
        <v>6586</v>
      </c>
      <c r="F141" s="37">
        <v>40.399009781435602</v>
      </c>
      <c r="H141" t="s">
        <v>132</v>
      </c>
      <c r="I141">
        <v>13</v>
      </c>
      <c r="J141" t="s">
        <v>14</v>
      </c>
      <c r="K141">
        <v>220</v>
      </c>
      <c r="L141">
        <v>2.4400999999999999E-2</v>
      </c>
      <c r="M141">
        <v>6</v>
      </c>
      <c r="N141">
        <v>61.533000000000001</v>
      </c>
      <c r="O141" t="s">
        <v>6617</v>
      </c>
      <c r="P141" t="s">
        <v>6586</v>
      </c>
      <c r="Q141">
        <v>1.0325599999999999</v>
      </c>
      <c r="R141" t="s">
        <v>3304</v>
      </c>
      <c r="S141">
        <v>1.5503544898264801</v>
      </c>
    </row>
    <row r="142" spans="1:19">
      <c r="A142" s="37" t="s">
        <v>545</v>
      </c>
      <c r="B142" s="39">
        <v>66</v>
      </c>
      <c r="C142" s="39">
        <v>4</v>
      </c>
      <c r="D142" s="37" t="s">
        <v>6485</v>
      </c>
      <c r="E142" s="37" t="s">
        <v>6586</v>
      </c>
      <c r="F142" s="37">
        <v>33.096813472032565</v>
      </c>
      <c r="H142" t="s">
        <v>132</v>
      </c>
      <c r="I142">
        <v>13</v>
      </c>
      <c r="J142" t="s">
        <v>14</v>
      </c>
      <c r="K142">
        <v>220</v>
      </c>
      <c r="L142">
        <v>2.4400999999999999E-2</v>
      </c>
      <c r="M142">
        <v>1</v>
      </c>
      <c r="N142">
        <v>70.548000000000002</v>
      </c>
      <c r="O142" t="s">
        <v>6485</v>
      </c>
      <c r="P142" t="s">
        <v>6586</v>
      </c>
      <c r="Q142">
        <v>1.0325599999999999</v>
      </c>
      <c r="R142" t="s">
        <v>3304</v>
      </c>
      <c r="S142">
        <v>1.7774918913148801</v>
      </c>
    </row>
    <row r="143" spans="1:19">
      <c r="A143" s="37" t="s">
        <v>545</v>
      </c>
      <c r="B143" s="39">
        <v>66</v>
      </c>
      <c r="C143" s="39">
        <v>4</v>
      </c>
      <c r="D143" s="37" t="s">
        <v>6617</v>
      </c>
      <c r="E143" s="37" t="s">
        <v>6586</v>
      </c>
      <c r="F143" s="37">
        <v>39.916995225147112</v>
      </c>
      <c r="H143" t="s">
        <v>132</v>
      </c>
      <c r="I143">
        <v>13</v>
      </c>
      <c r="J143" t="s">
        <v>14</v>
      </c>
      <c r="K143">
        <v>220</v>
      </c>
      <c r="L143">
        <v>2.4400999999999999E-2</v>
      </c>
      <c r="M143">
        <v>2</v>
      </c>
      <c r="N143">
        <v>63.55</v>
      </c>
      <c r="O143" t="s">
        <v>6485</v>
      </c>
      <c r="P143" t="s">
        <v>6586</v>
      </c>
      <c r="Q143">
        <v>1.0325599999999999</v>
      </c>
      <c r="R143" t="s">
        <v>3304</v>
      </c>
      <c r="S143">
        <v>1.6011738063880001</v>
      </c>
    </row>
    <row r="144" spans="1:19">
      <c r="A144" s="37" t="s">
        <v>545</v>
      </c>
      <c r="B144" s="39">
        <v>66</v>
      </c>
      <c r="C144" s="39">
        <v>5</v>
      </c>
      <c r="D144" s="37" t="s">
        <v>6485</v>
      </c>
      <c r="E144" s="37" t="s">
        <v>6586</v>
      </c>
      <c r="F144" s="37">
        <v>54.685558319969282</v>
      </c>
      <c r="H144" t="s">
        <v>132</v>
      </c>
      <c r="I144">
        <v>13</v>
      </c>
      <c r="J144" t="s">
        <v>14</v>
      </c>
      <c r="K144">
        <v>220</v>
      </c>
      <c r="L144">
        <v>2.4400999999999999E-2</v>
      </c>
      <c r="M144">
        <v>3</v>
      </c>
      <c r="N144">
        <v>32.978000000000002</v>
      </c>
      <c r="O144" t="s">
        <v>6485</v>
      </c>
      <c r="P144" t="s">
        <v>6586</v>
      </c>
      <c r="Q144">
        <v>1.0325599999999999</v>
      </c>
      <c r="R144" t="s">
        <v>3304</v>
      </c>
      <c r="S144">
        <v>0.83089708555567998</v>
      </c>
    </row>
    <row r="145" spans="1:19">
      <c r="A145" s="37" t="s">
        <v>545</v>
      </c>
      <c r="B145" s="39">
        <v>66</v>
      </c>
      <c r="C145" s="39">
        <v>5</v>
      </c>
      <c r="D145" s="37" t="s">
        <v>6617</v>
      </c>
      <c r="E145" s="37" t="s">
        <v>6586</v>
      </c>
      <c r="F145" s="37">
        <v>52.245202027189997</v>
      </c>
      <c r="H145" t="s">
        <v>132</v>
      </c>
      <c r="I145">
        <v>13</v>
      </c>
      <c r="J145" t="s">
        <v>14</v>
      </c>
      <c r="K145">
        <v>220</v>
      </c>
      <c r="L145">
        <v>2.4400999999999999E-2</v>
      </c>
      <c r="M145">
        <v>4</v>
      </c>
      <c r="N145">
        <v>31.867000000000001</v>
      </c>
      <c r="O145" t="s">
        <v>6485</v>
      </c>
      <c r="P145" t="s">
        <v>6586</v>
      </c>
      <c r="Q145">
        <v>1.0325599999999999</v>
      </c>
      <c r="R145" t="s">
        <v>3304</v>
      </c>
      <c r="S145">
        <v>0.80290488887751998</v>
      </c>
    </row>
    <row r="146" spans="1:19">
      <c r="A146" s="37" t="s">
        <v>545</v>
      </c>
      <c r="B146" s="39">
        <v>66</v>
      </c>
      <c r="C146" s="39">
        <v>6</v>
      </c>
      <c r="D146" s="37" t="s">
        <v>6485</v>
      </c>
      <c r="E146" s="37" t="s">
        <v>6586</v>
      </c>
      <c r="F146" s="37">
        <v>89.816057510098474</v>
      </c>
      <c r="H146" t="s">
        <v>132</v>
      </c>
      <c r="I146">
        <v>13</v>
      </c>
      <c r="J146" t="s">
        <v>14</v>
      </c>
      <c r="K146">
        <v>220</v>
      </c>
      <c r="L146">
        <v>2.4400999999999999E-2</v>
      </c>
      <c r="M146">
        <v>5</v>
      </c>
      <c r="N146">
        <v>51.658000000000001</v>
      </c>
      <c r="O146" t="s">
        <v>6485</v>
      </c>
      <c r="P146" t="s">
        <v>6586</v>
      </c>
      <c r="Q146">
        <v>1.0325599999999999</v>
      </c>
      <c r="R146" t="s">
        <v>3304</v>
      </c>
      <c r="S146">
        <v>1.3015489612964799</v>
      </c>
    </row>
    <row r="147" spans="1:19">
      <c r="A147" s="37" t="s">
        <v>545</v>
      </c>
      <c r="B147" s="39">
        <v>66</v>
      </c>
      <c r="C147" s="39">
        <v>6</v>
      </c>
      <c r="D147" s="37" t="s">
        <v>6617</v>
      </c>
      <c r="E147" s="37" t="s">
        <v>6586</v>
      </c>
      <c r="F147" s="37">
        <v>63.551398828269754</v>
      </c>
      <c r="H147" t="s">
        <v>132</v>
      </c>
      <c r="I147">
        <v>13</v>
      </c>
      <c r="J147" t="s">
        <v>14</v>
      </c>
      <c r="K147">
        <v>220</v>
      </c>
      <c r="L147">
        <v>2.4400999999999999E-2</v>
      </c>
      <c r="M147">
        <v>6</v>
      </c>
      <c r="N147">
        <v>88.040999999999997</v>
      </c>
      <c r="O147" t="s">
        <v>6485</v>
      </c>
      <c r="P147" t="s">
        <v>6586</v>
      </c>
      <c r="Q147">
        <v>1.0325599999999999</v>
      </c>
      <c r="R147" t="s">
        <v>3304</v>
      </c>
      <c r="S147">
        <v>2.2182367126389599</v>
      </c>
    </row>
    <row r="148" spans="1:19">
      <c r="A148" s="37" t="s">
        <v>858</v>
      </c>
      <c r="B148" s="39">
        <v>13</v>
      </c>
      <c r="C148" s="39">
        <v>1</v>
      </c>
      <c r="D148" s="37" t="s">
        <v>6485</v>
      </c>
      <c r="E148" s="37" t="s">
        <v>6586</v>
      </c>
      <c r="F148" s="37">
        <v>72.124620043182901</v>
      </c>
      <c r="H148" t="s">
        <v>132</v>
      </c>
      <c r="I148">
        <v>13</v>
      </c>
      <c r="J148" t="s">
        <v>248</v>
      </c>
      <c r="K148">
        <v>220</v>
      </c>
      <c r="L148">
        <v>7.2139999999999999E-3</v>
      </c>
      <c r="M148">
        <v>1</v>
      </c>
      <c r="N148">
        <v>54.328000000000003</v>
      </c>
      <c r="O148" t="s">
        <v>6617</v>
      </c>
      <c r="P148" t="s">
        <v>6586</v>
      </c>
      <c r="Q148">
        <v>1.0325599999999999</v>
      </c>
      <c r="R148" t="s">
        <v>3304</v>
      </c>
      <c r="S148">
        <v>0.40468317857151997</v>
      </c>
    </row>
    <row r="149" spans="1:19">
      <c r="A149" s="37" t="s">
        <v>858</v>
      </c>
      <c r="B149" s="39">
        <v>13</v>
      </c>
      <c r="C149" s="39">
        <v>1</v>
      </c>
      <c r="D149" s="37" t="s">
        <v>6617</v>
      </c>
      <c r="E149" s="37" t="s">
        <v>6586</v>
      </c>
      <c r="F149" s="37">
        <v>56.841888626887197</v>
      </c>
      <c r="H149" t="s">
        <v>132</v>
      </c>
      <c r="I149">
        <v>13</v>
      </c>
      <c r="J149" t="s">
        <v>248</v>
      </c>
      <c r="K149">
        <v>220</v>
      </c>
      <c r="L149">
        <v>7.2139999999999999E-3</v>
      </c>
      <c r="M149">
        <v>2</v>
      </c>
      <c r="N149">
        <v>54.436999999999998</v>
      </c>
      <c r="O149" t="s">
        <v>6617</v>
      </c>
      <c r="P149" t="s">
        <v>6586</v>
      </c>
      <c r="Q149">
        <v>1.0325599999999999</v>
      </c>
      <c r="R149" t="s">
        <v>3304</v>
      </c>
      <c r="S149">
        <v>0.40549510734608002</v>
      </c>
    </row>
    <row r="150" spans="1:19">
      <c r="A150" s="37" t="s">
        <v>858</v>
      </c>
      <c r="B150" s="39">
        <v>13</v>
      </c>
      <c r="C150" s="39">
        <v>2</v>
      </c>
      <c r="D150" s="37" t="s">
        <v>6485</v>
      </c>
      <c r="E150" s="37" t="s">
        <v>6586</v>
      </c>
      <c r="F150" s="37">
        <v>64.6217227897166</v>
      </c>
      <c r="H150" t="s">
        <v>132</v>
      </c>
      <c r="I150">
        <v>13</v>
      </c>
      <c r="J150" t="s">
        <v>248</v>
      </c>
      <c r="K150">
        <v>220</v>
      </c>
      <c r="L150">
        <v>7.2139999999999999E-3</v>
      </c>
      <c r="M150">
        <v>3</v>
      </c>
      <c r="N150">
        <v>39.161000000000001</v>
      </c>
      <c r="O150" t="s">
        <v>6617</v>
      </c>
      <c r="P150" t="s">
        <v>6586</v>
      </c>
      <c r="Q150">
        <v>1.0325599999999999</v>
      </c>
      <c r="R150" t="s">
        <v>3304</v>
      </c>
      <c r="S150">
        <v>0.29170589670224001</v>
      </c>
    </row>
    <row r="151" spans="1:19">
      <c r="A151" s="37" t="s">
        <v>858</v>
      </c>
      <c r="B151" s="39">
        <v>13</v>
      </c>
      <c r="C151" s="39">
        <v>2</v>
      </c>
      <c r="D151" s="37" t="s">
        <v>6617</v>
      </c>
      <c r="E151" s="37" t="s">
        <v>6586</v>
      </c>
      <c r="F151" s="37">
        <v>56.873238587464797</v>
      </c>
      <c r="H151" t="s">
        <v>132</v>
      </c>
      <c r="I151">
        <v>13</v>
      </c>
      <c r="J151" t="s">
        <v>248</v>
      </c>
      <c r="K151">
        <v>220</v>
      </c>
      <c r="L151">
        <v>7.2139999999999999E-3</v>
      </c>
      <c r="M151">
        <v>4</v>
      </c>
      <c r="N151">
        <v>38.674999999999997</v>
      </c>
      <c r="O151" t="s">
        <v>6617</v>
      </c>
      <c r="P151" t="s">
        <v>6586</v>
      </c>
      <c r="Q151">
        <v>1.0325599999999999</v>
      </c>
      <c r="R151" t="s">
        <v>3304</v>
      </c>
      <c r="S151">
        <v>0.28808573721199998</v>
      </c>
    </row>
    <row r="152" spans="1:19">
      <c r="A152" s="37" t="s">
        <v>858</v>
      </c>
      <c r="B152" s="39">
        <v>13</v>
      </c>
      <c r="C152" s="39">
        <v>3</v>
      </c>
      <c r="D152" s="37" t="s">
        <v>6485</v>
      </c>
      <c r="E152" s="37" t="s">
        <v>6586</v>
      </c>
      <c r="F152" s="37">
        <v>33.501485973032601</v>
      </c>
      <c r="H152" t="s">
        <v>132</v>
      </c>
      <c r="I152">
        <v>13</v>
      </c>
      <c r="J152" t="s">
        <v>248</v>
      </c>
      <c r="K152">
        <v>220</v>
      </c>
      <c r="L152">
        <v>7.2139999999999999E-3</v>
      </c>
      <c r="M152">
        <v>5</v>
      </c>
      <c r="N152">
        <v>49.055</v>
      </c>
      <c r="O152" t="s">
        <v>6617</v>
      </c>
      <c r="P152" t="s">
        <v>6586</v>
      </c>
      <c r="Q152">
        <v>1.0325599999999999</v>
      </c>
      <c r="R152" t="s">
        <v>3304</v>
      </c>
      <c r="S152">
        <v>0.3654051929912</v>
      </c>
    </row>
    <row r="153" spans="1:19">
      <c r="A153" s="37" t="s">
        <v>858</v>
      </c>
      <c r="B153" s="39">
        <v>13</v>
      </c>
      <c r="C153" s="39">
        <v>3</v>
      </c>
      <c r="D153" s="37" t="s">
        <v>6617</v>
      </c>
      <c r="E153" s="37" t="s">
        <v>6586</v>
      </c>
      <c r="F153" s="37">
        <v>39.767657121703401</v>
      </c>
      <c r="H153" t="s">
        <v>132</v>
      </c>
      <c r="I153">
        <v>13</v>
      </c>
      <c r="J153" t="s">
        <v>248</v>
      </c>
      <c r="K153">
        <v>220</v>
      </c>
      <c r="L153">
        <v>7.2139999999999999E-3</v>
      </c>
      <c r="M153">
        <v>6</v>
      </c>
      <c r="N153">
        <v>58.87</v>
      </c>
      <c r="O153" t="s">
        <v>6617</v>
      </c>
      <c r="P153" t="s">
        <v>6586</v>
      </c>
      <c r="Q153">
        <v>1.0325599999999999</v>
      </c>
      <c r="R153" t="s">
        <v>3304</v>
      </c>
      <c r="S153">
        <v>0.43851602714080001</v>
      </c>
    </row>
    <row r="154" spans="1:19">
      <c r="A154" s="37" t="s">
        <v>858</v>
      </c>
      <c r="B154" s="39">
        <v>13</v>
      </c>
      <c r="C154" s="39">
        <v>4</v>
      </c>
      <c r="D154" s="37" t="s">
        <v>6485</v>
      </c>
      <c r="E154" s="37" t="s">
        <v>6586</v>
      </c>
      <c r="F154" s="37">
        <v>32.566902541033897</v>
      </c>
      <c r="H154" t="s">
        <v>132</v>
      </c>
      <c r="I154">
        <v>13</v>
      </c>
      <c r="J154" t="s">
        <v>248</v>
      </c>
      <c r="K154">
        <v>220</v>
      </c>
      <c r="L154">
        <v>7.2139999999999999E-3</v>
      </c>
      <c r="M154">
        <v>1</v>
      </c>
      <c r="N154">
        <v>65.05</v>
      </c>
      <c r="O154" t="s">
        <v>6485</v>
      </c>
      <c r="P154" t="s">
        <v>6586</v>
      </c>
      <c r="Q154">
        <v>1.0325599999999999</v>
      </c>
      <c r="R154" t="s">
        <v>3304</v>
      </c>
      <c r="S154">
        <v>0.48455015399200002</v>
      </c>
    </row>
    <row r="155" spans="1:19">
      <c r="A155" s="37" t="s">
        <v>858</v>
      </c>
      <c r="B155" s="39">
        <v>13</v>
      </c>
      <c r="C155" s="39">
        <v>4</v>
      </c>
      <c r="D155" s="37" t="s">
        <v>6617</v>
      </c>
      <c r="E155" s="37" t="s">
        <v>6586</v>
      </c>
      <c r="F155" s="37">
        <v>39.286030832123814</v>
      </c>
      <c r="H155" t="s">
        <v>132</v>
      </c>
      <c r="I155">
        <v>13</v>
      </c>
      <c r="J155" t="s">
        <v>248</v>
      </c>
      <c r="K155">
        <v>220</v>
      </c>
      <c r="L155">
        <v>7.2139999999999999E-3</v>
      </c>
      <c r="M155">
        <v>2</v>
      </c>
      <c r="N155">
        <v>60.055999999999997</v>
      </c>
      <c r="O155" t="s">
        <v>6485</v>
      </c>
      <c r="P155" t="s">
        <v>6586</v>
      </c>
      <c r="Q155">
        <v>1.0325599999999999</v>
      </c>
      <c r="R155" t="s">
        <v>3304</v>
      </c>
      <c r="S155">
        <v>0.44735040811903992</v>
      </c>
    </row>
    <row r="156" spans="1:19">
      <c r="A156" s="37" t="s">
        <v>858</v>
      </c>
      <c r="B156" s="39">
        <v>13</v>
      </c>
      <c r="C156" s="39">
        <v>5</v>
      </c>
      <c r="D156" s="37" t="s">
        <v>6485</v>
      </c>
      <c r="E156" s="37" t="s">
        <v>6586</v>
      </c>
      <c r="F156" s="37">
        <v>54.191035104697505</v>
      </c>
      <c r="H156" t="s">
        <v>132</v>
      </c>
      <c r="I156">
        <v>13</v>
      </c>
      <c r="J156" t="s">
        <v>248</v>
      </c>
      <c r="K156">
        <v>220</v>
      </c>
      <c r="L156">
        <v>7.2139999999999999E-3</v>
      </c>
      <c r="M156">
        <v>3</v>
      </c>
      <c r="N156">
        <v>33.075000000000003</v>
      </c>
      <c r="O156" t="s">
        <v>6485</v>
      </c>
      <c r="P156" t="s">
        <v>6586</v>
      </c>
      <c r="Q156">
        <v>1.0325599999999999</v>
      </c>
      <c r="R156" t="s">
        <v>3304</v>
      </c>
      <c r="S156">
        <v>0.24637196530800001</v>
      </c>
    </row>
    <row r="157" spans="1:19">
      <c r="A157" s="37" t="s">
        <v>858</v>
      </c>
      <c r="B157" s="39">
        <v>13</v>
      </c>
      <c r="C157" s="39">
        <v>5</v>
      </c>
      <c r="D157" s="37" t="s">
        <v>6617</v>
      </c>
      <c r="E157" s="37" t="s">
        <v>6586</v>
      </c>
      <c r="F157" s="37">
        <v>51.513951121387194</v>
      </c>
      <c r="H157" t="s">
        <v>132</v>
      </c>
      <c r="I157">
        <v>13</v>
      </c>
      <c r="J157" t="s">
        <v>248</v>
      </c>
      <c r="K157">
        <v>220</v>
      </c>
      <c r="L157">
        <v>7.2139999999999999E-3</v>
      </c>
      <c r="M157">
        <v>4</v>
      </c>
      <c r="N157">
        <v>32.075000000000003</v>
      </c>
      <c r="O157" t="s">
        <v>6485</v>
      </c>
      <c r="P157" t="s">
        <v>6586</v>
      </c>
      <c r="Q157">
        <v>1.0325599999999999</v>
      </c>
      <c r="R157" t="s">
        <v>3304</v>
      </c>
      <c r="S157">
        <v>0.23892307746800001</v>
      </c>
    </row>
    <row r="158" spans="1:19">
      <c r="A158" s="37" t="s">
        <v>858</v>
      </c>
      <c r="B158" s="39">
        <v>13</v>
      </c>
      <c r="C158" s="39">
        <v>6</v>
      </c>
      <c r="D158" s="37" t="s">
        <v>6485</v>
      </c>
      <c r="E158" s="37" t="s">
        <v>6586</v>
      </c>
      <c r="F158" s="37">
        <v>90.633265524174192</v>
      </c>
      <c r="H158" t="s">
        <v>132</v>
      </c>
      <c r="I158">
        <v>13</v>
      </c>
      <c r="J158" t="s">
        <v>248</v>
      </c>
      <c r="K158">
        <v>220</v>
      </c>
      <c r="L158">
        <v>7.2139999999999999E-3</v>
      </c>
      <c r="M158">
        <v>5</v>
      </c>
      <c r="N158">
        <v>50.77</v>
      </c>
      <c r="O158" t="s">
        <v>6485</v>
      </c>
      <c r="P158" t="s">
        <v>6586</v>
      </c>
      <c r="Q158">
        <v>1.0325599999999999</v>
      </c>
      <c r="R158" t="s">
        <v>3304</v>
      </c>
      <c r="S158">
        <v>0.37818003563680003</v>
      </c>
    </row>
    <row r="159" spans="1:19">
      <c r="A159" s="37" t="s">
        <v>858</v>
      </c>
      <c r="B159" s="39">
        <v>13</v>
      </c>
      <c r="C159" s="39">
        <v>6</v>
      </c>
      <c r="D159" s="37" t="s">
        <v>6617</v>
      </c>
      <c r="E159" s="37" t="s">
        <v>6586</v>
      </c>
      <c r="F159" s="37">
        <v>63.0490818661536</v>
      </c>
      <c r="H159" t="s">
        <v>132</v>
      </c>
      <c r="I159">
        <v>13</v>
      </c>
      <c r="J159" t="s">
        <v>248</v>
      </c>
      <c r="K159">
        <v>220</v>
      </c>
      <c r="L159">
        <v>7.2139999999999999E-3</v>
      </c>
      <c r="M159">
        <v>6</v>
      </c>
      <c r="N159">
        <v>78.662999999999997</v>
      </c>
      <c r="O159" t="s">
        <v>6485</v>
      </c>
      <c r="P159" t="s">
        <v>6586</v>
      </c>
      <c r="Q159">
        <v>1.0325599999999999</v>
      </c>
      <c r="R159" t="s">
        <v>3304</v>
      </c>
      <c r="S159">
        <v>0.58595186415791989</v>
      </c>
    </row>
    <row r="160" spans="1:19">
      <c r="A160" s="37" t="s">
        <v>903</v>
      </c>
      <c r="B160" s="39">
        <v>23</v>
      </c>
      <c r="C160" s="39">
        <v>1</v>
      </c>
      <c r="D160" s="37" t="s">
        <v>6485</v>
      </c>
      <c r="E160" s="37" t="s">
        <v>6586</v>
      </c>
      <c r="F160" s="37">
        <v>67.168027999999993</v>
      </c>
      <c r="H160" t="s">
        <v>132</v>
      </c>
      <c r="I160">
        <v>13</v>
      </c>
      <c r="J160" t="s">
        <v>548</v>
      </c>
      <c r="K160">
        <v>220</v>
      </c>
      <c r="L160">
        <v>0.16817499999999999</v>
      </c>
      <c r="M160">
        <v>1</v>
      </c>
      <c r="N160">
        <v>55.128</v>
      </c>
      <c r="O160" t="s">
        <v>6617</v>
      </c>
      <c r="P160" t="s">
        <v>6586</v>
      </c>
      <c r="Q160">
        <v>1.0325599999999999</v>
      </c>
      <c r="R160" t="s">
        <v>3304</v>
      </c>
      <c r="S160">
        <v>9.5730200895839985</v>
      </c>
    </row>
    <row r="161" spans="1:19">
      <c r="A161" s="37" t="s">
        <v>903</v>
      </c>
      <c r="B161" s="39">
        <v>23</v>
      </c>
      <c r="C161" s="39">
        <v>1</v>
      </c>
      <c r="D161" s="37" t="s">
        <v>6617</v>
      </c>
      <c r="E161" s="37" t="s">
        <v>6586</v>
      </c>
      <c r="F161" s="37">
        <v>56.096919679999999</v>
      </c>
      <c r="H161" t="s">
        <v>132</v>
      </c>
      <c r="I161">
        <v>13</v>
      </c>
      <c r="J161" t="s">
        <v>548</v>
      </c>
      <c r="K161">
        <v>220</v>
      </c>
      <c r="L161">
        <v>0.16817499999999999</v>
      </c>
      <c r="M161">
        <v>2</v>
      </c>
      <c r="N161">
        <v>55.256999999999998</v>
      </c>
      <c r="O161" t="s">
        <v>6617</v>
      </c>
      <c r="P161" t="s">
        <v>6586</v>
      </c>
      <c r="Q161">
        <v>1.0325599999999999</v>
      </c>
      <c r="R161" t="s">
        <v>3304</v>
      </c>
      <c r="S161">
        <v>9.5954210399459985</v>
      </c>
    </row>
    <row r="162" spans="1:19">
      <c r="A162" s="37" t="s">
        <v>903</v>
      </c>
      <c r="B162" s="39">
        <v>23</v>
      </c>
      <c r="C162" s="39">
        <v>2</v>
      </c>
      <c r="D162" s="37" t="s">
        <v>6485</v>
      </c>
      <c r="E162" s="37" t="s">
        <v>6586</v>
      </c>
      <c r="F162" s="37">
        <v>62.011423359999988</v>
      </c>
      <c r="H162" t="s">
        <v>132</v>
      </c>
      <c r="I162">
        <v>13</v>
      </c>
      <c r="J162" t="s">
        <v>548</v>
      </c>
      <c r="K162">
        <v>220</v>
      </c>
      <c r="L162">
        <v>0.16817499999999999</v>
      </c>
      <c r="M162">
        <v>3</v>
      </c>
      <c r="N162">
        <v>39.152000000000001</v>
      </c>
      <c r="O162" t="s">
        <v>6617</v>
      </c>
      <c r="P162" t="s">
        <v>6586</v>
      </c>
      <c r="Q162">
        <v>1.0325599999999999</v>
      </c>
      <c r="R162" t="s">
        <v>3304</v>
      </c>
      <c r="S162">
        <v>6.798775260255999</v>
      </c>
    </row>
    <row r="163" spans="1:19">
      <c r="A163" s="37" t="s">
        <v>903</v>
      </c>
      <c r="B163" s="39">
        <v>23</v>
      </c>
      <c r="C163" s="39">
        <v>2</v>
      </c>
      <c r="D163" s="37" t="s">
        <v>6617</v>
      </c>
      <c r="E163" s="37" t="s">
        <v>6586</v>
      </c>
      <c r="F163" s="37">
        <v>56.209468719999997</v>
      </c>
      <c r="H163" t="s">
        <v>132</v>
      </c>
      <c r="I163">
        <v>13</v>
      </c>
      <c r="J163" t="s">
        <v>548</v>
      </c>
      <c r="K163">
        <v>220</v>
      </c>
      <c r="L163">
        <v>0.16817499999999999</v>
      </c>
      <c r="M163">
        <v>4</v>
      </c>
      <c r="N163">
        <v>38.615000000000002</v>
      </c>
      <c r="O163" t="s">
        <v>6617</v>
      </c>
      <c r="P163" t="s">
        <v>6586</v>
      </c>
      <c r="Q163">
        <v>1.0325599999999999</v>
      </c>
      <c r="R163" t="s">
        <v>3304</v>
      </c>
      <c r="S163">
        <v>6.7055247924699994</v>
      </c>
    </row>
    <row r="164" spans="1:19">
      <c r="A164" s="37" t="s">
        <v>903</v>
      </c>
      <c r="B164" s="39">
        <v>23</v>
      </c>
      <c r="C164" s="39">
        <v>3</v>
      </c>
      <c r="D164" s="37" t="s">
        <v>6485</v>
      </c>
      <c r="E164" s="37" t="s">
        <v>6586</v>
      </c>
      <c r="F164" s="37">
        <v>34.151921999999999</v>
      </c>
      <c r="H164" t="s">
        <v>132</v>
      </c>
      <c r="I164">
        <v>13</v>
      </c>
      <c r="J164" t="s">
        <v>548</v>
      </c>
      <c r="K164">
        <v>220</v>
      </c>
      <c r="L164">
        <v>0.16817499999999999</v>
      </c>
      <c r="M164">
        <v>5</v>
      </c>
      <c r="N164">
        <v>46.902000000000001</v>
      </c>
      <c r="O164" t="s">
        <v>6617</v>
      </c>
      <c r="P164" t="s">
        <v>6586</v>
      </c>
      <c r="Q164">
        <v>1.0325599999999999</v>
      </c>
      <c r="R164" t="s">
        <v>3304</v>
      </c>
      <c r="S164">
        <v>8.1445687897559988</v>
      </c>
    </row>
    <row r="165" spans="1:19">
      <c r="A165" s="37" t="s">
        <v>903</v>
      </c>
      <c r="B165" s="39">
        <v>23</v>
      </c>
      <c r="C165" s="39">
        <v>3</v>
      </c>
      <c r="D165" s="37" t="s">
        <v>6617</v>
      </c>
      <c r="E165" s="37" t="s">
        <v>6586</v>
      </c>
      <c r="F165" s="37">
        <v>40.436082159999998</v>
      </c>
      <c r="H165" t="s">
        <v>132</v>
      </c>
      <c r="I165">
        <v>13</v>
      </c>
      <c r="J165" t="s">
        <v>548</v>
      </c>
      <c r="K165">
        <v>220</v>
      </c>
      <c r="L165">
        <v>0.16817499999999999</v>
      </c>
      <c r="M165">
        <v>6</v>
      </c>
      <c r="N165">
        <v>58.256</v>
      </c>
      <c r="O165" t="s">
        <v>6617</v>
      </c>
      <c r="P165" t="s">
        <v>6586</v>
      </c>
      <c r="Q165">
        <v>1.0325599999999999</v>
      </c>
      <c r="R165" t="s">
        <v>3304</v>
      </c>
      <c r="S165">
        <v>10.116199723168</v>
      </c>
    </row>
    <row r="166" spans="1:19">
      <c r="A166" s="37" t="s">
        <v>903</v>
      </c>
      <c r="B166" s="39">
        <v>23</v>
      </c>
      <c r="C166" s="39">
        <v>4</v>
      </c>
      <c r="D166" s="37" t="s">
        <v>6485</v>
      </c>
      <c r="E166" s="37" t="s">
        <v>6586</v>
      </c>
      <c r="F166" s="37">
        <v>33.119362000000002</v>
      </c>
      <c r="H166" t="s">
        <v>132</v>
      </c>
      <c r="I166">
        <v>13</v>
      </c>
      <c r="J166" t="s">
        <v>548</v>
      </c>
      <c r="K166">
        <v>220</v>
      </c>
      <c r="L166">
        <v>0.16817499999999999</v>
      </c>
      <c r="M166">
        <v>1</v>
      </c>
      <c r="N166">
        <v>66.899000000000001</v>
      </c>
      <c r="O166" t="s">
        <v>6485</v>
      </c>
      <c r="P166" t="s">
        <v>6586</v>
      </c>
      <c r="Q166">
        <v>1.0325599999999999</v>
      </c>
      <c r="R166" t="s">
        <v>3304</v>
      </c>
      <c r="S166">
        <v>11.617063397421999</v>
      </c>
    </row>
    <row r="167" spans="1:19">
      <c r="A167" s="37" t="s">
        <v>903</v>
      </c>
      <c r="B167" s="39">
        <v>23</v>
      </c>
      <c r="C167" s="39">
        <v>4</v>
      </c>
      <c r="D167" s="37" t="s">
        <v>6617</v>
      </c>
      <c r="E167" s="37" t="s">
        <v>6586</v>
      </c>
      <c r="F167" s="37">
        <v>39.934257999999993</v>
      </c>
      <c r="H167" t="s">
        <v>132</v>
      </c>
      <c r="I167">
        <v>13</v>
      </c>
      <c r="J167" t="s">
        <v>548</v>
      </c>
      <c r="K167">
        <v>220</v>
      </c>
      <c r="L167">
        <v>0.16817499999999999</v>
      </c>
      <c r="M167">
        <v>2</v>
      </c>
      <c r="N167">
        <v>61.454000000000001</v>
      </c>
      <c r="O167" t="s">
        <v>6485</v>
      </c>
      <c r="P167" t="s">
        <v>6586</v>
      </c>
      <c r="Q167">
        <v>1.0325599999999999</v>
      </c>
      <c r="R167" t="s">
        <v>3304</v>
      </c>
      <c r="S167">
        <v>10.671534911211999</v>
      </c>
    </row>
    <row r="168" spans="1:19">
      <c r="A168" s="37" t="s">
        <v>903</v>
      </c>
      <c r="B168" s="39">
        <v>23</v>
      </c>
      <c r="C168" s="39">
        <v>5</v>
      </c>
      <c r="D168" s="37" t="s">
        <v>6485</v>
      </c>
      <c r="E168" s="37" t="s">
        <v>6586</v>
      </c>
      <c r="F168" s="37">
        <v>52.423071200000003</v>
      </c>
      <c r="H168" t="s">
        <v>132</v>
      </c>
      <c r="I168">
        <v>13</v>
      </c>
      <c r="J168" t="s">
        <v>548</v>
      </c>
      <c r="K168">
        <v>220</v>
      </c>
      <c r="L168">
        <v>0.16817499999999999</v>
      </c>
      <c r="M168">
        <v>3</v>
      </c>
      <c r="N168">
        <v>32.872</v>
      </c>
      <c r="O168" t="s">
        <v>6485</v>
      </c>
      <c r="P168" t="s">
        <v>6586</v>
      </c>
      <c r="Q168">
        <v>1.0325599999999999</v>
      </c>
      <c r="R168" t="s">
        <v>3304</v>
      </c>
      <c r="S168">
        <v>5.7082483744159989</v>
      </c>
    </row>
    <row r="169" spans="1:19">
      <c r="A169" s="37" t="s">
        <v>903</v>
      </c>
      <c r="B169" s="39">
        <v>23</v>
      </c>
      <c r="C169" s="39">
        <v>5</v>
      </c>
      <c r="D169" s="37" t="s">
        <v>6617</v>
      </c>
      <c r="E169" s="37" t="s">
        <v>6586</v>
      </c>
      <c r="F169" s="37">
        <v>50.652230799999998</v>
      </c>
      <c r="H169" t="s">
        <v>132</v>
      </c>
      <c r="I169">
        <v>13</v>
      </c>
      <c r="J169" t="s">
        <v>548</v>
      </c>
      <c r="K169">
        <v>220</v>
      </c>
      <c r="L169">
        <v>0.16817499999999999</v>
      </c>
      <c r="M169">
        <v>4</v>
      </c>
      <c r="N169">
        <v>31.65</v>
      </c>
      <c r="O169" t="s">
        <v>6485</v>
      </c>
      <c r="P169" t="s">
        <v>6586</v>
      </c>
      <c r="Q169">
        <v>1.0325599999999999</v>
      </c>
      <c r="R169" t="s">
        <v>3304</v>
      </c>
      <c r="S169">
        <v>5.4960471236999986</v>
      </c>
    </row>
    <row r="170" spans="1:19">
      <c r="A170" s="37" t="s">
        <v>903</v>
      </c>
      <c r="B170" s="39">
        <v>23</v>
      </c>
      <c r="C170" s="39">
        <v>6</v>
      </c>
      <c r="D170" s="37" t="s">
        <v>6485</v>
      </c>
      <c r="E170" s="37" t="s">
        <v>6586</v>
      </c>
      <c r="F170" s="37">
        <v>81.224267279999992</v>
      </c>
      <c r="H170" t="s">
        <v>132</v>
      </c>
      <c r="I170">
        <v>13</v>
      </c>
      <c r="J170" t="s">
        <v>548</v>
      </c>
      <c r="K170">
        <v>220</v>
      </c>
      <c r="L170">
        <v>0.16817499999999999</v>
      </c>
      <c r="M170">
        <v>5</v>
      </c>
      <c r="N170">
        <v>46.981999999999999</v>
      </c>
      <c r="O170" t="s">
        <v>6485</v>
      </c>
      <c r="P170" t="s">
        <v>6586</v>
      </c>
      <c r="Q170">
        <v>1.0325599999999999</v>
      </c>
      <c r="R170" t="s">
        <v>3304</v>
      </c>
      <c r="S170">
        <v>8.1584608519959989</v>
      </c>
    </row>
    <row r="171" spans="1:19">
      <c r="A171" s="37" t="s">
        <v>903</v>
      </c>
      <c r="B171" s="39">
        <v>23</v>
      </c>
      <c r="C171" s="39">
        <v>6</v>
      </c>
      <c r="D171" s="37" t="s">
        <v>6617</v>
      </c>
      <c r="E171" s="37" t="s">
        <v>6586</v>
      </c>
      <c r="F171" s="37">
        <v>60.786807199999991</v>
      </c>
      <c r="H171" t="s">
        <v>132</v>
      </c>
      <c r="I171">
        <v>13</v>
      </c>
      <c r="J171" t="s">
        <v>548</v>
      </c>
      <c r="K171">
        <v>220</v>
      </c>
      <c r="L171">
        <v>0.16817499999999999</v>
      </c>
      <c r="M171">
        <v>6</v>
      </c>
      <c r="N171">
        <v>79.751999999999995</v>
      </c>
      <c r="O171" t="s">
        <v>6485</v>
      </c>
      <c r="P171" t="s">
        <v>6586</v>
      </c>
      <c r="Q171">
        <v>1.0325599999999999</v>
      </c>
      <c r="R171" t="s">
        <v>3304</v>
      </c>
      <c r="S171">
        <v>13.848996847056</v>
      </c>
    </row>
    <row r="172" spans="1:19">
      <c r="A172" s="37" t="s">
        <v>1056</v>
      </c>
      <c r="B172" s="37">
        <v>23</v>
      </c>
      <c r="C172" s="39">
        <v>1</v>
      </c>
      <c r="D172" s="37" t="s">
        <v>6485</v>
      </c>
      <c r="E172" s="37" t="s">
        <v>6586</v>
      </c>
      <c r="F172" s="37">
        <v>66.853526290633596</v>
      </c>
      <c r="H172" t="s">
        <v>132</v>
      </c>
      <c r="I172">
        <v>13</v>
      </c>
      <c r="J172" t="s">
        <v>1197</v>
      </c>
      <c r="K172">
        <v>220</v>
      </c>
      <c r="L172">
        <v>4.5900000000000003E-3</v>
      </c>
      <c r="M172">
        <v>1</v>
      </c>
      <c r="N172">
        <v>55.825000000000003</v>
      </c>
      <c r="O172" t="s">
        <v>6617</v>
      </c>
      <c r="P172" t="s">
        <v>6586</v>
      </c>
      <c r="Q172">
        <v>1.0325599999999999</v>
      </c>
      <c r="R172" t="s">
        <v>3304</v>
      </c>
      <c r="S172">
        <v>0.26457981858000001</v>
      </c>
    </row>
    <row r="173" spans="1:19">
      <c r="A173" s="37" t="s">
        <v>1056</v>
      </c>
      <c r="B173" s="37">
        <v>23</v>
      </c>
      <c r="C173" s="39">
        <v>1</v>
      </c>
      <c r="D173" s="37" t="s">
        <v>6617</v>
      </c>
      <c r="E173" s="37" t="s">
        <v>6586</v>
      </c>
      <c r="F173" s="37">
        <v>55.911846165697597</v>
      </c>
      <c r="H173" t="s">
        <v>132</v>
      </c>
      <c r="I173">
        <v>13</v>
      </c>
      <c r="J173" t="s">
        <v>1197</v>
      </c>
      <c r="K173">
        <v>220</v>
      </c>
      <c r="L173">
        <v>4.5900000000000003E-3</v>
      </c>
      <c r="M173">
        <v>2</v>
      </c>
      <c r="N173">
        <v>56.061999999999998</v>
      </c>
      <c r="O173" t="s">
        <v>6617</v>
      </c>
      <c r="P173" t="s">
        <v>6586</v>
      </c>
      <c r="Q173">
        <v>1.0325599999999999</v>
      </c>
      <c r="R173" t="s">
        <v>3304</v>
      </c>
      <c r="S173">
        <v>0.26570306832480001</v>
      </c>
    </row>
    <row r="174" spans="1:19">
      <c r="A174" s="37" t="s">
        <v>1056</v>
      </c>
      <c r="B174" s="37">
        <v>23</v>
      </c>
      <c r="C174" s="39">
        <v>2</v>
      </c>
      <c r="D174" s="37" t="s">
        <v>6485</v>
      </c>
      <c r="E174" s="37" t="s">
        <v>6586</v>
      </c>
      <c r="F174" s="37">
        <v>61.739183918409587</v>
      </c>
      <c r="H174" t="s">
        <v>132</v>
      </c>
      <c r="I174">
        <v>13</v>
      </c>
      <c r="J174" t="s">
        <v>1197</v>
      </c>
      <c r="K174">
        <v>220</v>
      </c>
      <c r="L174">
        <v>4.5900000000000003E-3</v>
      </c>
      <c r="M174">
        <v>3</v>
      </c>
      <c r="N174">
        <v>39.136000000000003</v>
      </c>
      <c r="O174" t="s">
        <v>6617</v>
      </c>
      <c r="P174" t="s">
        <v>6586</v>
      </c>
      <c r="Q174">
        <v>1.0325599999999999</v>
      </c>
      <c r="R174" t="s">
        <v>3304</v>
      </c>
      <c r="S174">
        <v>0.18548313085439999</v>
      </c>
    </row>
    <row r="175" spans="1:19">
      <c r="A175" s="37" t="s">
        <v>1056</v>
      </c>
      <c r="B175" s="37">
        <v>23</v>
      </c>
      <c r="C175" s="39">
        <v>2</v>
      </c>
      <c r="D175" s="37" t="s">
        <v>6617</v>
      </c>
      <c r="E175" s="37" t="s">
        <v>6586</v>
      </c>
      <c r="F175" s="37">
        <v>56.03496077264159</v>
      </c>
      <c r="H175" t="s">
        <v>132</v>
      </c>
      <c r="I175">
        <v>13</v>
      </c>
      <c r="J175" t="s">
        <v>1197</v>
      </c>
      <c r="K175">
        <v>220</v>
      </c>
      <c r="L175">
        <v>4.5900000000000003E-3</v>
      </c>
      <c r="M175">
        <v>4</v>
      </c>
      <c r="N175">
        <v>38.625</v>
      </c>
      <c r="O175" t="s">
        <v>6617</v>
      </c>
      <c r="P175" t="s">
        <v>6586</v>
      </c>
      <c r="Q175">
        <v>1.0325599999999999</v>
      </c>
      <c r="R175" t="s">
        <v>3304</v>
      </c>
      <c r="S175">
        <v>0.1830612717</v>
      </c>
    </row>
    <row r="176" spans="1:19">
      <c r="A176" s="37" t="s">
        <v>1056</v>
      </c>
      <c r="B176" s="37">
        <v>23</v>
      </c>
      <c r="C176" s="39">
        <v>3</v>
      </c>
      <c r="D176" s="37" t="s">
        <v>6485</v>
      </c>
      <c r="E176" s="37" t="s">
        <v>6586</v>
      </c>
      <c r="F176" s="37">
        <v>34.111948938395201</v>
      </c>
      <c r="H176" t="s">
        <v>132</v>
      </c>
      <c r="I176">
        <v>13</v>
      </c>
      <c r="J176" t="s">
        <v>1197</v>
      </c>
      <c r="K176">
        <v>220</v>
      </c>
      <c r="L176">
        <v>4.5900000000000003E-3</v>
      </c>
      <c r="M176">
        <v>5</v>
      </c>
      <c r="N176">
        <v>49.764000000000003</v>
      </c>
      <c r="O176" t="s">
        <v>6617</v>
      </c>
      <c r="P176" t="s">
        <v>6586</v>
      </c>
      <c r="Q176">
        <v>1.0325599999999999</v>
      </c>
      <c r="R176" t="s">
        <v>3304</v>
      </c>
      <c r="S176">
        <v>0.2358540097056</v>
      </c>
    </row>
    <row r="177" spans="1:19">
      <c r="A177" s="37" t="s">
        <v>1056</v>
      </c>
      <c r="B177" s="37">
        <v>23</v>
      </c>
      <c r="C177" s="39">
        <v>3</v>
      </c>
      <c r="D177" s="37" t="s">
        <v>6617</v>
      </c>
      <c r="E177" s="37" t="s">
        <v>6586</v>
      </c>
      <c r="F177" s="37">
        <v>40.426220964185596</v>
      </c>
      <c r="H177" t="s">
        <v>132</v>
      </c>
      <c r="I177">
        <v>13</v>
      </c>
      <c r="J177" t="s">
        <v>1197</v>
      </c>
      <c r="K177">
        <v>220</v>
      </c>
      <c r="L177">
        <v>4.5900000000000003E-3</v>
      </c>
      <c r="M177">
        <v>6</v>
      </c>
      <c r="N177">
        <v>61.481999999999999</v>
      </c>
      <c r="O177" t="s">
        <v>6617</v>
      </c>
      <c r="P177" t="s">
        <v>6586</v>
      </c>
      <c r="Q177">
        <v>1.0325599999999999</v>
      </c>
      <c r="R177" t="s">
        <v>3304</v>
      </c>
      <c r="S177">
        <v>0.29139088949280001</v>
      </c>
    </row>
    <row r="178" spans="1:19">
      <c r="A178" s="37" t="s">
        <v>1056</v>
      </c>
      <c r="B178" s="37">
        <v>23</v>
      </c>
      <c r="C178" s="39">
        <v>4</v>
      </c>
      <c r="D178" s="37" t="s">
        <v>6485</v>
      </c>
      <c r="E178" s="37" t="s">
        <v>6586</v>
      </c>
      <c r="F178" s="37">
        <v>33.116368422699196</v>
      </c>
      <c r="H178" t="s">
        <v>132</v>
      </c>
      <c r="I178">
        <v>13</v>
      </c>
      <c r="J178" t="s">
        <v>1197</v>
      </c>
      <c r="K178">
        <v>220</v>
      </c>
      <c r="L178">
        <v>4.5900000000000003E-3</v>
      </c>
      <c r="M178">
        <v>1</v>
      </c>
      <c r="N178">
        <v>70.069000000000003</v>
      </c>
      <c r="O178" t="s">
        <v>6485</v>
      </c>
      <c r="P178" t="s">
        <v>6586</v>
      </c>
      <c r="Q178">
        <v>1.0325599999999999</v>
      </c>
      <c r="R178" t="s">
        <v>3304</v>
      </c>
      <c r="S178">
        <v>0.33208855007760002</v>
      </c>
    </row>
    <row r="179" spans="1:19">
      <c r="A179" s="37" t="s">
        <v>1056</v>
      </c>
      <c r="B179" s="37">
        <v>23</v>
      </c>
      <c r="C179" s="39">
        <v>4</v>
      </c>
      <c r="D179" s="37" t="s">
        <v>6617</v>
      </c>
      <c r="E179" s="37" t="s">
        <v>6586</v>
      </c>
      <c r="F179" s="37">
        <v>39.932849257740791</v>
      </c>
      <c r="H179" t="s">
        <v>132</v>
      </c>
      <c r="I179">
        <v>13</v>
      </c>
      <c r="J179" t="s">
        <v>1197</v>
      </c>
      <c r="K179">
        <v>220</v>
      </c>
      <c r="L179">
        <v>4.5900000000000003E-3</v>
      </c>
      <c r="M179">
        <v>2</v>
      </c>
      <c r="N179">
        <v>63.207000000000001</v>
      </c>
      <c r="O179" t="s">
        <v>6485</v>
      </c>
      <c r="P179" t="s">
        <v>6586</v>
      </c>
      <c r="Q179">
        <v>1.0325599999999999</v>
      </c>
      <c r="R179" t="s">
        <v>3304</v>
      </c>
      <c r="S179">
        <v>0.29956644143279998</v>
      </c>
    </row>
    <row r="180" spans="1:19">
      <c r="A180" s="37" t="s">
        <v>1056</v>
      </c>
      <c r="B180" s="37">
        <v>23</v>
      </c>
      <c r="C180" s="39">
        <v>5</v>
      </c>
      <c r="D180" s="37" t="s">
        <v>6485</v>
      </c>
      <c r="E180" s="37" t="s">
        <v>6586</v>
      </c>
      <c r="F180" s="37">
        <v>52.363551839548791</v>
      </c>
      <c r="H180" t="s">
        <v>132</v>
      </c>
      <c r="I180">
        <v>13</v>
      </c>
      <c r="J180" t="s">
        <v>1197</v>
      </c>
      <c r="K180">
        <v>220</v>
      </c>
      <c r="L180">
        <v>4.5900000000000003E-3</v>
      </c>
      <c r="M180">
        <v>3</v>
      </c>
      <c r="N180">
        <v>32.453000000000003</v>
      </c>
      <c r="O180" t="s">
        <v>6485</v>
      </c>
      <c r="P180" t="s">
        <v>6586</v>
      </c>
      <c r="Q180">
        <v>1.0325599999999999</v>
      </c>
      <c r="R180" t="s">
        <v>3304</v>
      </c>
      <c r="S180">
        <v>0.15380938383119999</v>
      </c>
    </row>
    <row r="181" spans="1:19">
      <c r="A181" s="37" t="s">
        <v>1056</v>
      </c>
      <c r="B181" s="37">
        <v>23</v>
      </c>
      <c r="C181" s="39">
        <v>5</v>
      </c>
      <c r="D181" s="37" t="s">
        <v>6617</v>
      </c>
      <c r="E181" s="37" t="s">
        <v>6586</v>
      </c>
      <c r="F181" s="37">
        <v>50.64712410931039</v>
      </c>
      <c r="H181" t="s">
        <v>132</v>
      </c>
      <c r="I181">
        <v>13</v>
      </c>
      <c r="J181" t="s">
        <v>1197</v>
      </c>
      <c r="K181">
        <v>220</v>
      </c>
      <c r="L181">
        <v>4.5900000000000003E-3</v>
      </c>
      <c r="M181">
        <v>4</v>
      </c>
      <c r="N181">
        <v>30.672000000000001</v>
      </c>
      <c r="O181" t="s">
        <v>6485</v>
      </c>
      <c r="P181" t="s">
        <v>6586</v>
      </c>
      <c r="Q181">
        <v>1.0325599999999999</v>
      </c>
      <c r="R181" t="s">
        <v>3304</v>
      </c>
      <c r="S181">
        <v>0.14536842266880001</v>
      </c>
    </row>
    <row r="182" spans="1:19">
      <c r="A182" s="37" t="s">
        <v>1056</v>
      </c>
      <c r="B182" s="37">
        <v>23</v>
      </c>
      <c r="C182" s="39">
        <v>6</v>
      </c>
      <c r="D182" s="37" t="s">
        <v>6485</v>
      </c>
      <c r="E182" s="37" t="s">
        <v>6586</v>
      </c>
      <c r="F182" s="37">
        <v>80.769595715843195</v>
      </c>
      <c r="H182" t="s">
        <v>132</v>
      </c>
      <c r="I182">
        <v>13</v>
      </c>
      <c r="J182" t="s">
        <v>1197</v>
      </c>
      <c r="K182">
        <v>220</v>
      </c>
      <c r="L182">
        <v>4.5900000000000003E-3</v>
      </c>
      <c r="M182">
        <v>5</v>
      </c>
      <c r="N182">
        <v>51.459000000000003</v>
      </c>
      <c r="O182" t="s">
        <v>6485</v>
      </c>
      <c r="P182" t="s">
        <v>6586</v>
      </c>
      <c r="Q182">
        <v>1.0325599999999999</v>
      </c>
      <c r="R182" t="s">
        <v>3304</v>
      </c>
      <c r="S182">
        <v>0.24388737813360001</v>
      </c>
    </row>
    <row r="183" spans="1:19">
      <c r="A183" s="37" t="s">
        <v>1056</v>
      </c>
      <c r="B183" s="37">
        <v>23</v>
      </c>
      <c r="C183" s="39">
        <v>6</v>
      </c>
      <c r="D183" s="37" t="s">
        <v>6617</v>
      </c>
      <c r="E183" s="37" t="s">
        <v>6586</v>
      </c>
      <c r="F183" s="37">
        <v>60.633078200964803</v>
      </c>
      <c r="H183" t="s">
        <v>132</v>
      </c>
      <c r="I183">
        <v>13</v>
      </c>
      <c r="J183" t="s">
        <v>1197</v>
      </c>
      <c r="K183">
        <v>220</v>
      </c>
      <c r="L183">
        <v>4.5900000000000003E-3</v>
      </c>
      <c r="M183">
        <v>6</v>
      </c>
      <c r="N183">
        <v>87.926000000000002</v>
      </c>
      <c r="O183" t="s">
        <v>6485</v>
      </c>
      <c r="P183" t="s">
        <v>6586</v>
      </c>
      <c r="Q183">
        <v>1.0325599999999999</v>
      </c>
      <c r="R183" t="s">
        <v>3304</v>
      </c>
      <c r="S183">
        <v>0.4167209158704</v>
      </c>
    </row>
    <row r="184" spans="1:19">
      <c r="A184" s="37" t="s">
        <v>1077</v>
      </c>
      <c r="B184" s="39">
        <v>13</v>
      </c>
      <c r="C184" s="39">
        <v>1</v>
      </c>
      <c r="D184" s="37" t="s">
        <v>6485</v>
      </c>
      <c r="E184" s="37" t="s">
        <v>6586</v>
      </c>
      <c r="F184" s="37">
        <v>72.12116300421701</v>
      </c>
      <c r="H184" t="s">
        <v>161</v>
      </c>
      <c r="I184">
        <v>13</v>
      </c>
      <c r="J184" t="s">
        <v>9</v>
      </c>
      <c r="K184">
        <v>220</v>
      </c>
      <c r="L184">
        <v>3.1466000000000001E-2</v>
      </c>
      <c r="M184">
        <v>1</v>
      </c>
      <c r="N184">
        <v>55.936</v>
      </c>
      <c r="O184" t="s">
        <v>6617</v>
      </c>
      <c r="P184" t="s">
        <v>6586</v>
      </c>
      <c r="Q184">
        <v>1.0325599999999999</v>
      </c>
      <c r="R184" t="s">
        <v>3304</v>
      </c>
      <c r="S184">
        <v>1.8173904516505599</v>
      </c>
    </row>
    <row r="185" spans="1:19">
      <c r="A185" s="37" t="s">
        <v>1077</v>
      </c>
      <c r="B185" s="39">
        <v>13</v>
      </c>
      <c r="C185" s="39">
        <v>1</v>
      </c>
      <c r="D185" s="37" t="s">
        <v>6617</v>
      </c>
      <c r="E185" s="37" t="s">
        <v>6586</v>
      </c>
      <c r="F185" s="37">
        <v>56.868704155656999</v>
      </c>
      <c r="H185" t="s">
        <v>161</v>
      </c>
      <c r="I185">
        <v>13</v>
      </c>
      <c r="J185" t="s">
        <v>9</v>
      </c>
      <c r="K185">
        <v>220</v>
      </c>
      <c r="L185">
        <v>3.1466000000000001E-2</v>
      </c>
      <c r="M185">
        <v>2</v>
      </c>
      <c r="N185">
        <v>56.033999999999999</v>
      </c>
      <c r="O185" t="s">
        <v>6617</v>
      </c>
      <c r="P185" t="s">
        <v>6586</v>
      </c>
      <c r="Q185">
        <v>1.0325599999999999</v>
      </c>
      <c r="R185" t="s">
        <v>3304</v>
      </c>
      <c r="S185">
        <v>1.8205745238806399</v>
      </c>
    </row>
    <row r="186" spans="1:19">
      <c r="A186" s="37" t="s">
        <v>1077</v>
      </c>
      <c r="B186" s="39">
        <v>13</v>
      </c>
      <c r="C186" s="39">
        <v>2</v>
      </c>
      <c r="D186" s="37" t="s">
        <v>6485</v>
      </c>
      <c r="E186" s="37" t="s">
        <v>6586</v>
      </c>
      <c r="F186" s="37">
        <v>64.649400812660701</v>
      </c>
      <c r="H186" t="s">
        <v>161</v>
      </c>
      <c r="I186">
        <v>13</v>
      </c>
      <c r="J186" t="s">
        <v>9</v>
      </c>
      <c r="K186">
        <v>220</v>
      </c>
      <c r="L186">
        <v>3.1466000000000001E-2</v>
      </c>
      <c r="M186">
        <v>3</v>
      </c>
      <c r="N186">
        <v>39.116999999999997</v>
      </c>
      <c r="O186" t="s">
        <v>6617</v>
      </c>
      <c r="P186" t="s">
        <v>6586</v>
      </c>
      <c r="Q186">
        <v>1.0325599999999999</v>
      </c>
      <c r="R186" t="s">
        <v>3304</v>
      </c>
      <c r="S186">
        <v>1.2709321777963201</v>
      </c>
    </row>
    <row r="187" spans="1:19">
      <c r="A187" s="37" t="s">
        <v>1077</v>
      </c>
      <c r="B187" s="39">
        <v>13</v>
      </c>
      <c r="C187" s="39">
        <v>2</v>
      </c>
      <c r="D187" s="37" t="s">
        <v>6617</v>
      </c>
      <c r="E187" s="37" t="s">
        <v>6586</v>
      </c>
      <c r="F187" s="37">
        <v>56.906383238310198</v>
      </c>
      <c r="H187" t="s">
        <v>161</v>
      </c>
      <c r="I187">
        <v>13</v>
      </c>
      <c r="J187" t="s">
        <v>9</v>
      </c>
      <c r="K187">
        <v>220</v>
      </c>
      <c r="L187">
        <v>3.1466000000000001E-2</v>
      </c>
      <c r="M187">
        <v>4</v>
      </c>
      <c r="N187">
        <v>38.668999999999997</v>
      </c>
      <c r="O187" t="s">
        <v>6617</v>
      </c>
      <c r="P187" t="s">
        <v>6586</v>
      </c>
      <c r="Q187">
        <v>1.0325599999999999</v>
      </c>
      <c r="R187" t="s">
        <v>3304</v>
      </c>
      <c r="S187">
        <v>1.25637641903024</v>
      </c>
    </row>
    <row r="188" spans="1:19">
      <c r="A188" s="37" t="s">
        <v>1077</v>
      </c>
      <c r="B188" s="39">
        <v>13</v>
      </c>
      <c r="C188" s="39">
        <v>3</v>
      </c>
      <c r="D188" s="37" t="s">
        <v>6485</v>
      </c>
      <c r="E188" s="37" t="s">
        <v>6586</v>
      </c>
      <c r="F188" s="37">
        <v>33.507982231740996</v>
      </c>
      <c r="H188" t="s">
        <v>161</v>
      </c>
      <c r="I188">
        <v>13</v>
      </c>
      <c r="J188" t="s">
        <v>9</v>
      </c>
      <c r="K188">
        <v>220</v>
      </c>
      <c r="L188">
        <v>3.1466000000000001E-2</v>
      </c>
      <c r="M188">
        <v>5</v>
      </c>
      <c r="N188">
        <v>51.475999999999999</v>
      </c>
      <c r="O188" t="s">
        <v>6617</v>
      </c>
      <c r="P188" t="s">
        <v>6586</v>
      </c>
      <c r="Q188">
        <v>1.0325599999999999</v>
      </c>
      <c r="R188" t="s">
        <v>3304</v>
      </c>
      <c r="S188">
        <v>1.6724826746489601</v>
      </c>
    </row>
    <row r="189" spans="1:19">
      <c r="A189" s="37" t="s">
        <v>1077</v>
      </c>
      <c r="B189" s="39">
        <v>13</v>
      </c>
      <c r="C189" s="39">
        <v>3</v>
      </c>
      <c r="D189" s="37" t="s">
        <v>6617</v>
      </c>
      <c r="E189" s="37" t="s">
        <v>6586</v>
      </c>
      <c r="F189" s="37">
        <v>39.770276999805105</v>
      </c>
      <c r="H189" t="s">
        <v>161</v>
      </c>
      <c r="I189">
        <v>13</v>
      </c>
      <c r="J189" t="s">
        <v>9</v>
      </c>
      <c r="K189">
        <v>220</v>
      </c>
      <c r="L189">
        <v>3.1466000000000001E-2</v>
      </c>
      <c r="M189">
        <v>6</v>
      </c>
      <c r="N189">
        <v>62.256999999999998</v>
      </c>
      <c r="O189" t="s">
        <v>6617</v>
      </c>
      <c r="P189" t="s">
        <v>6586</v>
      </c>
      <c r="Q189">
        <v>1.0325599999999999</v>
      </c>
      <c r="R189" t="s">
        <v>3304</v>
      </c>
      <c r="S189">
        <v>2.02276311049072</v>
      </c>
    </row>
    <row r="190" spans="1:19">
      <c r="A190" s="37" t="s">
        <v>1077</v>
      </c>
      <c r="B190" s="39">
        <v>13</v>
      </c>
      <c r="C190" s="39">
        <v>4</v>
      </c>
      <c r="D190" s="37" t="s">
        <v>6485</v>
      </c>
      <c r="E190" s="37" t="s">
        <v>6586</v>
      </c>
      <c r="F190" s="37">
        <v>32.556013997349801</v>
      </c>
      <c r="H190" t="s">
        <v>161</v>
      </c>
      <c r="I190">
        <v>13</v>
      </c>
      <c r="J190" t="s">
        <v>9</v>
      </c>
      <c r="K190">
        <v>220</v>
      </c>
      <c r="L190">
        <v>3.1466000000000001E-2</v>
      </c>
      <c r="M190">
        <v>1</v>
      </c>
      <c r="N190">
        <v>69.262</v>
      </c>
      <c r="O190" t="s">
        <v>6485</v>
      </c>
      <c r="P190" t="s">
        <v>6586</v>
      </c>
      <c r="Q190">
        <v>1.0325599999999999</v>
      </c>
      <c r="R190" t="s">
        <v>3304</v>
      </c>
      <c r="S190">
        <v>2.2503592938755199</v>
      </c>
    </row>
    <row r="191" spans="1:19">
      <c r="A191" s="37" t="s">
        <v>1077</v>
      </c>
      <c r="B191" s="39">
        <v>13</v>
      </c>
      <c r="C191" s="39">
        <v>4</v>
      </c>
      <c r="D191" s="37" t="s">
        <v>6617</v>
      </c>
      <c r="E191" s="37" t="s">
        <v>6586</v>
      </c>
      <c r="F191" s="37">
        <v>39.285571967592297</v>
      </c>
      <c r="H191" t="s">
        <v>161</v>
      </c>
      <c r="I191">
        <v>13</v>
      </c>
      <c r="J191" t="s">
        <v>9</v>
      </c>
      <c r="K191">
        <v>220</v>
      </c>
      <c r="L191">
        <v>3.1466000000000001E-2</v>
      </c>
      <c r="M191">
        <v>2</v>
      </c>
      <c r="N191">
        <v>62.783000000000001</v>
      </c>
      <c r="O191" t="s">
        <v>6485</v>
      </c>
      <c r="P191" t="s">
        <v>6586</v>
      </c>
      <c r="Q191">
        <v>1.0325599999999999</v>
      </c>
      <c r="R191" t="s">
        <v>3304</v>
      </c>
      <c r="S191">
        <v>2.0398531308276802</v>
      </c>
    </row>
    <row r="192" spans="1:19">
      <c r="A192" s="37" t="s">
        <v>1077</v>
      </c>
      <c r="B192" s="39">
        <v>13</v>
      </c>
      <c r="C192" s="39">
        <v>5</v>
      </c>
      <c r="D192" s="37" t="s">
        <v>6485</v>
      </c>
      <c r="E192" s="37" t="s">
        <v>6586</v>
      </c>
      <c r="F192" s="37">
        <v>54.09616810252021</v>
      </c>
      <c r="H192" t="s">
        <v>161</v>
      </c>
      <c r="I192">
        <v>13</v>
      </c>
      <c r="J192" t="s">
        <v>9</v>
      </c>
      <c r="K192">
        <v>220</v>
      </c>
      <c r="L192">
        <v>3.1466000000000001E-2</v>
      </c>
      <c r="M192">
        <v>3</v>
      </c>
      <c r="N192">
        <v>32.915999999999997</v>
      </c>
      <c r="O192" t="s">
        <v>6485</v>
      </c>
      <c r="P192" t="s">
        <v>6586</v>
      </c>
      <c r="Q192">
        <v>1.0325599999999999</v>
      </c>
      <c r="R192" t="s">
        <v>3304</v>
      </c>
      <c r="S192">
        <v>1.06945838291136</v>
      </c>
    </row>
    <row r="193" spans="1:19">
      <c r="A193" s="37" t="s">
        <v>1077</v>
      </c>
      <c r="B193" s="39">
        <v>13</v>
      </c>
      <c r="C193" s="39">
        <v>5</v>
      </c>
      <c r="D193" s="37" t="s">
        <v>6617</v>
      </c>
      <c r="E193" s="37" t="s">
        <v>6586</v>
      </c>
      <c r="F193" s="37">
        <v>51.471127836072895</v>
      </c>
      <c r="H193" t="s">
        <v>161</v>
      </c>
      <c r="I193">
        <v>13</v>
      </c>
      <c r="J193" t="s">
        <v>9</v>
      </c>
      <c r="K193">
        <v>220</v>
      </c>
      <c r="L193">
        <v>3.1466000000000001E-2</v>
      </c>
      <c r="M193">
        <v>4</v>
      </c>
      <c r="N193">
        <v>32.179000000000002</v>
      </c>
      <c r="O193" t="s">
        <v>6485</v>
      </c>
      <c r="P193" t="s">
        <v>6586</v>
      </c>
      <c r="Q193">
        <v>1.0325599999999999</v>
      </c>
      <c r="R193" t="s">
        <v>3304</v>
      </c>
      <c r="S193">
        <v>1.04551286011984</v>
      </c>
    </row>
    <row r="194" spans="1:19">
      <c r="A194" s="37" t="s">
        <v>1077</v>
      </c>
      <c r="B194" s="39">
        <v>13</v>
      </c>
      <c r="C194" s="39">
        <v>6</v>
      </c>
      <c r="D194" s="37" t="s">
        <v>6485</v>
      </c>
      <c r="E194" s="37" t="s">
        <v>6586</v>
      </c>
      <c r="F194" s="37">
        <v>90.5783883842535</v>
      </c>
      <c r="H194" t="s">
        <v>161</v>
      </c>
      <c r="I194">
        <v>13</v>
      </c>
      <c r="J194" t="s">
        <v>9</v>
      </c>
      <c r="K194">
        <v>220</v>
      </c>
      <c r="L194">
        <v>3.1466000000000001E-2</v>
      </c>
      <c r="M194">
        <v>5</v>
      </c>
      <c r="N194">
        <v>54.389000000000003</v>
      </c>
      <c r="O194" t="s">
        <v>6485</v>
      </c>
      <c r="P194" t="s">
        <v>6586</v>
      </c>
      <c r="Q194">
        <v>1.0325599999999999</v>
      </c>
      <c r="R194" t="s">
        <v>3304</v>
      </c>
      <c r="S194">
        <v>1.76712759716144</v>
      </c>
    </row>
    <row r="195" spans="1:19">
      <c r="A195" s="37" t="s">
        <v>1077</v>
      </c>
      <c r="B195" s="39">
        <v>13</v>
      </c>
      <c r="C195" s="39">
        <v>6</v>
      </c>
      <c r="D195" s="37" t="s">
        <v>6617</v>
      </c>
      <c r="E195" s="37" t="s">
        <v>6586</v>
      </c>
      <c r="F195" s="37">
        <v>63.035723228694401</v>
      </c>
      <c r="H195" t="s">
        <v>161</v>
      </c>
      <c r="I195">
        <v>13</v>
      </c>
      <c r="J195" t="s">
        <v>9</v>
      </c>
      <c r="K195">
        <v>220</v>
      </c>
      <c r="L195">
        <v>3.1466000000000001E-2</v>
      </c>
      <c r="M195">
        <v>6</v>
      </c>
      <c r="N195">
        <v>88.427000000000007</v>
      </c>
      <c r="O195" t="s">
        <v>6485</v>
      </c>
      <c r="P195" t="s">
        <v>6586</v>
      </c>
      <c r="Q195">
        <v>1.0325599999999999</v>
      </c>
      <c r="R195" t="s">
        <v>3304</v>
      </c>
      <c r="S195">
        <v>2.8730403580539199</v>
      </c>
    </row>
    <row r="196" spans="1:19">
      <c r="A196" s="37" t="s">
        <v>1090</v>
      </c>
      <c r="B196" s="39">
        <v>23</v>
      </c>
      <c r="C196" s="39">
        <v>1</v>
      </c>
      <c r="D196" s="37" t="s">
        <v>6485</v>
      </c>
      <c r="E196" s="37" t="s">
        <v>6586</v>
      </c>
      <c r="F196" s="37">
        <v>70.738894065103523</v>
      </c>
      <c r="H196" t="s">
        <v>161</v>
      </c>
      <c r="I196">
        <v>13</v>
      </c>
      <c r="J196" t="s">
        <v>14</v>
      </c>
      <c r="K196">
        <v>220</v>
      </c>
      <c r="L196">
        <v>7.548E-3</v>
      </c>
      <c r="M196">
        <v>1</v>
      </c>
      <c r="N196">
        <v>56.027999999999999</v>
      </c>
      <c r="O196" t="s">
        <v>6617</v>
      </c>
      <c r="P196" t="s">
        <v>6586</v>
      </c>
      <c r="Q196">
        <v>1.0325599999999999</v>
      </c>
      <c r="R196" t="s">
        <v>3304</v>
      </c>
      <c r="S196">
        <v>0.43666894664063999</v>
      </c>
    </row>
    <row r="197" spans="1:19">
      <c r="A197" s="37" t="s">
        <v>1090</v>
      </c>
      <c r="B197" s="39">
        <v>23</v>
      </c>
      <c r="C197" s="39">
        <v>1</v>
      </c>
      <c r="D197" s="37" t="s">
        <v>6617</v>
      </c>
      <c r="E197" s="37" t="s">
        <v>6586</v>
      </c>
      <c r="F197" s="37">
        <v>56.741703625982581</v>
      </c>
      <c r="H197" t="s">
        <v>161</v>
      </c>
      <c r="I197">
        <v>13</v>
      </c>
      <c r="J197" t="s">
        <v>14</v>
      </c>
      <c r="K197">
        <v>220</v>
      </c>
      <c r="L197">
        <v>7.548E-3</v>
      </c>
      <c r="M197">
        <v>2</v>
      </c>
      <c r="N197">
        <v>56.122999999999998</v>
      </c>
      <c r="O197" t="s">
        <v>6617</v>
      </c>
      <c r="P197" t="s">
        <v>6586</v>
      </c>
      <c r="Q197">
        <v>1.0325599999999999</v>
      </c>
      <c r="R197" t="s">
        <v>3304</v>
      </c>
      <c r="S197">
        <v>0.43740935411423998</v>
      </c>
    </row>
    <row r="198" spans="1:19">
      <c r="A198" s="37" t="s">
        <v>1090</v>
      </c>
      <c r="B198" s="39">
        <v>23</v>
      </c>
      <c r="C198" s="39">
        <v>2</v>
      </c>
      <c r="D198" s="37" t="s">
        <v>6485</v>
      </c>
      <c r="E198" s="37" t="s">
        <v>6586</v>
      </c>
      <c r="F198" s="37">
        <v>63.900621240435541</v>
      </c>
      <c r="H198" t="s">
        <v>161</v>
      </c>
      <c r="I198">
        <v>13</v>
      </c>
      <c r="J198" t="s">
        <v>14</v>
      </c>
      <c r="K198">
        <v>220</v>
      </c>
      <c r="L198">
        <v>7.548E-3</v>
      </c>
      <c r="M198">
        <v>3</v>
      </c>
      <c r="N198">
        <v>39.145000000000003</v>
      </c>
      <c r="O198" t="s">
        <v>6617</v>
      </c>
      <c r="P198" t="s">
        <v>6586</v>
      </c>
      <c r="Q198">
        <v>1.0325599999999999</v>
      </c>
      <c r="R198" t="s">
        <v>3304</v>
      </c>
      <c r="S198">
        <v>0.30508684793759999</v>
      </c>
    </row>
    <row r="199" spans="1:19">
      <c r="A199" s="37" t="s">
        <v>1090</v>
      </c>
      <c r="B199" s="39">
        <v>23</v>
      </c>
      <c r="C199" s="39">
        <v>2</v>
      </c>
      <c r="D199" s="37" t="s">
        <v>6617</v>
      </c>
      <c r="E199" s="37" t="s">
        <v>6586</v>
      </c>
      <c r="F199" s="37">
        <v>56.668359951490835</v>
      </c>
      <c r="H199" t="s">
        <v>161</v>
      </c>
      <c r="I199">
        <v>13</v>
      </c>
      <c r="J199" t="s">
        <v>14</v>
      </c>
      <c r="K199">
        <v>220</v>
      </c>
      <c r="L199">
        <v>7.548E-3</v>
      </c>
      <c r="M199">
        <v>4</v>
      </c>
      <c r="N199">
        <v>38.646999999999998</v>
      </c>
      <c r="O199" t="s">
        <v>6617</v>
      </c>
      <c r="P199" t="s">
        <v>6586</v>
      </c>
      <c r="Q199">
        <v>1.0325599999999999</v>
      </c>
      <c r="R199" t="s">
        <v>3304</v>
      </c>
      <c r="S199">
        <v>0.30120555402336002</v>
      </c>
    </row>
    <row r="200" spans="1:19">
      <c r="A200" s="37" t="s">
        <v>1090</v>
      </c>
      <c r="B200" s="39">
        <v>23</v>
      </c>
      <c r="C200" s="39">
        <v>3</v>
      </c>
      <c r="D200" s="37" t="s">
        <v>6485</v>
      </c>
      <c r="E200" s="37" t="s">
        <v>6586</v>
      </c>
      <c r="F200" s="37">
        <v>33.425368776461163</v>
      </c>
      <c r="H200" t="s">
        <v>161</v>
      </c>
      <c r="I200">
        <v>13</v>
      </c>
      <c r="J200" t="s">
        <v>14</v>
      </c>
      <c r="K200">
        <v>220</v>
      </c>
      <c r="L200">
        <v>7.548E-3</v>
      </c>
      <c r="M200">
        <v>5</v>
      </c>
      <c r="N200">
        <v>49.831000000000003</v>
      </c>
      <c r="O200" t="s">
        <v>6617</v>
      </c>
      <c r="P200" t="s">
        <v>6586</v>
      </c>
      <c r="Q200">
        <v>1.0325599999999999</v>
      </c>
      <c r="R200" t="s">
        <v>3304</v>
      </c>
      <c r="S200">
        <v>0.38837099807328002</v>
      </c>
    </row>
    <row r="201" spans="1:19">
      <c r="A201" s="37" t="s">
        <v>1090</v>
      </c>
      <c r="B201" s="39">
        <v>23</v>
      </c>
      <c r="C201" s="39">
        <v>3</v>
      </c>
      <c r="D201" s="37" t="s">
        <v>6617</v>
      </c>
      <c r="E201" s="37" t="s">
        <v>6586</v>
      </c>
      <c r="F201" s="37">
        <v>39.591245626483399</v>
      </c>
      <c r="H201" t="s">
        <v>161</v>
      </c>
      <c r="I201">
        <v>13</v>
      </c>
      <c r="J201" t="s">
        <v>14</v>
      </c>
      <c r="K201">
        <v>220</v>
      </c>
      <c r="L201">
        <v>7.548E-3</v>
      </c>
      <c r="M201">
        <v>6</v>
      </c>
      <c r="N201">
        <v>61.533000000000001</v>
      </c>
      <c r="O201" t="s">
        <v>6617</v>
      </c>
      <c r="P201" t="s">
        <v>6586</v>
      </c>
      <c r="Q201">
        <v>1.0325599999999999</v>
      </c>
      <c r="R201" t="s">
        <v>3304</v>
      </c>
      <c r="S201">
        <v>0.47957361129504</v>
      </c>
    </row>
    <row r="202" spans="1:19">
      <c r="A202" s="37" t="s">
        <v>1090</v>
      </c>
      <c r="B202" s="39">
        <v>23</v>
      </c>
      <c r="C202" s="39">
        <v>4</v>
      </c>
      <c r="D202" s="37" t="s">
        <v>6485</v>
      </c>
      <c r="E202" s="37" t="s">
        <v>6586</v>
      </c>
      <c r="F202" s="37">
        <v>32.601443503145482</v>
      </c>
      <c r="H202" t="s">
        <v>161</v>
      </c>
      <c r="I202">
        <v>13</v>
      </c>
      <c r="J202" t="s">
        <v>14</v>
      </c>
      <c r="K202">
        <v>220</v>
      </c>
      <c r="L202">
        <v>7.548E-3</v>
      </c>
      <c r="M202">
        <v>1</v>
      </c>
      <c r="N202">
        <v>70.548000000000002</v>
      </c>
      <c r="O202" t="s">
        <v>6485</v>
      </c>
      <c r="P202" t="s">
        <v>6586</v>
      </c>
      <c r="Q202">
        <v>1.0325599999999999</v>
      </c>
      <c r="R202" t="s">
        <v>3304</v>
      </c>
      <c r="S202">
        <v>0.54983438365824</v>
      </c>
    </row>
    <row r="203" spans="1:19">
      <c r="A203" s="37" t="s">
        <v>1090</v>
      </c>
      <c r="B203" s="39">
        <v>23</v>
      </c>
      <c r="C203" s="39">
        <v>4</v>
      </c>
      <c r="D203" s="37" t="s">
        <v>6617</v>
      </c>
      <c r="E203" s="37" t="s">
        <v>6586</v>
      </c>
      <c r="F203" s="37">
        <v>39.095038731239441</v>
      </c>
      <c r="H203" t="s">
        <v>161</v>
      </c>
      <c r="I203">
        <v>13</v>
      </c>
      <c r="J203" t="s">
        <v>14</v>
      </c>
      <c r="K203">
        <v>220</v>
      </c>
      <c r="L203">
        <v>7.548E-3</v>
      </c>
      <c r="M203">
        <v>2</v>
      </c>
      <c r="N203">
        <v>63.55</v>
      </c>
      <c r="O203" t="s">
        <v>6485</v>
      </c>
      <c r="P203" t="s">
        <v>6586</v>
      </c>
      <c r="Q203">
        <v>1.0325599999999999</v>
      </c>
      <c r="R203" t="s">
        <v>3304</v>
      </c>
      <c r="S203">
        <v>0.49529363102399993</v>
      </c>
    </row>
    <row r="204" spans="1:19">
      <c r="A204" s="37" t="s">
        <v>1090</v>
      </c>
      <c r="B204" s="39">
        <v>23</v>
      </c>
      <c r="C204" s="39">
        <v>5</v>
      </c>
      <c r="D204" s="37" t="s">
        <v>6485</v>
      </c>
      <c r="E204" s="37" t="s">
        <v>6586</v>
      </c>
      <c r="F204" s="37">
        <v>54.496539552624633</v>
      </c>
      <c r="H204" t="s">
        <v>161</v>
      </c>
      <c r="I204">
        <v>13</v>
      </c>
      <c r="J204" t="s">
        <v>14</v>
      </c>
      <c r="K204">
        <v>220</v>
      </c>
      <c r="L204">
        <v>7.548E-3</v>
      </c>
      <c r="M204">
        <v>3</v>
      </c>
      <c r="N204">
        <v>32.978000000000002</v>
      </c>
      <c r="O204" t="s">
        <v>6485</v>
      </c>
      <c r="P204" t="s">
        <v>6586</v>
      </c>
      <c r="Q204">
        <v>1.0325599999999999</v>
      </c>
      <c r="R204" t="s">
        <v>3304</v>
      </c>
      <c r="S204">
        <v>0.25702271225663997</v>
      </c>
    </row>
    <row r="205" spans="1:19">
      <c r="A205" s="37" t="s">
        <v>1090</v>
      </c>
      <c r="B205" s="39">
        <v>23</v>
      </c>
      <c r="C205" s="39">
        <v>5</v>
      </c>
      <c r="D205" s="37" t="s">
        <v>6617</v>
      </c>
      <c r="E205" s="37" t="s">
        <v>6586</v>
      </c>
      <c r="F205" s="37">
        <v>51.431933047399603</v>
      </c>
      <c r="H205" t="s">
        <v>161</v>
      </c>
      <c r="I205">
        <v>13</v>
      </c>
      <c r="J205" t="s">
        <v>14</v>
      </c>
      <c r="K205">
        <v>220</v>
      </c>
      <c r="L205">
        <v>7.548E-3</v>
      </c>
      <c r="M205">
        <v>4</v>
      </c>
      <c r="N205">
        <v>31.867000000000001</v>
      </c>
      <c r="O205" t="s">
        <v>6485</v>
      </c>
      <c r="P205" t="s">
        <v>6586</v>
      </c>
      <c r="Q205">
        <v>1.0325599999999999</v>
      </c>
      <c r="R205" t="s">
        <v>3304</v>
      </c>
      <c r="S205">
        <v>0.24836384169695999</v>
      </c>
    </row>
    <row r="206" spans="1:19">
      <c r="A206" s="37" t="s">
        <v>1090</v>
      </c>
      <c r="B206" s="39">
        <v>23</v>
      </c>
      <c r="C206" s="39">
        <v>6</v>
      </c>
      <c r="D206" s="37" t="s">
        <v>6485</v>
      </c>
      <c r="E206" s="37" t="s">
        <v>6586</v>
      </c>
      <c r="F206" s="37">
        <v>90.183411541148615</v>
      </c>
      <c r="H206" t="s">
        <v>161</v>
      </c>
      <c r="I206">
        <v>13</v>
      </c>
      <c r="J206" t="s">
        <v>14</v>
      </c>
      <c r="K206">
        <v>220</v>
      </c>
      <c r="L206">
        <v>7.548E-3</v>
      </c>
      <c r="M206">
        <v>5</v>
      </c>
      <c r="N206">
        <v>51.658000000000001</v>
      </c>
      <c r="O206" t="s">
        <v>6485</v>
      </c>
      <c r="P206" t="s">
        <v>6586</v>
      </c>
      <c r="Q206">
        <v>1.0325599999999999</v>
      </c>
      <c r="R206" t="s">
        <v>3304</v>
      </c>
      <c r="S206">
        <v>0.40261020285504001</v>
      </c>
    </row>
    <row r="207" spans="1:19">
      <c r="A207" s="37" t="s">
        <v>1090</v>
      </c>
      <c r="B207" s="39">
        <v>23</v>
      </c>
      <c r="C207" s="39">
        <v>6</v>
      </c>
      <c r="D207" s="37" t="s">
        <v>6617</v>
      </c>
      <c r="E207" s="37" t="s">
        <v>6586</v>
      </c>
      <c r="F207" s="37">
        <v>63.094231274928362</v>
      </c>
      <c r="H207" t="s">
        <v>161</v>
      </c>
      <c r="I207">
        <v>13</v>
      </c>
      <c r="J207" t="s">
        <v>14</v>
      </c>
      <c r="K207">
        <v>220</v>
      </c>
      <c r="L207">
        <v>7.548E-3</v>
      </c>
      <c r="M207">
        <v>6</v>
      </c>
      <c r="N207">
        <v>88.040999999999997</v>
      </c>
      <c r="O207" t="s">
        <v>6485</v>
      </c>
      <c r="P207" t="s">
        <v>6586</v>
      </c>
      <c r="Q207">
        <v>1.0325599999999999</v>
      </c>
      <c r="R207" t="s">
        <v>3304</v>
      </c>
      <c r="S207">
        <v>0.68617067771807994</v>
      </c>
    </row>
    <row r="208" spans="1:19">
      <c r="A208" s="37" t="s">
        <v>1128</v>
      </c>
      <c r="B208" s="37">
        <v>13</v>
      </c>
      <c r="C208" s="37">
        <v>1</v>
      </c>
      <c r="D208" s="37" t="s">
        <v>6485</v>
      </c>
      <c r="E208" s="37" t="s">
        <v>6586</v>
      </c>
      <c r="F208" s="37">
        <v>70.595775173449454</v>
      </c>
      <c r="H208" t="s">
        <v>161</v>
      </c>
      <c r="I208">
        <v>13</v>
      </c>
      <c r="J208" t="s">
        <v>248</v>
      </c>
      <c r="K208">
        <v>220</v>
      </c>
      <c r="L208">
        <v>0.94450500000000004</v>
      </c>
      <c r="M208">
        <v>1</v>
      </c>
      <c r="N208">
        <v>54.328000000000003</v>
      </c>
      <c r="O208" t="s">
        <v>6617</v>
      </c>
      <c r="P208" t="s">
        <v>6586</v>
      </c>
      <c r="Q208">
        <v>1.0325599999999999</v>
      </c>
      <c r="R208" t="s">
        <v>3304</v>
      </c>
      <c r="S208">
        <v>52.9838211223584</v>
      </c>
    </row>
    <row r="209" spans="1:19">
      <c r="A209" s="37" t="s">
        <v>1128</v>
      </c>
      <c r="B209" s="37">
        <v>13</v>
      </c>
      <c r="C209" s="37">
        <v>1</v>
      </c>
      <c r="D209" s="37" t="s">
        <v>6617</v>
      </c>
      <c r="E209" s="37" t="s">
        <v>6586</v>
      </c>
      <c r="F209" s="37">
        <v>57.437140476984638</v>
      </c>
      <c r="H209" t="s">
        <v>161</v>
      </c>
      <c r="I209">
        <v>13</v>
      </c>
      <c r="J209" t="s">
        <v>248</v>
      </c>
      <c r="K209">
        <v>220</v>
      </c>
      <c r="L209">
        <v>0.94450500000000004</v>
      </c>
      <c r="M209">
        <v>2</v>
      </c>
      <c r="N209">
        <v>54.436999999999998</v>
      </c>
      <c r="O209" t="s">
        <v>6617</v>
      </c>
      <c r="P209" t="s">
        <v>6586</v>
      </c>
      <c r="Q209">
        <v>1.0325599999999999</v>
      </c>
      <c r="R209" t="s">
        <v>3304</v>
      </c>
      <c r="S209">
        <v>53.090124253383593</v>
      </c>
    </row>
    <row r="210" spans="1:19">
      <c r="A210" s="37" t="s">
        <v>1128</v>
      </c>
      <c r="B210" s="37">
        <v>13</v>
      </c>
      <c r="C210" s="37">
        <v>2</v>
      </c>
      <c r="D210" s="37" t="s">
        <v>6485</v>
      </c>
      <c r="E210" s="37" t="s">
        <v>6586</v>
      </c>
      <c r="F210" s="37">
        <v>64.30602244855416</v>
      </c>
      <c r="H210" t="s">
        <v>161</v>
      </c>
      <c r="I210">
        <v>13</v>
      </c>
      <c r="J210" t="s">
        <v>248</v>
      </c>
      <c r="K210">
        <v>220</v>
      </c>
      <c r="L210">
        <v>0.94450500000000004</v>
      </c>
      <c r="M210">
        <v>3</v>
      </c>
      <c r="N210">
        <v>39.161000000000001</v>
      </c>
      <c r="O210" t="s">
        <v>6617</v>
      </c>
      <c r="P210" t="s">
        <v>6586</v>
      </c>
      <c r="Q210">
        <v>1.0325599999999999</v>
      </c>
      <c r="R210" t="s">
        <v>3304</v>
      </c>
      <c r="S210">
        <v>38.192081780530799</v>
      </c>
    </row>
    <row r="211" spans="1:19">
      <c r="A211" s="37" t="s">
        <v>1128</v>
      </c>
      <c r="B211" s="37">
        <v>13</v>
      </c>
      <c r="C211" s="37">
        <v>2</v>
      </c>
      <c r="D211" s="37" t="s">
        <v>6617</v>
      </c>
      <c r="E211" s="37" t="s">
        <v>6586</v>
      </c>
      <c r="F211" s="37">
        <v>57.550530086908481</v>
      </c>
      <c r="H211" t="s">
        <v>161</v>
      </c>
      <c r="I211">
        <v>13</v>
      </c>
      <c r="J211" t="s">
        <v>248</v>
      </c>
      <c r="K211">
        <v>220</v>
      </c>
      <c r="L211">
        <v>0.94450500000000004</v>
      </c>
      <c r="M211">
        <v>4</v>
      </c>
      <c r="N211">
        <v>38.674999999999997</v>
      </c>
      <c r="O211" t="s">
        <v>6617</v>
      </c>
      <c r="P211" t="s">
        <v>6586</v>
      </c>
      <c r="Q211">
        <v>1.0325599999999999</v>
      </c>
      <c r="R211" t="s">
        <v>3304</v>
      </c>
      <c r="S211">
        <v>37.71810635229</v>
      </c>
    </row>
    <row r="212" spans="1:19">
      <c r="A212" s="37" t="s">
        <v>1128</v>
      </c>
      <c r="B212" s="37">
        <v>13</v>
      </c>
      <c r="C212" s="37">
        <v>3</v>
      </c>
      <c r="D212" s="37" t="s">
        <v>6485</v>
      </c>
      <c r="E212" s="37" t="s">
        <v>6586</v>
      </c>
      <c r="F212" s="37">
        <v>33.971737870004958</v>
      </c>
      <c r="H212" t="s">
        <v>161</v>
      </c>
      <c r="I212">
        <v>13</v>
      </c>
      <c r="J212" t="s">
        <v>248</v>
      </c>
      <c r="K212">
        <v>220</v>
      </c>
      <c r="L212">
        <v>0.94450500000000004</v>
      </c>
      <c r="M212">
        <v>5</v>
      </c>
      <c r="N212">
        <v>49.055</v>
      </c>
      <c r="O212" t="s">
        <v>6617</v>
      </c>
      <c r="P212" t="s">
        <v>6586</v>
      </c>
      <c r="Q212">
        <v>1.0325599999999999</v>
      </c>
      <c r="R212" t="s">
        <v>3304</v>
      </c>
      <c r="S212">
        <v>47.841285251753987</v>
      </c>
    </row>
    <row r="213" spans="1:19">
      <c r="A213" s="37" t="s">
        <v>1128</v>
      </c>
      <c r="B213" s="37">
        <v>13</v>
      </c>
      <c r="C213" s="37">
        <v>3</v>
      </c>
      <c r="D213" s="37" t="s">
        <v>6617</v>
      </c>
      <c r="E213" s="37" t="s">
        <v>6586</v>
      </c>
      <c r="F213" s="37">
        <v>40.40459910925528</v>
      </c>
      <c r="H213" t="s">
        <v>161</v>
      </c>
      <c r="I213">
        <v>13</v>
      </c>
      <c r="J213" t="s">
        <v>248</v>
      </c>
      <c r="K213">
        <v>220</v>
      </c>
      <c r="L213">
        <v>0.94450500000000004</v>
      </c>
      <c r="M213">
        <v>6</v>
      </c>
      <c r="N213">
        <v>58.87</v>
      </c>
      <c r="O213" t="s">
        <v>6617</v>
      </c>
      <c r="P213" t="s">
        <v>6586</v>
      </c>
      <c r="Q213">
        <v>1.0325599999999999</v>
      </c>
      <c r="R213" t="s">
        <v>3304</v>
      </c>
      <c r="S213">
        <v>57.413443334436003</v>
      </c>
    </row>
    <row r="214" spans="1:19">
      <c r="A214" s="37" t="s">
        <v>1128</v>
      </c>
      <c r="B214" s="37">
        <v>13</v>
      </c>
      <c r="C214" s="37">
        <v>4</v>
      </c>
      <c r="D214" s="37" t="s">
        <v>6485</v>
      </c>
      <c r="E214" s="37" t="s">
        <v>6586</v>
      </c>
      <c r="F214" s="37">
        <v>33.019100910335766</v>
      </c>
      <c r="H214" t="s">
        <v>161</v>
      </c>
      <c r="I214">
        <v>13</v>
      </c>
      <c r="J214" t="s">
        <v>248</v>
      </c>
      <c r="K214">
        <v>220</v>
      </c>
      <c r="L214">
        <v>0.94450500000000004</v>
      </c>
      <c r="M214">
        <v>1</v>
      </c>
      <c r="N214">
        <v>65.05</v>
      </c>
      <c r="O214" t="s">
        <v>6485</v>
      </c>
      <c r="P214" t="s">
        <v>6586</v>
      </c>
      <c r="Q214">
        <v>1.0325599999999999</v>
      </c>
      <c r="R214" t="s">
        <v>3304</v>
      </c>
      <c r="S214">
        <v>63.440538286139997</v>
      </c>
    </row>
    <row r="215" spans="1:19">
      <c r="A215" s="37" t="s">
        <v>1128</v>
      </c>
      <c r="B215" s="37">
        <v>13</v>
      </c>
      <c r="C215" s="37">
        <v>4</v>
      </c>
      <c r="D215" s="37" t="s">
        <v>6617</v>
      </c>
      <c r="E215" s="37" t="s">
        <v>6586</v>
      </c>
      <c r="F215" s="37">
        <v>39.90742550036952</v>
      </c>
      <c r="H215" t="s">
        <v>161</v>
      </c>
      <c r="I215">
        <v>13</v>
      </c>
      <c r="J215" t="s">
        <v>248</v>
      </c>
      <c r="K215">
        <v>220</v>
      </c>
      <c r="L215">
        <v>0.94450500000000004</v>
      </c>
      <c r="M215">
        <v>2</v>
      </c>
      <c r="N215">
        <v>60.055999999999997</v>
      </c>
      <c r="O215" t="s">
        <v>6485</v>
      </c>
      <c r="P215" t="s">
        <v>6586</v>
      </c>
      <c r="Q215">
        <v>1.0325599999999999</v>
      </c>
      <c r="R215" t="s">
        <v>3304</v>
      </c>
      <c r="S215">
        <v>58.570099420636787</v>
      </c>
    </row>
    <row r="216" spans="1:19">
      <c r="A216" s="37" t="s">
        <v>1128</v>
      </c>
      <c r="B216" s="37">
        <v>13</v>
      </c>
      <c r="C216" s="37">
        <v>5</v>
      </c>
      <c r="D216" s="37" t="s">
        <v>6485</v>
      </c>
      <c r="E216" s="37" t="s">
        <v>6586</v>
      </c>
      <c r="F216" s="37">
        <v>53.294140834654804</v>
      </c>
      <c r="H216" t="s">
        <v>161</v>
      </c>
      <c r="I216">
        <v>13</v>
      </c>
      <c r="J216" t="s">
        <v>248</v>
      </c>
      <c r="K216">
        <v>220</v>
      </c>
      <c r="L216">
        <v>0.94450500000000004</v>
      </c>
      <c r="M216">
        <v>3</v>
      </c>
      <c r="N216">
        <v>33.075000000000003</v>
      </c>
      <c r="O216" t="s">
        <v>6485</v>
      </c>
      <c r="P216" t="s">
        <v>6586</v>
      </c>
      <c r="Q216">
        <v>1.0325599999999999</v>
      </c>
      <c r="R216" t="s">
        <v>3304</v>
      </c>
      <c r="S216">
        <v>32.256661088610002</v>
      </c>
    </row>
    <row r="217" spans="1:19">
      <c r="A217" s="37" t="s">
        <v>1128</v>
      </c>
      <c r="B217" s="37">
        <v>13</v>
      </c>
      <c r="C217" s="37">
        <v>5</v>
      </c>
      <c r="D217" s="37" t="s">
        <v>6617</v>
      </c>
      <c r="E217" s="37" t="s">
        <v>6586</v>
      </c>
      <c r="F217" s="37">
        <v>51.381281540597925</v>
      </c>
      <c r="H217" t="s">
        <v>161</v>
      </c>
      <c r="I217">
        <v>13</v>
      </c>
      <c r="J217" t="s">
        <v>248</v>
      </c>
      <c r="K217">
        <v>220</v>
      </c>
      <c r="L217">
        <v>0.94450500000000004</v>
      </c>
      <c r="M217">
        <v>4</v>
      </c>
      <c r="N217">
        <v>32.075000000000003</v>
      </c>
      <c r="O217" t="s">
        <v>6485</v>
      </c>
      <c r="P217" t="s">
        <v>6586</v>
      </c>
      <c r="Q217">
        <v>1.0325599999999999</v>
      </c>
      <c r="R217" t="s">
        <v>3304</v>
      </c>
      <c r="S217">
        <v>31.281403005809999</v>
      </c>
    </row>
    <row r="218" spans="1:19">
      <c r="A218" s="37" t="s">
        <v>1128</v>
      </c>
      <c r="B218" s="37">
        <v>13</v>
      </c>
      <c r="C218" s="37">
        <v>6</v>
      </c>
      <c r="D218" s="37" t="s">
        <v>6485</v>
      </c>
      <c r="E218" s="37" t="s">
        <v>6586</v>
      </c>
      <c r="F218" s="37">
        <v>87.928334715220885</v>
      </c>
      <c r="H218" t="s">
        <v>161</v>
      </c>
      <c r="I218">
        <v>13</v>
      </c>
      <c r="J218" t="s">
        <v>248</v>
      </c>
      <c r="K218">
        <v>220</v>
      </c>
      <c r="L218">
        <v>0.94450500000000004</v>
      </c>
      <c r="M218">
        <v>5</v>
      </c>
      <c r="N218">
        <v>50.77</v>
      </c>
      <c r="O218" t="s">
        <v>6485</v>
      </c>
      <c r="P218" t="s">
        <v>6586</v>
      </c>
      <c r="Q218">
        <v>1.0325599999999999</v>
      </c>
      <c r="R218" t="s">
        <v>3304</v>
      </c>
      <c r="S218">
        <v>49.513852863756</v>
      </c>
    </row>
    <row r="219" spans="1:19">
      <c r="A219" s="37" t="s">
        <v>1128</v>
      </c>
      <c r="B219" s="37">
        <v>13</v>
      </c>
      <c r="C219" s="37">
        <v>6</v>
      </c>
      <c r="D219" s="37" t="s">
        <v>6617</v>
      </c>
      <c r="E219" s="37" t="s">
        <v>6586</v>
      </c>
      <c r="F219" s="37">
        <v>62.730852298656728</v>
      </c>
      <c r="H219" t="s">
        <v>161</v>
      </c>
      <c r="I219">
        <v>13</v>
      </c>
      <c r="J219" t="s">
        <v>248</v>
      </c>
      <c r="K219">
        <v>220</v>
      </c>
      <c r="L219">
        <v>0.94450500000000004</v>
      </c>
      <c r="M219">
        <v>6</v>
      </c>
      <c r="N219">
        <v>78.662999999999997</v>
      </c>
      <c r="O219" t="s">
        <v>6485</v>
      </c>
      <c r="P219" t="s">
        <v>6586</v>
      </c>
      <c r="Q219">
        <v>1.0325599999999999</v>
      </c>
      <c r="R219" t="s">
        <v>3304</v>
      </c>
      <c r="S219">
        <v>76.716726567296405</v>
      </c>
    </row>
    <row r="220" spans="1:19">
      <c r="A220" s="37" t="s">
        <v>1166</v>
      </c>
      <c r="B220" s="39">
        <v>13</v>
      </c>
      <c r="C220" s="39">
        <v>1</v>
      </c>
      <c r="D220" s="37" t="s">
        <v>6485</v>
      </c>
      <c r="E220" s="37" t="s">
        <v>6586</v>
      </c>
      <c r="F220" s="37">
        <v>70.070868565226959</v>
      </c>
      <c r="H220" t="s">
        <v>161</v>
      </c>
      <c r="I220">
        <v>13</v>
      </c>
      <c r="J220" t="s">
        <v>548</v>
      </c>
      <c r="K220">
        <v>220</v>
      </c>
      <c r="L220">
        <v>1.2458E-2</v>
      </c>
      <c r="M220">
        <v>1</v>
      </c>
      <c r="N220">
        <v>55.128</v>
      </c>
      <c r="O220" t="s">
        <v>6617</v>
      </c>
      <c r="P220" t="s">
        <v>6586</v>
      </c>
      <c r="Q220">
        <v>1.0325599999999999</v>
      </c>
      <c r="R220" t="s">
        <v>3304</v>
      </c>
      <c r="S220">
        <v>0.70914633135743999</v>
      </c>
    </row>
    <row r="221" spans="1:19">
      <c r="A221" s="37" t="s">
        <v>1166</v>
      </c>
      <c r="B221" s="39">
        <v>13</v>
      </c>
      <c r="C221" s="39">
        <v>1</v>
      </c>
      <c r="D221" s="37" t="s">
        <v>6617</v>
      </c>
      <c r="E221" s="37" t="s">
        <v>6586</v>
      </c>
      <c r="F221" s="37">
        <v>57.256374305308327</v>
      </c>
      <c r="H221" t="s">
        <v>161</v>
      </c>
      <c r="I221">
        <v>13</v>
      </c>
      <c r="J221" t="s">
        <v>548</v>
      </c>
      <c r="K221">
        <v>220</v>
      </c>
      <c r="L221">
        <v>1.2458E-2</v>
      </c>
      <c r="M221">
        <v>2</v>
      </c>
      <c r="N221">
        <v>55.256999999999998</v>
      </c>
      <c r="O221" t="s">
        <v>6617</v>
      </c>
      <c r="P221" t="s">
        <v>6586</v>
      </c>
      <c r="Q221">
        <v>1.0325599999999999</v>
      </c>
      <c r="R221" t="s">
        <v>3304</v>
      </c>
      <c r="S221">
        <v>0.71080573994735996</v>
      </c>
    </row>
    <row r="222" spans="1:19">
      <c r="A222" s="37" t="s">
        <v>1166</v>
      </c>
      <c r="B222" s="39">
        <v>13</v>
      </c>
      <c r="C222" s="39">
        <v>2</v>
      </c>
      <c r="D222" s="37" t="s">
        <v>6485</v>
      </c>
      <c r="E222" s="37" t="s">
        <v>6586</v>
      </c>
      <c r="F222" s="37">
        <v>64.004948423056163</v>
      </c>
      <c r="H222" t="s">
        <v>161</v>
      </c>
      <c r="I222">
        <v>13</v>
      </c>
      <c r="J222" t="s">
        <v>548</v>
      </c>
      <c r="K222">
        <v>220</v>
      </c>
      <c r="L222">
        <v>1.2458E-2</v>
      </c>
      <c r="M222">
        <v>3</v>
      </c>
      <c r="N222">
        <v>39.152000000000001</v>
      </c>
      <c r="O222" t="s">
        <v>6617</v>
      </c>
      <c r="P222" t="s">
        <v>6586</v>
      </c>
      <c r="Q222">
        <v>1.0325599999999999</v>
      </c>
      <c r="R222" t="s">
        <v>3304</v>
      </c>
      <c r="S222">
        <v>0.50363693885695993</v>
      </c>
    </row>
    <row r="223" spans="1:19">
      <c r="A223" s="37" t="s">
        <v>1166</v>
      </c>
      <c r="B223" s="39">
        <v>13</v>
      </c>
      <c r="C223" s="39">
        <v>2</v>
      </c>
      <c r="D223" s="37" t="s">
        <v>6617</v>
      </c>
      <c r="E223" s="37" t="s">
        <v>6586</v>
      </c>
      <c r="F223" s="37">
        <v>57.375750217971756</v>
      </c>
      <c r="H223" t="s">
        <v>161</v>
      </c>
      <c r="I223">
        <v>13</v>
      </c>
      <c r="J223" t="s">
        <v>548</v>
      </c>
      <c r="K223">
        <v>220</v>
      </c>
      <c r="L223">
        <v>1.2458E-2</v>
      </c>
      <c r="M223">
        <v>4</v>
      </c>
      <c r="N223">
        <v>38.615000000000002</v>
      </c>
      <c r="O223" t="s">
        <v>6617</v>
      </c>
      <c r="P223" t="s">
        <v>6586</v>
      </c>
      <c r="Q223">
        <v>1.0325599999999999</v>
      </c>
      <c r="R223" t="s">
        <v>3304</v>
      </c>
      <c r="S223">
        <v>0.49672916821520002</v>
      </c>
    </row>
    <row r="224" spans="1:19">
      <c r="A224" s="37" t="s">
        <v>1166</v>
      </c>
      <c r="B224" s="39">
        <v>13</v>
      </c>
      <c r="C224" s="39">
        <v>3</v>
      </c>
      <c r="D224" s="37" t="s">
        <v>6485</v>
      </c>
      <c r="E224" s="37" t="s">
        <v>6586</v>
      </c>
      <c r="F224" s="37">
        <v>33.966137494825837</v>
      </c>
      <c r="H224" t="s">
        <v>161</v>
      </c>
      <c r="I224">
        <v>13</v>
      </c>
      <c r="J224" t="s">
        <v>548</v>
      </c>
      <c r="K224">
        <v>220</v>
      </c>
      <c r="L224">
        <v>1.2458E-2</v>
      </c>
      <c r="M224">
        <v>5</v>
      </c>
      <c r="N224">
        <v>46.902000000000001</v>
      </c>
      <c r="O224" t="s">
        <v>6617</v>
      </c>
      <c r="P224" t="s">
        <v>6586</v>
      </c>
      <c r="Q224">
        <v>1.0325599999999999</v>
      </c>
      <c r="R224" t="s">
        <v>3304</v>
      </c>
      <c r="S224">
        <v>0.60333009057695997</v>
      </c>
    </row>
    <row r="225" spans="1:19">
      <c r="A225" s="37" t="s">
        <v>1166</v>
      </c>
      <c r="B225" s="39">
        <v>13</v>
      </c>
      <c r="C225" s="39">
        <v>3</v>
      </c>
      <c r="D225" s="37" t="s">
        <v>6617</v>
      </c>
      <c r="E225" s="37" t="s">
        <v>6586</v>
      </c>
      <c r="F225" s="37">
        <v>40.411907900387043</v>
      </c>
      <c r="H225" t="s">
        <v>161</v>
      </c>
      <c r="I225">
        <v>13</v>
      </c>
      <c r="J225" t="s">
        <v>548</v>
      </c>
      <c r="K225">
        <v>220</v>
      </c>
      <c r="L225">
        <v>1.2458E-2</v>
      </c>
      <c r="M225">
        <v>6</v>
      </c>
      <c r="N225">
        <v>58.256</v>
      </c>
      <c r="O225" t="s">
        <v>6617</v>
      </c>
      <c r="P225" t="s">
        <v>6586</v>
      </c>
      <c r="Q225">
        <v>1.0325599999999999</v>
      </c>
      <c r="R225" t="s">
        <v>3304</v>
      </c>
      <c r="S225">
        <v>0.74938377375487997</v>
      </c>
    </row>
    <row r="226" spans="1:19">
      <c r="A226" s="37" t="s">
        <v>1166</v>
      </c>
      <c r="B226" s="39">
        <v>13</v>
      </c>
      <c r="C226" s="39">
        <v>4</v>
      </c>
      <c r="D226" s="37" t="s">
        <v>6485</v>
      </c>
      <c r="E226" s="37" t="s">
        <v>6586</v>
      </c>
      <c r="F226" s="37">
        <v>32.918521298627844</v>
      </c>
      <c r="H226" t="s">
        <v>161</v>
      </c>
      <c r="I226">
        <v>13</v>
      </c>
      <c r="J226" t="s">
        <v>548</v>
      </c>
      <c r="K226">
        <v>220</v>
      </c>
      <c r="L226">
        <v>1.2458E-2</v>
      </c>
      <c r="M226">
        <v>1</v>
      </c>
      <c r="N226">
        <v>66.899000000000001</v>
      </c>
      <c r="O226" t="s">
        <v>6485</v>
      </c>
      <c r="P226" t="s">
        <v>6586</v>
      </c>
      <c r="Q226">
        <v>1.0325599999999999</v>
      </c>
      <c r="R226" t="s">
        <v>3304</v>
      </c>
      <c r="S226">
        <v>0.86056414927951996</v>
      </c>
    </row>
    <row r="227" spans="1:19">
      <c r="A227" s="37" t="s">
        <v>1166</v>
      </c>
      <c r="B227" s="39">
        <v>13</v>
      </c>
      <c r="C227" s="39">
        <v>4</v>
      </c>
      <c r="D227" s="37" t="s">
        <v>6617</v>
      </c>
      <c r="E227" s="37" t="s">
        <v>6586</v>
      </c>
      <c r="F227" s="37">
        <v>39.897287956392077</v>
      </c>
      <c r="H227" t="s">
        <v>161</v>
      </c>
      <c r="I227">
        <v>13</v>
      </c>
      <c r="J227" t="s">
        <v>548</v>
      </c>
      <c r="K227">
        <v>220</v>
      </c>
      <c r="L227">
        <v>1.2458E-2</v>
      </c>
      <c r="M227">
        <v>2</v>
      </c>
      <c r="N227">
        <v>61.454000000000001</v>
      </c>
      <c r="O227" t="s">
        <v>6485</v>
      </c>
      <c r="P227" t="s">
        <v>6586</v>
      </c>
      <c r="Q227">
        <v>1.0325599999999999</v>
      </c>
      <c r="R227" t="s">
        <v>3304</v>
      </c>
      <c r="S227">
        <v>0.79052167042591992</v>
      </c>
    </row>
    <row r="228" spans="1:19">
      <c r="A228" s="37" t="s">
        <v>1166</v>
      </c>
      <c r="B228" s="39">
        <v>13</v>
      </c>
      <c r="C228" s="39">
        <v>5</v>
      </c>
      <c r="D228" s="37" t="s">
        <v>6485</v>
      </c>
      <c r="E228" s="37" t="s">
        <v>6586</v>
      </c>
      <c r="F228" s="37">
        <v>51.828305075328004</v>
      </c>
      <c r="H228" t="s">
        <v>161</v>
      </c>
      <c r="I228">
        <v>13</v>
      </c>
      <c r="J228" t="s">
        <v>548</v>
      </c>
      <c r="K228">
        <v>220</v>
      </c>
      <c r="L228">
        <v>1.2458E-2</v>
      </c>
      <c r="M228">
        <v>3</v>
      </c>
      <c r="N228">
        <v>32.872</v>
      </c>
      <c r="O228" t="s">
        <v>6485</v>
      </c>
      <c r="P228" t="s">
        <v>6586</v>
      </c>
      <c r="Q228">
        <v>1.0325599999999999</v>
      </c>
      <c r="R228" t="s">
        <v>3304</v>
      </c>
      <c r="S228">
        <v>0.42285332688255989</v>
      </c>
    </row>
    <row r="229" spans="1:19">
      <c r="A229" s="37" t="s">
        <v>1166</v>
      </c>
      <c r="B229" s="39">
        <v>13</v>
      </c>
      <c r="C229" s="39">
        <v>5</v>
      </c>
      <c r="D229" s="37" t="s">
        <v>6617</v>
      </c>
      <c r="E229" s="37" t="s">
        <v>6586</v>
      </c>
      <c r="F229" s="37">
        <v>50.472881352271678</v>
      </c>
      <c r="H229" t="s">
        <v>161</v>
      </c>
      <c r="I229">
        <v>13</v>
      </c>
      <c r="J229" t="s">
        <v>548</v>
      </c>
      <c r="K229">
        <v>220</v>
      </c>
      <c r="L229">
        <v>1.2458E-2</v>
      </c>
      <c r="M229">
        <v>4</v>
      </c>
      <c r="N229">
        <v>31.65</v>
      </c>
      <c r="O229" t="s">
        <v>6485</v>
      </c>
      <c r="P229" t="s">
        <v>6586</v>
      </c>
      <c r="Q229">
        <v>1.0325599999999999</v>
      </c>
      <c r="R229" t="s">
        <v>3304</v>
      </c>
      <c r="S229">
        <v>0.40713396799199991</v>
      </c>
    </row>
    <row r="230" spans="1:19">
      <c r="A230" s="37" t="s">
        <v>1166</v>
      </c>
      <c r="B230" s="39">
        <v>13</v>
      </c>
      <c r="C230" s="39">
        <v>6</v>
      </c>
      <c r="D230" s="37" t="s">
        <v>6485</v>
      </c>
      <c r="E230" s="37" t="s">
        <v>6586</v>
      </c>
      <c r="F230" s="37">
        <v>86.111505729428472</v>
      </c>
      <c r="H230" t="s">
        <v>161</v>
      </c>
      <c r="I230">
        <v>13</v>
      </c>
      <c r="J230" t="s">
        <v>548</v>
      </c>
      <c r="K230">
        <v>220</v>
      </c>
      <c r="L230">
        <v>1.2458E-2</v>
      </c>
      <c r="M230">
        <v>5</v>
      </c>
      <c r="N230">
        <v>46.981999999999999</v>
      </c>
      <c r="O230" t="s">
        <v>6485</v>
      </c>
      <c r="P230" t="s">
        <v>6586</v>
      </c>
      <c r="Q230">
        <v>1.0325599999999999</v>
      </c>
      <c r="R230" t="s">
        <v>3304</v>
      </c>
      <c r="S230">
        <v>0.60435918117535992</v>
      </c>
    </row>
    <row r="231" spans="1:19">
      <c r="A231" s="37" t="s">
        <v>1166</v>
      </c>
      <c r="B231" s="39">
        <v>13</v>
      </c>
      <c r="C231" s="39">
        <v>6</v>
      </c>
      <c r="D231" s="37" t="s">
        <v>6617</v>
      </c>
      <c r="E231" s="37" t="s">
        <v>6586</v>
      </c>
      <c r="F231" s="37">
        <v>61.913012165594473</v>
      </c>
      <c r="H231" t="s">
        <v>161</v>
      </c>
      <c r="I231">
        <v>13</v>
      </c>
      <c r="J231" t="s">
        <v>548</v>
      </c>
      <c r="K231">
        <v>220</v>
      </c>
      <c r="L231">
        <v>1.2458E-2</v>
      </c>
      <c r="M231">
        <v>6</v>
      </c>
      <c r="N231">
        <v>79.751999999999995</v>
      </c>
      <c r="O231" t="s">
        <v>6485</v>
      </c>
      <c r="P231" t="s">
        <v>6586</v>
      </c>
      <c r="Q231">
        <v>1.0325599999999999</v>
      </c>
      <c r="R231" t="s">
        <v>3304</v>
      </c>
      <c r="S231">
        <v>1.02590041754496</v>
      </c>
    </row>
    <row r="232" spans="1:19">
      <c r="A232" s="37" t="s">
        <v>1286</v>
      </c>
      <c r="B232" s="37">
        <v>13</v>
      </c>
      <c r="C232" s="39">
        <v>1</v>
      </c>
      <c r="D232" s="37" t="s">
        <v>6485</v>
      </c>
      <c r="E232" s="37" t="s">
        <v>6586</v>
      </c>
      <c r="F232" s="37">
        <v>70.540608764832086</v>
      </c>
      <c r="H232" t="s">
        <v>161</v>
      </c>
      <c r="I232">
        <v>13</v>
      </c>
      <c r="J232" t="s">
        <v>1197</v>
      </c>
      <c r="K232">
        <v>220</v>
      </c>
      <c r="L232">
        <v>4.0220000000000004E-3</v>
      </c>
      <c r="M232">
        <v>1</v>
      </c>
      <c r="N232">
        <v>55.825000000000003</v>
      </c>
      <c r="O232" t="s">
        <v>6617</v>
      </c>
      <c r="P232" t="s">
        <v>6586</v>
      </c>
      <c r="Q232">
        <v>1.0325599999999999</v>
      </c>
      <c r="R232" t="s">
        <v>3304</v>
      </c>
      <c r="S232">
        <v>0.231838786564</v>
      </c>
    </row>
    <row r="233" spans="1:19">
      <c r="A233" s="37" t="s">
        <v>1286</v>
      </c>
      <c r="B233" s="37">
        <v>13</v>
      </c>
      <c r="C233" s="39">
        <v>1</v>
      </c>
      <c r="D233" s="37" t="s">
        <v>6617</v>
      </c>
      <c r="E233" s="37" t="s">
        <v>6586</v>
      </c>
      <c r="F233" s="37">
        <v>57.418377816833917</v>
      </c>
      <c r="H233" t="s">
        <v>161</v>
      </c>
      <c r="I233">
        <v>13</v>
      </c>
      <c r="J233" t="s">
        <v>1197</v>
      </c>
      <c r="K233">
        <v>220</v>
      </c>
      <c r="L233">
        <v>4.0220000000000004E-3</v>
      </c>
      <c r="M233">
        <v>2</v>
      </c>
      <c r="N233">
        <v>56.061999999999998</v>
      </c>
      <c r="O233" t="s">
        <v>6617</v>
      </c>
      <c r="P233" t="s">
        <v>6586</v>
      </c>
      <c r="Q233">
        <v>1.0325599999999999</v>
      </c>
      <c r="R233" t="s">
        <v>3304</v>
      </c>
      <c r="S233">
        <v>0.23282303721184</v>
      </c>
    </row>
    <row r="234" spans="1:19">
      <c r="A234" s="37" t="s">
        <v>1286</v>
      </c>
      <c r="B234" s="37">
        <v>13</v>
      </c>
      <c r="C234" s="39">
        <v>2</v>
      </c>
      <c r="D234" s="37" t="s">
        <v>6485</v>
      </c>
      <c r="E234" s="37" t="s">
        <v>6586</v>
      </c>
      <c r="F234" s="37">
        <v>64.274653375912479</v>
      </c>
      <c r="H234" t="s">
        <v>161</v>
      </c>
      <c r="I234">
        <v>13</v>
      </c>
      <c r="J234" t="s">
        <v>1197</v>
      </c>
      <c r="K234">
        <v>220</v>
      </c>
      <c r="L234">
        <v>4.0220000000000004E-3</v>
      </c>
      <c r="M234">
        <v>3</v>
      </c>
      <c r="N234">
        <v>39.136000000000003</v>
      </c>
      <c r="O234" t="s">
        <v>6617</v>
      </c>
      <c r="P234" t="s">
        <v>6586</v>
      </c>
      <c r="Q234">
        <v>1.0325599999999999</v>
      </c>
      <c r="R234" t="s">
        <v>3304</v>
      </c>
      <c r="S234">
        <v>0.16253009853952</v>
      </c>
    </row>
    <row r="235" spans="1:19">
      <c r="A235" s="37" t="s">
        <v>1286</v>
      </c>
      <c r="B235" s="37">
        <v>13</v>
      </c>
      <c r="C235" s="39">
        <v>2</v>
      </c>
      <c r="D235" s="37" t="s">
        <v>6617</v>
      </c>
      <c r="E235" s="37" t="s">
        <v>6586</v>
      </c>
      <c r="F235" s="37">
        <v>57.532428793828466</v>
      </c>
      <c r="H235" t="s">
        <v>161</v>
      </c>
      <c r="I235">
        <v>13</v>
      </c>
      <c r="J235" t="s">
        <v>1197</v>
      </c>
      <c r="K235">
        <v>220</v>
      </c>
      <c r="L235">
        <v>4.0220000000000004E-3</v>
      </c>
      <c r="M235">
        <v>4</v>
      </c>
      <c r="N235">
        <v>38.625</v>
      </c>
      <c r="O235" t="s">
        <v>6617</v>
      </c>
      <c r="P235" t="s">
        <v>6586</v>
      </c>
      <c r="Q235">
        <v>1.0325599999999999</v>
      </c>
      <c r="R235" t="s">
        <v>3304</v>
      </c>
      <c r="S235">
        <v>0.16040793785999999</v>
      </c>
    </row>
    <row r="236" spans="1:19">
      <c r="A236" s="37" t="s">
        <v>1286</v>
      </c>
      <c r="B236" s="37">
        <v>13</v>
      </c>
      <c r="C236" s="39">
        <v>3</v>
      </c>
      <c r="D236" s="37" t="s">
        <v>6485</v>
      </c>
      <c r="E236" s="37" t="s">
        <v>6586</v>
      </c>
      <c r="F236" s="37">
        <v>33.97089789483568</v>
      </c>
      <c r="H236" t="s">
        <v>161</v>
      </c>
      <c r="I236">
        <v>13</v>
      </c>
      <c r="J236" t="s">
        <v>1197</v>
      </c>
      <c r="K236">
        <v>220</v>
      </c>
      <c r="L236">
        <v>4.0220000000000004E-3</v>
      </c>
      <c r="M236">
        <v>5</v>
      </c>
      <c r="N236">
        <v>49.764000000000003</v>
      </c>
      <c r="O236" t="s">
        <v>6617</v>
      </c>
      <c r="P236" t="s">
        <v>6586</v>
      </c>
      <c r="Q236">
        <v>1.0325599999999999</v>
      </c>
      <c r="R236" t="s">
        <v>3304</v>
      </c>
      <c r="S236">
        <v>0.20666771830847999</v>
      </c>
    </row>
    <row r="237" spans="1:19">
      <c r="A237" s="37" t="s">
        <v>1286</v>
      </c>
      <c r="B237" s="37">
        <v>13</v>
      </c>
      <c r="C237" s="39">
        <v>3</v>
      </c>
      <c r="D237" s="37" t="s">
        <v>6617</v>
      </c>
      <c r="E237" s="37" t="s">
        <v>6586</v>
      </c>
      <c r="F237" s="37">
        <v>40.405325401633675</v>
      </c>
      <c r="H237" t="s">
        <v>161</v>
      </c>
      <c r="I237">
        <v>13</v>
      </c>
      <c r="J237" t="s">
        <v>1197</v>
      </c>
      <c r="K237">
        <v>220</v>
      </c>
      <c r="L237">
        <v>4.0220000000000004E-3</v>
      </c>
      <c r="M237">
        <v>6</v>
      </c>
      <c r="N237">
        <v>61.481999999999999</v>
      </c>
      <c r="O237" t="s">
        <v>6617</v>
      </c>
      <c r="P237" t="s">
        <v>6586</v>
      </c>
      <c r="Q237">
        <v>1.0325599999999999</v>
      </c>
      <c r="R237" t="s">
        <v>3304</v>
      </c>
      <c r="S237">
        <v>0.25533206046624002</v>
      </c>
    </row>
    <row r="238" spans="1:19">
      <c r="A238" s="37" t="s">
        <v>1286</v>
      </c>
      <c r="B238" s="37">
        <v>13</v>
      </c>
      <c r="C238" s="39">
        <v>4</v>
      </c>
      <c r="D238" s="37" t="s">
        <v>6485</v>
      </c>
      <c r="E238" s="37" t="s">
        <v>6586</v>
      </c>
      <c r="F238" s="37">
        <v>33.007995083218326</v>
      </c>
      <c r="H238" t="s">
        <v>161</v>
      </c>
      <c r="I238">
        <v>13</v>
      </c>
      <c r="J238" t="s">
        <v>1197</v>
      </c>
      <c r="K238">
        <v>220</v>
      </c>
      <c r="L238">
        <v>4.0220000000000004E-3</v>
      </c>
      <c r="M238">
        <v>1</v>
      </c>
      <c r="N238">
        <v>70.069000000000003</v>
      </c>
      <c r="O238" t="s">
        <v>6485</v>
      </c>
      <c r="P238" t="s">
        <v>6586</v>
      </c>
      <c r="Q238">
        <v>1.0325599999999999</v>
      </c>
      <c r="R238" t="s">
        <v>3304</v>
      </c>
      <c r="S238">
        <v>0.29099349638608002</v>
      </c>
    </row>
    <row r="239" spans="1:19">
      <c r="A239" s="37" t="s">
        <v>1286</v>
      </c>
      <c r="B239" s="37">
        <v>13</v>
      </c>
      <c r="C239" s="39">
        <v>4</v>
      </c>
      <c r="D239" s="37" t="s">
        <v>6617</v>
      </c>
      <c r="E239" s="37" t="s">
        <v>6586</v>
      </c>
      <c r="F239" s="37">
        <v>39.906250549312951</v>
      </c>
      <c r="H239" t="s">
        <v>161</v>
      </c>
      <c r="I239">
        <v>13</v>
      </c>
      <c r="J239" t="s">
        <v>1197</v>
      </c>
      <c r="K239">
        <v>220</v>
      </c>
      <c r="L239">
        <v>4.0220000000000004E-3</v>
      </c>
      <c r="M239">
        <v>2</v>
      </c>
      <c r="N239">
        <v>63.207000000000001</v>
      </c>
      <c r="O239" t="s">
        <v>6485</v>
      </c>
      <c r="P239" t="s">
        <v>6586</v>
      </c>
      <c r="Q239">
        <v>1.0325599999999999</v>
      </c>
      <c r="R239" t="s">
        <v>3304</v>
      </c>
      <c r="S239">
        <v>0.26249591011823997</v>
      </c>
    </row>
    <row r="240" spans="1:19">
      <c r="A240" s="37" t="s">
        <v>1286</v>
      </c>
      <c r="B240" s="37">
        <v>13</v>
      </c>
      <c r="C240" s="39">
        <v>5</v>
      </c>
      <c r="D240" s="37" t="s">
        <v>6485</v>
      </c>
      <c r="E240" s="37" t="s">
        <v>6586</v>
      </c>
      <c r="F240" s="37">
        <v>53.134251300770721</v>
      </c>
      <c r="H240" t="s">
        <v>161</v>
      </c>
      <c r="I240">
        <v>13</v>
      </c>
      <c r="J240" t="s">
        <v>1197</v>
      </c>
      <c r="K240">
        <v>220</v>
      </c>
      <c r="L240">
        <v>4.0220000000000004E-3</v>
      </c>
      <c r="M240">
        <v>3</v>
      </c>
      <c r="N240">
        <v>32.453000000000003</v>
      </c>
      <c r="O240" t="s">
        <v>6485</v>
      </c>
      <c r="P240" t="s">
        <v>6586</v>
      </c>
      <c r="Q240">
        <v>1.0325599999999999</v>
      </c>
      <c r="R240" t="s">
        <v>3304</v>
      </c>
      <c r="S240">
        <v>0.13477589145296001</v>
      </c>
    </row>
    <row r="241" spans="1:19">
      <c r="A241" s="37" t="s">
        <v>1286</v>
      </c>
      <c r="B241" s="37">
        <v>13</v>
      </c>
      <c r="C241" s="39">
        <v>5</v>
      </c>
      <c r="D241" s="37" t="s">
        <v>6617</v>
      </c>
      <c r="E241" s="37" t="s">
        <v>6586</v>
      </c>
      <c r="F241" s="37">
        <v>51.282337770330471</v>
      </c>
      <c r="H241" t="s">
        <v>161</v>
      </c>
      <c r="I241">
        <v>13</v>
      </c>
      <c r="J241" t="s">
        <v>1197</v>
      </c>
      <c r="K241">
        <v>220</v>
      </c>
      <c r="L241">
        <v>4.0220000000000004E-3</v>
      </c>
      <c r="M241">
        <v>4</v>
      </c>
      <c r="N241">
        <v>30.672000000000001</v>
      </c>
      <c r="O241" t="s">
        <v>6485</v>
      </c>
      <c r="P241" t="s">
        <v>6586</v>
      </c>
      <c r="Q241">
        <v>1.0325599999999999</v>
      </c>
      <c r="R241" t="s">
        <v>3304</v>
      </c>
      <c r="S241">
        <v>0.12737947624703999</v>
      </c>
    </row>
    <row r="242" spans="1:19">
      <c r="A242" s="37" t="s">
        <v>1286</v>
      </c>
      <c r="B242" s="37">
        <v>13</v>
      </c>
      <c r="C242" s="39">
        <v>6</v>
      </c>
      <c r="D242" s="37" t="s">
        <v>6485</v>
      </c>
      <c r="E242" s="37" t="s">
        <v>6586</v>
      </c>
      <c r="F242" s="37">
        <v>87.734370586722648</v>
      </c>
      <c r="H242" t="s">
        <v>161</v>
      </c>
      <c r="I242">
        <v>13</v>
      </c>
      <c r="J242" t="s">
        <v>1197</v>
      </c>
      <c r="K242">
        <v>220</v>
      </c>
      <c r="L242">
        <v>4.0220000000000004E-3</v>
      </c>
      <c r="M242">
        <v>5</v>
      </c>
      <c r="N242">
        <v>51.459000000000003</v>
      </c>
      <c r="O242" t="s">
        <v>6485</v>
      </c>
      <c r="P242" t="s">
        <v>6586</v>
      </c>
      <c r="Q242">
        <v>1.0325599999999999</v>
      </c>
      <c r="R242" t="s">
        <v>3304</v>
      </c>
      <c r="S242">
        <v>0.21370697927088</v>
      </c>
    </row>
    <row r="243" spans="1:19">
      <c r="A243" s="37" t="s">
        <v>1286</v>
      </c>
      <c r="B243" s="37">
        <v>13</v>
      </c>
      <c r="C243" s="39">
        <v>6</v>
      </c>
      <c r="D243" s="37" t="s">
        <v>6617</v>
      </c>
      <c r="E243" s="37" t="s">
        <v>6586</v>
      </c>
      <c r="F243" s="37">
        <v>62.642701061314312</v>
      </c>
      <c r="H243" t="s">
        <v>161</v>
      </c>
      <c r="I243">
        <v>13</v>
      </c>
      <c r="J243" t="s">
        <v>1197</v>
      </c>
      <c r="K243">
        <v>220</v>
      </c>
      <c r="L243">
        <v>4.0220000000000004E-3</v>
      </c>
      <c r="M243">
        <v>6</v>
      </c>
      <c r="N243">
        <v>87.926000000000002</v>
      </c>
      <c r="O243" t="s">
        <v>6485</v>
      </c>
      <c r="P243" t="s">
        <v>6586</v>
      </c>
      <c r="Q243">
        <v>1.0325599999999999</v>
      </c>
      <c r="R243" t="s">
        <v>3304</v>
      </c>
      <c r="S243">
        <v>0.36515283739232002</v>
      </c>
    </row>
    <row r="244" spans="1:19">
      <c r="A244" s="37" t="s">
        <v>1318</v>
      </c>
      <c r="B244" s="37">
        <v>13</v>
      </c>
      <c r="C244" s="39">
        <v>1</v>
      </c>
      <c r="D244" s="37" t="s">
        <v>6485</v>
      </c>
      <c r="E244" s="37" t="s">
        <v>6586</v>
      </c>
      <c r="F244" s="37">
        <v>67.096677083830699</v>
      </c>
      <c r="H244" t="s">
        <v>191</v>
      </c>
      <c r="I244">
        <v>23</v>
      </c>
      <c r="J244" t="s">
        <v>248</v>
      </c>
      <c r="K244">
        <v>220</v>
      </c>
      <c r="L244">
        <v>0.49375200000000002</v>
      </c>
      <c r="M244">
        <v>1</v>
      </c>
      <c r="N244">
        <v>54.328000000000003</v>
      </c>
      <c r="O244" t="s">
        <v>6617</v>
      </c>
      <c r="P244" t="s">
        <v>6586</v>
      </c>
      <c r="Q244">
        <v>1.0325599999999999</v>
      </c>
      <c r="R244" t="s">
        <v>3304</v>
      </c>
      <c r="S244">
        <v>27.69796628583936</v>
      </c>
    </row>
    <row r="245" spans="1:19">
      <c r="A245" s="37" t="s">
        <v>1318</v>
      </c>
      <c r="B245" s="37">
        <v>13</v>
      </c>
      <c r="C245" s="39">
        <v>1</v>
      </c>
      <c r="D245" s="37" t="s">
        <v>6617</v>
      </c>
      <c r="E245" s="37" t="s">
        <v>6586</v>
      </c>
      <c r="F245" s="37">
        <v>56.057569295442718</v>
      </c>
      <c r="H245" t="s">
        <v>191</v>
      </c>
      <c r="I245">
        <v>23</v>
      </c>
      <c r="J245" t="s">
        <v>248</v>
      </c>
      <c r="K245">
        <v>220</v>
      </c>
      <c r="L245">
        <v>0.49375200000000002</v>
      </c>
      <c r="M245">
        <v>2</v>
      </c>
      <c r="N245">
        <v>54.436999999999998</v>
      </c>
      <c r="O245" t="s">
        <v>6617</v>
      </c>
      <c r="P245" t="s">
        <v>6586</v>
      </c>
      <c r="Q245">
        <v>1.0325599999999999</v>
      </c>
      <c r="R245" t="s">
        <v>3304</v>
      </c>
      <c r="S245">
        <v>27.75353759943744</v>
      </c>
    </row>
    <row r="246" spans="1:19">
      <c r="A246" s="37" t="s">
        <v>1318</v>
      </c>
      <c r="B246" s="37">
        <v>13</v>
      </c>
      <c r="C246" s="39">
        <v>2</v>
      </c>
      <c r="D246" s="37" t="s">
        <v>6485</v>
      </c>
      <c r="E246" s="37" t="s">
        <v>6586</v>
      </c>
      <c r="F246" s="37">
        <v>61.950886318738398</v>
      </c>
      <c r="H246" t="s">
        <v>191</v>
      </c>
      <c r="I246">
        <v>23</v>
      </c>
      <c r="J246" t="s">
        <v>248</v>
      </c>
      <c r="K246">
        <v>220</v>
      </c>
      <c r="L246">
        <v>0.49375200000000002</v>
      </c>
      <c r="M246">
        <v>3</v>
      </c>
      <c r="N246">
        <v>39.161000000000001</v>
      </c>
      <c r="O246" t="s">
        <v>6617</v>
      </c>
      <c r="P246" t="s">
        <v>6586</v>
      </c>
      <c r="Q246">
        <v>1.0325599999999999</v>
      </c>
      <c r="R246" t="s">
        <v>3304</v>
      </c>
      <c r="S246">
        <v>19.965396438664321</v>
      </c>
    </row>
    <row r="247" spans="1:19">
      <c r="A247" s="37" t="s">
        <v>1318</v>
      </c>
      <c r="B247" s="37">
        <v>13</v>
      </c>
      <c r="C247" s="39">
        <v>2</v>
      </c>
      <c r="D247" s="37" t="s">
        <v>6617</v>
      </c>
      <c r="E247" s="37" t="s">
        <v>6586</v>
      </c>
      <c r="F247" s="37">
        <v>56.172261651211507</v>
      </c>
      <c r="H247" t="s">
        <v>191</v>
      </c>
      <c r="I247">
        <v>23</v>
      </c>
      <c r="J247" t="s">
        <v>248</v>
      </c>
      <c r="K247">
        <v>220</v>
      </c>
      <c r="L247">
        <v>0.49375200000000002</v>
      </c>
      <c r="M247">
        <v>4</v>
      </c>
      <c r="N247">
        <v>38.674999999999997</v>
      </c>
      <c r="O247" t="s">
        <v>6617</v>
      </c>
      <c r="P247" t="s">
        <v>6586</v>
      </c>
      <c r="Q247">
        <v>1.0325599999999999</v>
      </c>
      <c r="R247" t="s">
        <v>3304</v>
      </c>
      <c r="S247">
        <v>19.717619756015999</v>
      </c>
    </row>
    <row r="248" spans="1:19">
      <c r="A248" s="37" t="s">
        <v>1318</v>
      </c>
      <c r="B248" s="37">
        <v>13</v>
      </c>
      <c r="C248" s="39">
        <v>3</v>
      </c>
      <c r="D248" s="37" t="s">
        <v>6485</v>
      </c>
      <c r="E248" s="37" t="s">
        <v>6586</v>
      </c>
      <c r="F248" s="37">
        <v>34.143872387338078</v>
      </c>
      <c r="H248" t="s">
        <v>191</v>
      </c>
      <c r="I248">
        <v>23</v>
      </c>
      <c r="J248" t="s">
        <v>248</v>
      </c>
      <c r="K248">
        <v>220</v>
      </c>
      <c r="L248">
        <v>0.49375200000000002</v>
      </c>
      <c r="M248">
        <v>5</v>
      </c>
      <c r="N248">
        <v>49.055</v>
      </c>
      <c r="O248" t="s">
        <v>6617</v>
      </c>
      <c r="P248" t="s">
        <v>6586</v>
      </c>
      <c r="Q248">
        <v>1.0325599999999999</v>
      </c>
      <c r="R248" t="s">
        <v>3304</v>
      </c>
      <c r="S248">
        <v>25.0096402619616</v>
      </c>
    </row>
    <row r="249" spans="1:19">
      <c r="A249" s="37" t="s">
        <v>1318</v>
      </c>
      <c r="B249" s="37">
        <v>13</v>
      </c>
      <c r="C249" s="39">
        <v>3</v>
      </c>
      <c r="D249" s="37" t="s">
        <v>6617</v>
      </c>
      <c r="E249" s="37" t="s">
        <v>6586</v>
      </c>
      <c r="F249" s="37">
        <v>40.434089379088476</v>
      </c>
      <c r="H249" t="s">
        <v>191</v>
      </c>
      <c r="I249">
        <v>23</v>
      </c>
      <c r="J249" t="s">
        <v>248</v>
      </c>
      <c r="K249">
        <v>220</v>
      </c>
      <c r="L249">
        <v>0.49375200000000002</v>
      </c>
      <c r="M249">
        <v>6</v>
      </c>
      <c r="N249">
        <v>58.87</v>
      </c>
      <c r="O249" t="s">
        <v>6617</v>
      </c>
      <c r="P249" t="s">
        <v>6586</v>
      </c>
      <c r="Q249">
        <v>1.0325599999999999</v>
      </c>
      <c r="R249" t="s">
        <v>3304</v>
      </c>
      <c r="S249">
        <v>30.013607628614398</v>
      </c>
    </row>
    <row r="250" spans="1:19">
      <c r="A250" s="37" t="s">
        <v>1318</v>
      </c>
      <c r="B250" s="37">
        <v>13</v>
      </c>
      <c r="C250" s="39">
        <v>4</v>
      </c>
      <c r="D250" s="37" t="s">
        <v>6485</v>
      </c>
      <c r="E250" s="37" t="s">
        <v>6586</v>
      </c>
      <c r="F250" s="37">
        <v>33.118695461868803</v>
      </c>
      <c r="H250" t="s">
        <v>191</v>
      </c>
      <c r="I250">
        <v>23</v>
      </c>
      <c r="J250" t="s">
        <v>248</v>
      </c>
      <c r="K250">
        <v>220</v>
      </c>
      <c r="L250">
        <v>0.49375200000000002</v>
      </c>
      <c r="M250">
        <v>1</v>
      </c>
      <c r="N250">
        <v>65.05</v>
      </c>
      <c r="O250" t="s">
        <v>6485</v>
      </c>
      <c r="P250" t="s">
        <v>6586</v>
      </c>
      <c r="Q250">
        <v>1.0325599999999999</v>
      </c>
      <c r="R250" t="s">
        <v>3304</v>
      </c>
      <c r="S250">
        <v>33.164348161055997</v>
      </c>
    </row>
    <row r="251" spans="1:19">
      <c r="A251" s="37" t="s">
        <v>1318</v>
      </c>
      <c r="B251" s="37">
        <v>13</v>
      </c>
      <c r="C251" s="39">
        <v>4</v>
      </c>
      <c r="D251" s="37" t="s">
        <v>6617</v>
      </c>
      <c r="E251" s="37" t="s">
        <v>6586</v>
      </c>
      <c r="F251" s="37">
        <v>39.934063990236467</v>
      </c>
      <c r="H251" t="s">
        <v>191</v>
      </c>
      <c r="I251">
        <v>23</v>
      </c>
      <c r="J251" t="s">
        <v>248</v>
      </c>
      <c r="K251">
        <v>220</v>
      </c>
      <c r="L251">
        <v>0.49375200000000002</v>
      </c>
      <c r="M251">
        <v>2</v>
      </c>
      <c r="N251">
        <v>60.055999999999997</v>
      </c>
      <c r="O251" t="s">
        <v>6485</v>
      </c>
      <c r="P251" t="s">
        <v>6586</v>
      </c>
      <c r="Q251">
        <v>1.0325599999999999</v>
      </c>
      <c r="R251" t="s">
        <v>3304</v>
      </c>
      <c r="S251">
        <v>30.618264306846719</v>
      </c>
    </row>
    <row r="252" spans="1:19">
      <c r="A252" s="37" t="s">
        <v>1318</v>
      </c>
      <c r="B252" s="37">
        <v>13</v>
      </c>
      <c r="C252" s="39">
        <v>5</v>
      </c>
      <c r="D252" s="37" t="s">
        <v>6485</v>
      </c>
      <c r="E252" s="37" t="s">
        <v>6586</v>
      </c>
      <c r="F252" s="37">
        <v>52.401633265689433</v>
      </c>
      <c r="H252" t="s">
        <v>191</v>
      </c>
      <c r="I252">
        <v>23</v>
      </c>
      <c r="J252" t="s">
        <v>248</v>
      </c>
      <c r="K252">
        <v>220</v>
      </c>
      <c r="L252">
        <v>0.49375200000000002</v>
      </c>
      <c r="M252">
        <v>3</v>
      </c>
      <c r="N252">
        <v>33.075000000000003</v>
      </c>
      <c r="O252" t="s">
        <v>6485</v>
      </c>
      <c r="P252" t="s">
        <v>6586</v>
      </c>
      <c r="Q252">
        <v>1.0325599999999999</v>
      </c>
      <c r="R252" t="s">
        <v>3304</v>
      </c>
      <c r="S252">
        <v>16.862579791344</v>
      </c>
    </row>
    <row r="253" spans="1:19">
      <c r="A253" s="37" t="s">
        <v>1318</v>
      </c>
      <c r="B253" s="37">
        <v>13</v>
      </c>
      <c r="C253" s="39">
        <v>5</v>
      </c>
      <c r="D253" s="37" t="s">
        <v>6617</v>
      </c>
      <c r="E253" s="37" t="s">
        <v>6586</v>
      </c>
      <c r="F253" s="37">
        <v>50.646348489475677</v>
      </c>
      <c r="H253" t="s">
        <v>191</v>
      </c>
      <c r="I253">
        <v>23</v>
      </c>
      <c r="J253" t="s">
        <v>248</v>
      </c>
      <c r="K253">
        <v>220</v>
      </c>
      <c r="L253">
        <v>0.49375200000000002</v>
      </c>
      <c r="M253">
        <v>4</v>
      </c>
      <c r="N253">
        <v>32.075000000000003</v>
      </c>
      <c r="O253" t="s">
        <v>6485</v>
      </c>
      <c r="P253" t="s">
        <v>6586</v>
      </c>
      <c r="Q253">
        <v>1.0325599999999999</v>
      </c>
      <c r="R253" t="s">
        <v>3304</v>
      </c>
      <c r="S253">
        <v>16.352751226224001</v>
      </c>
    </row>
    <row r="254" spans="1:19">
      <c r="A254" s="37" t="s">
        <v>1318</v>
      </c>
      <c r="B254" s="37">
        <v>13</v>
      </c>
      <c r="C254" s="39">
        <v>6</v>
      </c>
      <c r="D254" s="37" t="s">
        <v>6485</v>
      </c>
      <c r="E254" s="37" t="s">
        <v>6586</v>
      </c>
      <c r="F254" s="37">
        <v>81.118685176329748</v>
      </c>
      <c r="H254" t="s">
        <v>191</v>
      </c>
      <c r="I254">
        <v>23</v>
      </c>
      <c r="J254" t="s">
        <v>248</v>
      </c>
      <c r="K254">
        <v>220</v>
      </c>
      <c r="L254">
        <v>0.49375200000000002</v>
      </c>
      <c r="M254">
        <v>5</v>
      </c>
      <c r="N254">
        <v>50.77</v>
      </c>
      <c r="O254" t="s">
        <v>6485</v>
      </c>
      <c r="P254" t="s">
        <v>6586</v>
      </c>
      <c r="Q254">
        <v>1.0325599999999999</v>
      </c>
      <c r="R254" t="s">
        <v>3304</v>
      </c>
      <c r="S254">
        <v>25.883996251142399</v>
      </c>
    </row>
    <row r="255" spans="1:19">
      <c r="A255" s="37" t="s">
        <v>1318</v>
      </c>
      <c r="B255" s="37">
        <v>13</v>
      </c>
      <c r="C255" s="39">
        <v>6</v>
      </c>
      <c r="D255" s="37" t="s">
        <v>6617</v>
      </c>
      <c r="E255" s="37" t="s">
        <v>6586</v>
      </c>
      <c r="F255" s="37">
        <v>60.751257350774232</v>
      </c>
      <c r="H255" t="s">
        <v>191</v>
      </c>
      <c r="I255">
        <v>23</v>
      </c>
      <c r="J255" t="s">
        <v>248</v>
      </c>
      <c r="K255">
        <v>220</v>
      </c>
      <c r="L255">
        <v>0.49375200000000002</v>
      </c>
      <c r="M255">
        <v>6</v>
      </c>
      <c r="N255">
        <v>78.662999999999997</v>
      </c>
      <c r="O255" t="s">
        <v>6485</v>
      </c>
      <c r="P255" t="s">
        <v>6586</v>
      </c>
      <c r="Q255">
        <v>1.0325599999999999</v>
      </c>
      <c r="R255" t="s">
        <v>3304</v>
      </c>
      <c r="S255">
        <v>40.104644418034553</v>
      </c>
    </row>
    <row r="256" spans="1:19">
      <c r="A256" s="37" t="s">
        <v>1347</v>
      </c>
      <c r="B256" s="39">
        <v>23</v>
      </c>
      <c r="C256" s="39">
        <v>1</v>
      </c>
      <c r="D256" s="37" t="s">
        <v>6485</v>
      </c>
      <c r="E256" s="37" t="s">
        <v>6586</v>
      </c>
      <c r="F256" s="37">
        <v>72.401662070326395</v>
      </c>
      <c r="H256" t="s">
        <v>191</v>
      </c>
      <c r="I256">
        <v>23</v>
      </c>
      <c r="J256" t="s">
        <v>521</v>
      </c>
      <c r="K256">
        <v>220</v>
      </c>
      <c r="L256">
        <v>0.16069600000000001</v>
      </c>
      <c r="M256">
        <v>1</v>
      </c>
      <c r="N256">
        <v>54.655999999999999</v>
      </c>
      <c r="O256" t="s">
        <v>6617</v>
      </c>
      <c r="P256" t="s">
        <v>6586</v>
      </c>
      <c r="Q256">
        <v>1.0325599999999999</v>
      </c>
      <c r="R256" t="s">
        <v>3304</v>
      </c>
      <c r="S256">
        <v>9.0689750747545599</v>
      </c>
    </row>
    <row r="257" spans="1:19">
      <c r="A257" s="37" t="s">
        <v>1347</v>
      </c>
      <c r="B257" s="39">
        <v>23</v>
      </c>
      <c r="C257" s="39">
        <v>1</v>
      </c>
      <c r="D257" s="37" t="s">
        <v>6617</v>
      </c>
      <c r="E257" s="37" t="s">
        <v>6586</v>
      </c>
      <c r="F257" s="37">
        <v>57.670504158482238</v>
      </c>
      <c r="H257" t="s">
        <v>191</v>
      </c>
      <c r="I257">
        <v>23</v>
      </c>
      <c r="J257" t="s">
        <v>521</v>
      </c>
      <c r="K257">
        <v>220</v>
      </c>
      <c r="L257">
        <v>0.16069600000000001</v>
      </c>
      <c r="M257">
        <v>2</v>
      </c>
      <c r="N257">
        <v>54.720999999999997</v>
      </c>
      <c r="O257" t="s">
        <v>6617</v>
      </c>
      <c r="P257" t="s">
        <v>6586</v>
      </c>
      <c r="Q257">
        <v>1.0325599999999999</v>
      </c>
      <c r="R257" t="s">
        <v>3304</v>
      </c>
      <c r="S257">
        <v>9.0797604117689588</v>
      </c>
    </row>
    <row r="258" spans="1:19">
      <c r="A258" s="37" t="s">
        <v>1347</v>
      </c>
      <c r="B258" s="39">
        <v>23</v>
      </c>
      <c r="C258" s="39">
        <v>2</v>
      </c>
      <c r="D258" s="37" t="s">
        <v>6485</v>
      </c>
      <c r="E258" s="37" t="s">
        <v>6586</v>
      </c>
      <c r="F258" s="37">
        <v>65.306201872908559</v>
      </c>
      <c r="H258" t="s">
        <v>191</v>
      </c>
      <c r="I258">
        <v>23</v>
      </c>
      <c r="J258" t="s">
        <v>521</v>
      </c>
      <c r="K258">
        <v>220</v>
      </c>
      <c r="L258">
        <v>0.16069600000000001</v>
      </c>
      <c r="M258">
        <v>3</v>
      </c>
      <c r="N258">
        <v>39.21</v>
      </c>
      <c r="O258" t="s">
        <v>6617</v>
      </c>
      <c r="P258" t="s">
        <v>6586</v>
      </c>
      <c r="Q258">
        <v>1.0325599999999999</v>
      </c>
      <c r="R258" t="s">
        <v>3304</v>
      </c>
      <c r="S258">
        <v>6.5060471436096003</v>
      </c>
    </row>
    <row r="259" spans="1:19">
      <c r="A259" s="37" t="s">
        <v>1347</v>
      </c>
      <c r="B259" s="39">
        <v>23</v>
      </c>
      <c r="C259" s="39">
        <v>2</v>
      </c>
      <c r="D259" s="37" t="s">
        <v>6617</v>
      </c>
      <c r="E259" s="37" t="s">
        <v>6586</v>
      </c>
      <c r="F259" s="37">
        <v>57.8893278267212</v>
      </c>
      <c r="H259" t="s">
        <v>191</v>
      </c>
      <c r="I259">
        <v>23</v>
      </c>
      <c r="J259" t="s">
        <v>521</v>
      </c>
      <c r="K259">
        <v>220</v>
      </c>
      <c r="L259">
        <v>0.16069600000000001</v>
      </c>
      <c r="M259">
        <v>4</v>
      </c>
      <c r="N259">
        <v>38.832999999999998</v>
      </c>
      <c r="O259" t="s">
        <v>6617</v>
      </c>
      <c r="P259" t="s">
        <v>6586</v>
      </c>
      <c r="Q259">
        <v>1.0325599999999999</v>
      </c>
      <c r="R259" t="s">
        <v>3304</v>
      </c>
      <c r="S259">
        <v>6.4434921889260792</v>
      </c>
    </row>
    <row r="260" spans="1:19">
      <c r="A260" s="37" t="s">
        <v>1347</v>
      </c>
      <c r="B260" s="39">
        <v>23</v>
      </c>
      <c r="C260" s="39">
        <v>3</v>
      </c>
      <c r="D260" s="37" t="s">
        <v>6485</v>
      </c>
      <c r="E260" s="37" t="s">
        <v>6586</v>
      </c>
      <c r="F260" s="37">
        <v>33.605771248327756</v>
      </c>
      <c r="H260" t="s">
        <v>191</v>
      </c>
      <c r="I260">
        <v>23</v>
      </c>
      <c r="J260" t="s">
        <v>521</v>
      </c>
      <c r="K260">
        <v>220</v>
      </c>
      <c r="L260">
        <v>0.16069600000000001</v>
      </c>
      <c r="M260">
        <v>5</v>
      </c>
      <c r="N260">
        <v>49.430999999999997</v>
      </c>
      <c r="O260" t="s">
        <v>6617</v>
      </c>
      <c r="P260" t="s">
        <v>6586</v>
      </c>
      <c r="Q260">
        <v>1.0325599999999999</v>
      </c>
      <c r="R260" t="s">
        <v>3304</v>
      </c>
      <c r="S260">
        <v>8.2019999070585587</v>
      </c>
    </row>
    <row r="261" spans="1:19">
      <c r="A261" s="37" t="s">
        <v>1347</v>
      </c>
      <c r="B261" s="39">
        <v>23</v>
      </c>
      <c r="C261" s="39">
        <v>3</v>
      </c>
      <c r="D261" s="37" t="s">
        <v>6617</v>
      </c>
      <c r="E261" s="37" t="s">
        <v>6586</v>
      </c>
      <c r="F261" s="37">
        <v>40.411967683545917</v>
      </c>
      <c r="H261" t="s">
        <v>191</v>
      </c>
      <c r="I261">
        <v>23</v>
      </c>
      <c r="J261" t="s">
        <v>521</v>
      </c>
      <c r="K261">
        <v>220</v>
      </c>
      <c r="L261">
        <v>0.16069600000000001</v>
      </c>
      <c r="M261">
        <v>6</v>
      </c>
      <c r="N261">
        <v>59.482999999999997</v>
      </c>
      <c r="O261" t="s">
        <v>6617</v>
      </c>
      <c r="P261" t="s">
        <v>6586</v>
      </c>
      <c r="Q261">
        <v>1.0325599999999999</v>
      </c>
      <c r="R261" t="s">
        <v>3304</v>
      </c>
      <c r="S261">
        <v>9.8699107942700799</v>
      </c>
    </row>
    <row r="262" spans="1:19">
      <c r="A262" s="37" t="s">
        <v>1347</v>
      </c>
      <c r="B262" s="39">
        <v>23</v>
      </c>
      <c r="C262" s="39">
        <v>4</v>
      </c>
      <c r="D262" s="37" t="s">
        <v>6485</v>
      </c>
      <c r="E262" s="37" t="s">
        <v>6586</v>
      </c>
      <c r="F262" s="37">
        <v>31.890154045679999</v>
      </c>
      <c r="H262" t="s">
        <v>191</v>
      </c>
      <c r="I262">
        <v>23</v>
      </c>
      <c r="J262" t="s">
        <v>521</v>
      </c>
      <c r="K262">
        <v>220</v>
      </c>
      <c r="L262">
        <v>0.16069600000000001</v>
      </c>
      <c r="M262">
        <v>1</v>
      </c>
      <c r="N262">
        <v>65.977999999999994</v>
      </c>
      <c r="O262" t="s">
        <v>6485</v>
      </c>
      <c r="P262" t="s">
        <v>6586</v>
      </c>
      <c r="Q262">
        <v>1.0325599999999999</v>
      </c>
      <c r="R262" t="s">
        <v>3304</v>
      </c>
      <c r="S262">
        <v>10.94761485440128</v>
      </c>
    </row>
    <row r="263" spans="1:19">
      <c r="A263" s="37" t="s">
        <v>1347</v>
      </c>
      <c r="B263" s="39">
        <v>23</v>
      </c>
      <c r="C263" s="39">
        <v>4</v>
      </c>
      <c r="D263" s="37" t="s">
        <v>6617</v>
      </c>
      <c r="E263" s="37" t="s">
        <v>6586</v>
      </c>
      <c r="F263" s="37">
        <v>39.8865583641944</v>
      </c>
      <c r="H263" t="s">
        <v>191</v>
      </c>
      <c r="I263">
        <v>23</v>
      </c>
      <c r="J263" t="s">
        <v>521</v>
      </c>
      <c r="K263">
        <v>220</v>
      </c>
      <c r="L263">
        <v>0.16069600000000001</v>
      </c>
      <c r="M263">
        <v>2</v>
      </c>
      <c r="N263">
        <v>60.713999999999999</v>
      </c>
      <c r="O263" t="s">
        <v>6485</v>
      </c>
      <c r="P263" t="s">
        <v>6586</v>
      </c>
      <c r="Q263">
        <v>1.0325599999999999</v>
      </c>
      <c r="R263" t="s">
        <v>3304</v>
      </c>
      <c r="S263">
        <v>10.07416848449664</v>
      </c>
    </row>
    <row r="264" spans="1:19">
      <c r="A264" s="37" t="s">
        <v>1347</v>
      </c>
      <c r="B264" s="39">
        <v>23</v>
      </c>
      <c r="C264" s="39">
        <v>5</v>
      </c>
      <c r="D264" s="37" t="s">
        <v>6485</v>
      </c>
      <c r="E264" s="37" t="s">
        <v>6586</v>
      </c>
      <c r="F264" s="37">
        <v>53.142251857539598</v>
      </c>
      <c r="H264" t="s">
        <v>191</v>
      </c>
      <c r="I264">
        <v>23</v>
      </c>
      <c r="J264" t="s">
        <v>521</v>
      </c>
      <c r="K264">
        <v>220</v>
      </c>
      <c r="L264">
        <v>0.16069600000000001</v>
      </c>
      <c r="M264">
        <v>3</v>
      </c>
      <c r="N264">
        <v>33.551000000000002</v>
      </c>
      <c r="O264" t="s">
        <v>6485</v>
      </c>
      <c r="P264" t="s">
        <v>6586</v>
      </c>
      <c r="Q264">
        <v>1.0325599999999999</v>
      </c>
      <c r="R264" t="s">
        <v>3304</v>
      </c>
      <c r="S264">
        <v>5.56705911030976</v>
      </c>
    </row>
    <row r="265" spans="1:19">
      <c r="A265" s="37" t="s">
        <v>1347</v>
      </c>
      <c r="B265" s="39">
        <v>23</v>
      </c>
      <c r="C265" s="39">
        <v>5</v>
      </c>
      <c r="D265" s="37" t="s">
        <v>6617</v>
      </c>
      <c r="E265" s="37" t="s">
        <v>6586</v>
      </c>
      <c r="F265" s="37">
        <v>51.37801071164408</v>
      </c>
      <c r="H265" t="s">
        <v>191</v>
      </c>
      <c r="I265">
        <v>23</v>
      </c>
      <c r="J265" t="s">
        <v>521</v>
      </c>
      <c r="K265">
        <v>220</v>
      </c>
      <c r="L265">
        <v>0.16069600000000001</v>
      </c>
      <c r="M265">
        <v>4</v>
      </c>
      <c r="N265">
        <v>32.537999999999997</v>
      </c>
      <c r="O265" t="s">
        <v>6485</v>
      </c>
      <c r="P265" t="s">
        <v>6586</v>
      </c>
      <c r="Q265">
        <v>1.0325599999999999</v>
      </c>
      <c r="R265" t="s">
        <v>3304</v>
      </c>
      <c r="S265">
        <v>5.3989737811468794</v>
      </c>
    </row>
    <row r="266" spans="1:19">
      <c r="A266" s="37" t="s">
        <v>1347</v>
      </c>
      <c r="B266" s="39">
        <v>23</v>
      </c>
      <c r="C266" s="39">
        <v>6</v>
      </c>
      <c r="D266" s="37" t="s">
        <v>6485</v>
      </c>
      <c r="E266" s="37" t="s">
        <v>6586</v>
      </c>
      <c r="F266" s="37">
        <v>90.736807868760962</v>
      </c>
      <c r="H266" t="s">
        <v>191</v>
      </c>
      <c r="I266">
        <v>23</v>
      </c>
      <c r="J266" t="s">
        <v>521</v>
      </c>
      <c r="K266">
        <v>220</v>
      </c>
      <c r="L266">
        <v>0.16069600000000001</v>
      </c>
      <c r="M266">
        <v>5</v>
      </c>
      <c r="N266">
        <v>52.204000000000001</v>
      </c>
      <c r="O266" t="s">
        <v>6485</v>
      </c>
      <c r="P266" t="s">
        <v>6586</v>
      </c>
      <c r="Q266">
        <v>1.0325599999999999</v>
      </c>
      <c r="R266" t="s">
        <v>3304</v>
      </c>
      <c r="S266">
        <v>8.6621189769190394</v>
      </c>
    </row>
    <row r="267" spans="1:19">
      <c r="A267" s="37" t="s">
        <v>1347</v>
      </c>
      <c r="B267" s="39">
        <v>23</v>
      </c>
      <c r="C267" s="39">
        <v>6</v>
      </c>
      <c r="D267" s="37" t="s">
        <v>6617</v>
      </c>
      <c r="E267" s="37" t="s">
        <v>6586</v>
      </c>
      <c r="F267" s="37">
        <v>63.467204180149352</v>
      </c>
      <c r="H267" t="s">
        <v>191</v>
      </c>
      <c r="I267">
        <v>23</v>
      </c>
      <c r="J267" t="s">
        <v>521</v>
      </c>
      <c r="K267">
        <v>220</v>
      </c>
      <c r="L267">
        <v>0.16069600000000001</v>
      </c>
      <c r="M267">
        <v>6</v>
      </c>
      <c r="N267">
        <v>80.929000000000002</v>
      </c>
      <c r="O267" t="s">
        <v>6485</v>
      </c>
      <c r="P267" t="s">
        <v>6586</v>
      </c>
      <c r="Q267">
        <v>1.0325599999999999</v>
      </c>
      <c r="R267" t="s">
        <v>3304</v>
      </c>
      <c r="S267">
        <v>13.428408295975039</v>
      </c>
    </row>
    <row r="268" spans="1:19">
      <c r="A268" s="37" t="s">
        <v>1373</v>
      </c>
      <c r="B268" s="39">
        <v>13</v>
      </c>
      <c r="C268" s="39">
        <v>1</v>
      </c>
      <c r="D268" s="37" t="s">
        <v>6485</v>
      </c>
      <c r="E268" s="37" t="s">
        <v>6586</v>
      </c>
      <c r="F268" s="37">
        <v>69.705929628833999</v>
      </c>
      <c r="H268" t="s">
        <v>191</v>
      </c>
      <c r="I268">
        <v>23</v>
      </c>
      <c r="J268" t="s">
        <v>635</v>
      </c>
      <c r="K268">
        <v>220</v>
      </c>
      <c r="L268">
        <v>0.345553</v>
      </c>
      <c r="M268">
        <v>1</v>
      </c>
      <c r="N268">
        <v>54.554000000000002</v>
      </c>
      <c r="O268" t="s">
        <v>6617</v>
      </c>
      <c r="P268" t="s">
        <v>6586</v>
      </c>
      <c r="Q268">
        <v>1.0325599999999999</v>
      </c>
      <c r="R268" t="s">
        <v>3304</v>
      </c>
      <c r="S268">
        <v>19.465096636666718</v>
      </c>
    </row>
    <row r="269" spans="1:19">
      <c r="A269" s="37" t="s">
        <v>1373</v>
      </c>
      <c r="B269" s="39">
        <v>13</v>
      </c>
      <c r="C269" s="39">
        <v>1</v>
      </c>
      <c r="D269" s="37" t="s">
        <v>6617</v>
      </c>
      <c r="E269" s="37" t="s">
        <v>6586</v>
      </c>
      <c r="F269" s="37">
        <v>57.096497441967998</v>
      </c>
      <c r="H269" t="s">
        <v>191</v>
      </c>
      <c r="I269">
        <v>23</v>
      </c>
      <c r="J269" t="s">
        <v>635</v>
      </c>
      <c r="K269">
        <v>220</v>
      </c>
      <c r="L269">
        <v>0.345553</v>
      </c>
      <c r="M269">
        <v>2</v>
      </c>
      <c r="N269">
        <v>54.600999999999999</v>
      </c>
      <c r="O269" t="s">
        <v>6617</v>
      </c>
      <c r="P269" t="s">
        <v>6586</v>
      </c>
      <c r="Q269">
        <v>1.0325599999999999</v>
      </c>
      <c r="R269" t="s">
        <v>3304</v>
      </c>
      <c r="S269">
        <v>19.481866434333671</v>
      </c>
    </row>
    <row r="270" spans="1:19">
      <c r="A270" s="37" t="s">
        <v>1373</v>
      </c>
      <c r="B270" s="39">
        <v>13</v>
      </c>
      <c r="C270" s="39">
        <v>2</v>
      </c>
      <c r="D270" s="37" t="s">
        <v>6485</v>
      </c>
      <c r="E270" s="37" t="s">
        <v>6586</v>
      </c>
      <c r="F270" s="37">
        <v>63.740582259726239</v>
      </c>
      <c r="H270" t="s">
        <v>191</v>
      </c>
      <c r="I270">
        <v>23</v>
      </c>
      <c r="J270" t="s">
        <v>635</v>
      </c>
      <c r="K270">
        <v>220</v>
      </c>
      <c r="L270">
        <v>0.345553</v>
      </c>
      <c r="M270">
        <v>3</v>
      </c>
      <c r="N270">
        <v>39.219000000000001</v>
      </c>
      <c r="O270" t="s">
        <v>6617</v>
      </c>
      <c r="P270" t="s">
        <v>6586</v>
      </c>
      <c r="Q270">
        <v>1.0325599999999999</v>
      </c>
      <c r="R270" t="s">
        <v>3304</v>
      </c>
      <c r="S270">
        <v>13.99350414256392</v>
      </c>
    </row>
    <row r="271" spans="1:19">
      <c r="A271" s="37" t="s">
        <v>1373</v>
      </c>
      <c r="B271" s="39">
        <v>13</v>
      </c>
      <c r="C271" s="39">
        <v>2</v>
      </c>
      <c r="D271" s="37" t="s">
        <v>6617</v>
      </c>
      <c r="E271" s="37" t="s">
        <v>6586</v>
      </c>
      <c r="F271" s="37">
        <v>57.214569240644472</v>
      </c>
      <c r="H271" t="s">
        <v>191</v>
      </c>
      <c r="I271">
        <v>23</v>
      </c>
      <c r="J271" t="s">
        <v>635</v>
      </c>
      <c r="K271">
        <v>220</v>
      </c>
      <c r="L271">
        <v>0.345553</v>
      </c>
      <c r="M271">
        <v>4</v>
      </c>
      <c r="N271">
        <v>38.890999999999998</v>
      </c>
      <c r="O271" t="s">
        <v>6617</v>
      </c>
      <c r="P271" t="s">
        <v>6586</v>
      </c>
      <c r="Q271">
        <v>1.0325599999999999</v>
      </c>
      <c r="R271" t="s">
        <v>3304</v>
      </c>
      <c r="S271">
        <v>13.876472363100881</v>
      </c>
    </row>
    <row r="272" spans="1:19">
      <c r="A272" s="37" t="s">
        <v>1373</v>
      </c>
      <c r="B272" s="39">
        <v>13</v>
      </c>
      <c r="C272" s="39">
        <v>3</v>
      </c>
      <c r="D272" s="37" t="s">
        <v>6485</v>
      </c>
      <c r="E272" s="37" t="s">
        <v>6586</v>
      </c>
      <c r="F272" s="37">
        <v>33.995754886218315</v>
      </c>
      <c r="H272" t="s">
        <v>191</v>
      </c>
      <c r="I272">
        <v>23</v>
      </c>
      <c r="J272" t="s">
        <v>635</v>
      </c>
      <c r="K272">
        <v>220</v>
      </c>
      <c r="L272">
        <v>0.345553</v>
      </c>
      <c r="M272">
        <v>5</v>
      </c>
      <c r="N272">
        <v>49.421999999999997</v>
      </c>
      <c r="O272" t="s">
        <v>6617</v>
      </c>
      <c r="P272" t="s">
        <v>6586</v>
      </c>
      <c r="Q272">
        <v>1.0325599999999999</v>
      </c>
      <c r="R272" t="s">
        <v>3304</v>
      </c>
      <c r="S272">
        <v>17.633977453116959</v>
      </c>
    </row>
    <row r="273" spans="1:19">
      <c r="A273" s="37" t="s">
        <v>1373</v>
      </c>
      <c r="B273" s="39">
        <v>13</v>
      </c>
      <c r="C273" s="39">
        <v>3</v>
      </c>
      <c r="D273" s="37" t="s">
        <v>6617</v>
      </c>
      <c r="E273" s="37" t="s">
        <v>6586</v>
      </c>
      <c r="F273" s="37">
        <v>40.415041747866162</v>
      </c>
      <c r="H273" t="s">
        <v>191</v>
      </c>
      <c r="I273">
        <v>23</v>
      </c>
      <c r="J273" t="s">
        <v>635</v>
      </c>
      <c r="K273">
        <v>220</v>
      </c>
      <c r="L273">
        <v>0.345553</v>
      </c>
      <c r="M273">
        <v>6</v>
      </c>
      <c r="N273">
        <v>59.421999999999997</v>
      </c>
      <c r="O273" t="s">
        <v>6617</v>
      </c>
      <c r="P273" t="s">
        <v>6586</v>
      </c>
      <c r="Q273">
        <v>1.0325599999999999</v>
      </c>
      <c r="R273" t="s">
        <v>3304</v>
      </c>
      <c r="S273">
        <v>21.202019509916958</v>
      </c>
    </row>
    <row r="274" spans="1:19">
      <c r="A274" s="37" t="s">
        <v>1373</v>
      </c>
      <c r="B274" s="39">
        <v>13</v>
      </c>
      <c r="C274" s="39">
        <v>4</v>
      </c>
      <c r="D274" s="37" t="s">
        <v>6485</v>
      </c>
      <c r="E274" s="37" t="s">
        <v>6586</v>
      </c>
      <c r="F274" s="37">
        <v>32.956249427136562</v>
      </c>
      <c r="H274" t="s">
        <v>191</v>
      </c>
      <c r="I274">
        <v>23</v>
      </c>
      <c r="J274" t="s">
        <v>635</v>
      </c>
      <c r="K274">
        <v>220</v>
      </c>
      <c r="L274">
        <v>0.345553</v>
      </c>
      <c r="M274">
        <v>1</v>
      </c>
      <c r="N274">
        <v>65.850999999999999</v>
      </c>
      <c r="O274" t="s">
        <v>6485</v>
      </c>
      <c r="P274" t="s">
        <v>6586</v>
      </c>
      <c r="Q274">
        <v>1.0325599999999999</v>
      </c>
      <c r="R274" t="s">
        <v>3304</v>
      </c>
      <c r="S274">
        <v>23.495913748233679</v>
      </c>
    </row>
    <row r="275" spans="1:19">
      <c r="A275" s="37" t="s">
        <v>1373</v>
      </c>
      <c r="B275" s="39">
        <v>13</v>
      </c>
      <c r="C275" s="39">
        <v>4</v>
      </c>
      <c r="D275" s="37" t="s">
        <v>6617</v>
      </c>
      <c r="E275" s="37" t="s">
        <v>6586</v>
      </c>
      <c r="F275" s="37">
        <v>39.904777705728961</v>
      </c>
      <c r="H275" t="s">
        <v>191</v>
      </c>
      <c r="I275">
        <v>23</v>
      </c>
      <c r="J275" t="s">
        <v>635</v>
      </c>
      <c r="K275">
        <v>220</v>
      </c>
      <c r="L275">
        <v>0.345553</v>
      </c>
      <c r="M275">
        <v>2</v>
      </c>
      <c r="N275">
        <v>60.558</v>
      </c>
      <c r="O275" t="s">
        <v>6485</v>
      </c>
      <c r="P275" t="s">
        <v>6586</v>
      </c>
      <c r="Q275">
        <v>1.0325599999999999</v>
      </c>
      <c r="R275" t="s">
        <v>3304</v>
      </c>
      <c r="S275">
        <v>21.607349087569439</v>
      </c>
    </row>
    <row r="276" spans="1:19">
      <c r="A276" s="37" t="s">
        <v>1373</v>
      </c>
      <c r="B276" s="39">
        <v>13</v>
      </c>
      <c r="C276" s="39">
        <v>5</v>
      </c>
      <c r="D276" s="37" t="s">
        <v>6485</v>
      </c>
      <c r="E276" s="37" t="s">
        <v>6586</v>
      </c>
      <c r="F276" s="37">
        <v>52.149839749105915</v>
      </c>
      <c r="H276" t="s">
        <v>191</v>
      </c>
      <c r="I276">
        <v>23</v>
      </c>
      <c r="J276" t="s">
        <v>635</v>
      </c>
      <c r="K276">
        <v>220</v>
      </c>
      <c r="L276">
        <v>0.345553</v>
      </c>
      <c r="M276">
        <v>3</v>
      </c>
      <c r="N276">
        <v>33.689</v>
      </c>
      <c r="O276" t="s">
        <v>6485</v>
      </c>
      <c r="P276" t="s">
        <v>6586</v>
      </c>
      <c r="Q276">
        <v>1.0325599999999999</v>
      </c>
      <c r="R276" t="s">
        <v>3304</v>
      </c>
      <c r="S276">
        <v>12.020376885153521</v>
      </c>
    </row>
    <row r="277" spans="1:19">
      <c r="A277" s="37" t="s">
        <v>1373</v>
      </c>
      <c r="B277" s="39">
        <v>13</v>
      </c>
      <c r="C277" s="39">
        <v>5</v>
      </c>
      <c r="D277" s="37" t="s">
        <v>6617</v>
      </c>
      <c r="E277" s="37" t="s">
        <v>6586</v>
      </c>
      <c r="F277" s="37">
        <v>50.641745980280554</v>
      </c>
      <c r="H277" t="s">
        <v>191</v>
      </c>
      <c r="I277">
        <v>23</v>
      </c>
      <c r="J277" t="s">
        <v>635</v>
      </c>
      <c r="K277">
        <v>220</v>
      </c>
      <c r="L277">
        <v>0.345553</v>
      </c>
      <c r="M277">
        <v>4</v>
      </c>
      <c r="N277">
        <v>32.683999999999997</v>
      </c>
      <c r="O277" t="s">
        <v>6485</v>
      </c>
      <c r="P277" t="s">
        <v>6586</v>
      </c>
      <c r="Q277">
        <v>1.0325599999999999</v>
      </c>
      <c r="R277" t="s">
        <v>3304</v>
      </c>
      <c r="S277">
        <v>11.66178865844512</v>
      </c>
    </row>
    <row r="278" spans="1:19">
      <c r="A278" s="37" t="s">
        <v>1373</v>
      </c>
      <c r="B278" s="39">
        <v>13</v>
      </c>
      <c r="C278" s="39">
        <v>6</v>
      </c>
      <c r="D278" s="37" t="s">
        <v>6485</v>
      </c>
      <c r="E278" s="37" t="s">
        <v>6586</v>
      </c>
      <c r="F278" s="37">
        <v>85.627873776318808</v>
      </c>
      <c r="H278" t="s">
        <v>191</v>
      </c>
      <c r="I278">
        <v>23</v>
      </c>
      <c r="J278" t="s">
        <v>635</v>
      </c>
      <c r="K278">
        <v>220</v>
      </c>
      <c r="L278">
        <v>0.345553</v>
      </c>
      <c r="M278">
        <v>5</v>
      </c>
      <c r="N278">
        <v>52.463999999999999</v>
      </c>
      <c r="O278" t="s">
        <v>6485</v>
      </c>
      <c r="P278" t="s">
        <v>6586</v>
      </c>
      <c r="Q278">
        <v>1.0325599999999999</v>
      </c>
      <c r="R278" t="s">
        <v>3304</v>
      </c>
      <c r="S278">
        <v>18.719375846795518</v>
      </c>
    </row>
    <row r="279" spans="1:19">
      <c r="A279" s="37" t="s">
        <v>1373</v>
      </c>
      <c r="B279" s="39">
        <v>13</v>
      </c>
      <c r="C279" s="39">
        <v>6</v>
      </c>
      <c r="D279" s="37" t="s">
        <v>6617</v>
      </c>
      <c r="E279" s="37" t="s">
        <v>6586</v>
      </c>
      <c r="F279" s="37">
        <v>61.864338345568477</v>
      </c>
      <c r="H279" t="s">
        <v>191</v>
      </c>
      <c r="I279">
        <v>23</v>
      </c>
      <c r="J279" t="s">
        <v>635</v>
      </c>
      <c r="K279">
        <v>220</v>
      </c>
      <c r="L279">
        <v>0.345553</v>
      </c>
      <c r="M279">
        <v>6</v>
      </c>
      <c r="N279">
        <v>81.106999999999999</v>
      </c>
      <c r="O279" t="s">
        <v>6485</v>
      </c>
      <c r="P279" t="s">
        <v>6586</v>
      </c>
      <c r="Q279">
        <v>1.0325599999999999</v>
      </c>
      <c r="R279" t="s">
        <v>3304</v>
      </c>
      <c r="S279">
        <v>28.939318710087761</v>
      </c>
    </row>
    <row r="280" spans="1:19">
      <c r="A280" s="37" t="s">
        <v>1401</v>
      </c>
      <c r="B280" s="37">
        <v>66</v>
      </c>
      <c r="C280" s="37">
        <v>1</v>
      </c>
      <c r="D280" s="37" t="s">
        <v>6485</v>
      </c>
      <c r="E280" s="37" t="s">
        <v>6586</v>
      </c>
      <c r="F280" s="37">
        <v>67.375452807821432</v>
      </c>
      <c r="H280" t="s">
        <v>204</v>
      </c>
      <c r="I280">
        <v>23</v>
      </c>
      <c r="J280" t="s">
        <v>1151</v>
      </c>
      <c r="K280">
        <v>220</v>
      </c>
      <c r="L280">
        <v>1</v>
      </c>
      <c r="M280">
        <v>1</v>
      </c>
      <c r="N280">
        <v>55.87</v>
      </c>
      <c r="O280" t="s">
        <v>6617</v>
      </c>
      <c r="P280" t="s">
        <v>6586</v>
      </c>
      <c r="Q280">
        <v>1.0792999999999999</v>
      </c>
      <c r="R280" t="s">
        <v>3301</v>
      </c>
      <c r="S280">
        <v>60.300490999999987</v>
      </c>
    </row>
    <row r="281" spans="1:19">
      <c r="A281" s="37" t="s">
        <v>1401</v>
      </c>
      <c r="B281" s="37">
        <v>66</v>
      </c>
      <c r="C281" s="37">
        <v>1</v>
      </c>
      <c r="D281" s="37" t="s">
        <v>6617</v>
      </c>
      <c r="E281" s="37" t="s">
        <v>6586</v>
      </c>
      <c r="F281" s="37">
        <v>56.173226630159519</v>
      </c>
      <c r="H281" t="s">
        <v>204</v>
      </c>
      <c r="I281">
        <v>23</v>
      </c>
      <c r="J281" t="s">
        <v>1151</v>
      </c>
      <c r="K281">
        <v>220</v>
      </c>
      <c r="L281">
        <v>1</v>
      </c>
      <c r="M281">
        <v>2</v>
      </c>
      <c r="N281">
        <v>55.997999999999998</v>
      </c>
      <c r="O281" t="s">
        <v>6617</v>
      </c>
      <c r="P281" t="s">
        <v>6586</v>
      </c>
      <c r="Q281">
        <v>1.0792999999999999</v>
      </c>
      <c r="R281" t="s">
        <v>3301</v>
      </c>
      <c r="S281">
        <v>60.438641399999987</v>
      </c>
    </row>
    <row r="282" spans="1:19">
      <c r="A282" s="37" t="s">
        <v>1401</v>
      </c>
      <c r="B282" s="37">
        <v>66</v>
      </c>
      <c r="C282" s="37">
        <v>2</v>
      </c>
      <c r="D282" s="37" t="s">
        <v>6485</v>
      </c>
      <c r="E282" s="37" t="s">
        <v>6586</v>
      </c>
      <c r="F282" s="37">
        <v>62.14714802127407</v>
      </c>
      <c r="H282" t="s">
        <v>204</v>
      </c>
      <c r="I282">
        <v>23</v>
      </c>
      <c r="J282" t="s">
        <v>1151</v>
      </c>
      <c r="K282">
        <v>220</v>
      </c>
      <c r="L282">
        <v>1</v>
      </c>
      <c r="M282">
        <v>3</v>
      </c>
      <c r="N282">
        <v>39.122999999999998</v>
      </c>
      <c r="O282" t="s">
        <v>6617</v>
      </c>
      <c r="P282" t="s">
        <v>6586</v>
      </c>
      <c r="Q282">
        <v>1.0792999999999999</v>
      </c>
      <c r="R282" t="s">
        <v>3301</v>
      </c>
      <c r="S282">
        <v>42.225453899999998</v>
      </c>
    </row>
    <row r="283" spans="1:19">
      <c r="A283" s="37" t="s">
        <v>1401</v>
      </c>
      <c r="B283" s="37">
        <v>66</v>
      </c>
      <c r="C283" s="37">
        <v>2</v>
      </c>
      <c r="D283" s="37" t="s">
        <v>6617</v>
      </c>
      <c r="E283" s="37" t="s">
        <v>6586</v>
      </c>
      <c r="F283" s="37">
        <v>56.285976205702234</v>
      </c>
      <c r="H283" t="s">
        <v>204</v>
      </c>
      <c r="I283">
        <v>23</v>
      </c>
      <c r="J283" t="s">
        <v>1151</v>
      </c>
      <c r="K283">
        <v>220</v>
      </c>
      <c r="L283">
        <v>1</v>
      </c>
      <c r="M283">
        <v>4</v>
      </c>
      <c r="N283">
        <v>38.651000000000003</v>
      </c>
      <c r="O283" t="s">
        <v>6617</v>
      </c>
      <c r="P283" t="s">
        <v>6586</v>
      </c>
      <c r="Q283">
        <v>1.0792999999999999</v>
      </c>
      <c r="R283" t="s">
        <v>3301</v>
      </c>
      <c r="S283">
        <v>41.716024300000001</v>
      </c>
    </row>
    <row r="284" spans="1:19">
      <c r="A284" s="37" t="s">
        <v>1401</v>
      </c>
      <c r="B284" s="37">
        <v>66</v>
      </c>
      <c r="C284" s="37">
        <v>3</v>
      </c>
      <c r="D284" s="37" t="s">
        <v>6485</v>
      </c>
      <c r="E284" s="37" t="s">
        <v>6586</v>
      </c>
      <c r="F284" s="37">
        <v>34.1418984960792</v>
      </c>
      <c r="H284" t="s">
        <v>204</v>
      </c>
      <c r="I284">
        <v>23</v>
      </c>
      <c r="J284" t="s">
        <v>1151</v>
      </c>
      <c r="K284">
        <v>220</v>
      </c>
      <c r="L284">
        <v>1</v>
      </c>
      <c r="M284">
        <v>5</v>
      </c>
      <c r="N284">
        <v>50.674999999999997</v>
      </c>
      <c r="O284" t="s">
        <v>6617</v>
      </c>
      <c r="P284" t="s">
        <v>6586</v>
      </c>
      <c r="Q284">
        <v>1.0792999999999999</v>
      </c>
      <c r="R284" t="s">
        <v>3301</v>
      </c>
      <c r="S284">
        <v>54.693527499999988</v>
      </c>
    </row>
    <row r="285" spans="1:19">
      <c r="A285" s="37" t="s">
        <v>1401</v>
      </c>
      <c r="B285" s="37">
        <v>66</v>
      </c>
      <c r="C285" s="37">
        <v>3</v>
      </c>
      <c r="D285" s="37" t="s">
        <v>6617</v>
      </c>
      <c r="E285" s="37" t="s">
        <v>6586</v>
      </c>
      <c r="F285" s="37">
        <v>40.434377737989436</v>
      </c>
      <c r="H285" t="s">
        <v>204</v>
      </c>
      <c r="I285">
        <v>23</v>
      </c>
      <c r="J285" t="s">
        <v>1151</v>
      </c>
      <c r="K285">
        <v>220</v>
      </c>
      <c r="L285">
        <v>1</v>
      </c>
      <c r="M285">
        <v>6</v>
      </c>
      <c r="N285">
        <v>61.944000000000003</v>
      </c>
      <c r="O285" t="s">
        <v>6617</v>
      </c>
      <c r="P285" t="s">
        <v>6586</v>
      </c>
      <c r="Q285">
        <v>1.0792999999999999</v>
      </c>
      <c r="R285" t="s">
        <v>3301</v>
      </c>
      <c r="S285">
        <v>66.856159199999993</v>
      </c>
    </row>
    <row r="286" spans="1:19">
      <c r="A286" s="37" t="s">
        <v>1401</v>
      </c>
      <c r="B286" s="37">
        <v>66</v>
      </c>
      <c r="C286" s="37">
        <v>4</v>
      </c>
      <c r="D286" s="37" t="s">
        <v>6485</v>
      </c>
      <c r="E286" s="37" t="s">
        <v>6586</v>
      </c>
      <c r="F286" s="37">
        <v>33.112143150007036</v>
      </c>
      <c r="H286" t="s">
        <v>204</v>
      </c>
      <c r="I286">
        <v>23</v>
      </c>
      <c r="J286" t="s">
        <v>1151</v>
      </c>
      <c r="K286">
        <v>220</v>
      </c>
      <c r="L286">
        <v>1</v>
      </c>
      <c r="M286">
        <v>1</v>
      </c>
      <c r="N286">
        <v>70.893000000000001</v>
      </c>
      <c r="O286" t="s">
        <v>6485</v>
      </c>
      <c r="P286" t="s">
        <v>6586</v>
      </c>
      <c r="Q286">
        <v>1.0792999999999999</v>
      </c>
      <c r="R286" t="s">
        <v>3301</v>
      </c>
      <c r="S286">
        <v>76.51481489999999</v>
      </c>
    </row>
    <row r="287" spans="1:19">
      <c r="A287" s="37" t="s">
        <v>1401</v>
      </c>
      <c r="B287" s="37">
        <v>66</v>
      </c>
      <c r="C287" s="37">
        <v>4</v>
      </c>
      <c r="D287" s="37" t="s">
        <v>6617</v>
      </c>
      <c r="E287" s="37" t="s">
        <v>6586</v>
      </c>
      <c r="F287" s="37">
        <v>39.933073352172464</v>
      </c>
      <c r="H287" t="s">
        <v>204</v>
      </c>
      <c r="I287">
        <v>23</v>
      </c>
      <c r="J287" t="s">
        <v>1151</v>
      </c>
      <c r="K287">
        <v>220</v>
      </c>
      <c r="L287">
        <v>1</v>
      </c>
      <c r="M287">
        <v>2</v>
      </c>
      <c r="N287">
        <v>63.523000000000003</v>
      </c>
      <c r="O287" t="s">
        <v>6485</v>
      </c>
      <c r="P287" t="s">
        <v>6586</v>
      </c>
      <c r="Q287">
        <v>1.0792999999999999</v>
      </c>
      <c r="R287" t="s">
        <v>3301</v>
      </c>
      <c r="S287">
        <v>68.560373900000002</v>
      </c>
    </row>
    <row r="288" spans="1:19">
      <c r="A288" s="37" t="s">
        <v>1401</v>
      </c>
      <c r="B288" s="37">
        <v>66</v>
      </c>
      <c r="C288" s="37">
        <v>5</v>
      </c>
      <c r="D288" s="37" t="s">
        <v>6485</v>
      </c>
      <c r="E288" s="37" t="s">
        <v>6586</v>
      </c>
      <c r="F288" s="37">
        <v>52.507093409567844</v>
      </c>
      <c r="H288" t="s">
        <v>204</v>
      </c>
      <c r="I288">
        <v>23</v>
      </c>
      <c r="J288" t="s">
        <v>1151</v>
      </c>
      <c r="K288">
        <v>220</v>
      </c>
      <c r="L288">
        <v>1</v>
      </c>
      <c r="M288">
        <v>3</v>
      </c>
      <c r="N288">
        <v>32.936</v>
      </c>
      <c r="O288" t="s">
        <v>6485</v>
      </c>
      <c r="P288" t="s">
        <v>6586</v>
      </c>
      <c r="Q288">
        <v>1.0792999999999999</v>
      </c>
      <c r="R288" t="s">
        <v>3301</v>
      </c>
      <c r="S288">
        <v>35.547824800000001</v>
      </c>
    </row>
    <row r="289" spans="1:19">
      <c r="A289" s="37" t="s">
        <v>1401</v>
      </c>
      <c r="B289" s="37">
        <v>66</v>
      </c>
      <c r="C289" s="37">
        <v>5</v>
      </c>
      <c r="D289" s="37" t="s">
        <v>6617</v>
      </c>
      <c r="E289" s="37" t="s">
        <v>6586</v>
      </c>
      <c r="F289" s="37">
        <v>50.714523480313282</v>
      </c>
      <c r="H289" t="s">
        <v>204</v>
      </c>
      <c r="I289">
        <v>23</v>
      </c>
      <c r="J289" t="s">
        <v>1151</v>
      </c>
      <c r="K289">
        <v>220</v>
      </c>
      <c r="L289">
        <v>1</v>
      </c>
      <c r="M289">
        <v>4</v>
      </c>
      <c r="N289">
        <v>31.954999999999998</v>
      </c>
      <c r="O289" t="s">
        <v>6485</v>
      </c>
      <c r="P289" t="s">
        <v>6586</v>
      </c>
      <c r="Q289">
        <v>1.0792999999999999</v>
      </c>
      <c r="R289" t="s">
        <v>3301</v>
      </c>
      <c r="S289">
        <v>34.489031500000003</v>
      </c>
    </row>
    <row r="290" spans="1:19">
      <c r="A290" s="37" t="s">
        <v>1401</v>
      </c>
      <c r="B290" s="37">
        <v>66</v>
      </c>
      <c r="C290" s="37">
        <v>6</v>
      </c>
      <c r="D290" s="37" t="s">
        <v>6485</v>
      </c>
      <c r="E290" s="37" t="s">
        <v>6586</v>
      </c>
      <c r="F290" s="37">
        <v>81.641569217382383</v>
      </c>
      <c r="H290" t="s">
        <v>204</v>
      </c>
      <c r="I290">
        <v>23</v>
      </c>
      <c r="J290" t="s">
        <v>1151</v>
      </c>
      <c r="K290">
        <v>220</v>
      </c>
      <c r="L290">
        <v>1</v>
      </c>
      <c r="M290">
        <v>5</v>
      </c>
      <c r="N290">
        <v>53.051000000000002</v>
      </c>
      <c r="O290" t="s">
        <v>6485</v>
      </c>
      <c r="P290" t="s">
        <v>6586</v>
      </c>
      <c r="Q290">
        <v>1.0792999999999999</v>
      </c>
      <c r="R290" t="s">
        <v>3301</v>
      </c>
      <c r="S290">
        <v>57.257944299999998</v>
      </c>
    </row>
    <row r="291" spans="1:19">
      <c r="A291" s="37" t="s">
        <v>1401</v>
      </c>
      <c r="B291" s="37">
        <v>66</v>
      </c>
      <c r="C291" s="37">
        <v>6</v>
      </c>
      <c r="D291" s="37" t="s">
        <v>6617</v>
      </c>
      <c r="E291" s="37" t="s">
        <v>6586</v>
      </c>
      <c r="F291" s="37">
        <v>60.915147440285118</v>
      </c>
      <c r="H291" t="s">
        <v>204</v>
      </c>
      <c r="I291">
        <v>23</v>
      </c>
      <c r="J291" t="s">
        <v>1151</v>
      </c>
      <c r="K291">
        <v>220</v>
      </c>
      <c r="L291">
        <v>1</v>
      </c>
      <c r="M291">
        <v>6</v>
      </c>
      <c r="N291">
        <v>88.747</v>
      </c>
      <c r="O291" t="s">
        <v>6485</v>
      </c>
      <c r="P291" t="s">
        <v>6586</v>
      </c>
      <c r="Q291">
        <v>1.0792999999999999</v>
      </c>
      <c r="R291" t="s">
        <v>3301</v>
      </c>
      <c r="S291">
        <v>95.784637099999998</v>
      </c>
    </row>
    <row r="292" spans="1:19">
      <c r="A292" s="37" t="s">
        <v>1460</v>
      </c>
      <c r="B292" s="37">
        <v>13</v>
      </c>
      <c r="C292" s="39">
        <v>1</v>
      </c>
      <c r="D292" s="37" t="s">
        <v>6485</v>
      </c>
      <c r="E292" s="37" t="s">
        <v>6586</v>
      </c>
      <c r="F292" s="37">
        <v>69.966202189457846</v>
      </c>
      <c r="H292" t="s">
        <v>215</v>
      </c>
      <c r="I292">
        <v>13</v>
      </c>
      <c r="J292" t="s">
        <v>9</v>
      </c>
      <c r="K292">
        <v>220</v>
      </c>
      <c r="L292">
        <v>0.200325</v>
      </c>
      <c r="M292">
        <v>1</v>
      </c>
      <c r="N292">
        <v>55.936</v>
      </c>
      <c r="O292" t="s">
        <v>6617</v>
      </c>
      <c r="P292" t="s">
        <v>6586</v>
      </c>
      <c r="Q292">
        <v>1.0325599999999999</v>
      </c>
      <c r="R292" t="s">
        <v>3304</v>
      </c>
      <c r="S292">
        <v>11.570226346751999</v>
      </c>
    </row>
    <row r="293" spans="1:19">
      <c r="A293" s="37" t="s">
        <v>1460</v>
      </c>
      <c r="B293" s="37">
        <v>13</v>
      </c>
      <c r="C293" s="39">
        <v>1</v>
      </c>
      <c r="D293" s="37" t="s">
        <v>6617</v>
      </c>
      <c r="E293" s="37" t="s">
        <v>6586</v>
      </c>
      <c r="F293" s="37">
        <v>57.220380993246323</v>
      </c>
      <c r="H293" t="s">
        <v>215</v>
      </c>
      <c r="I293">
        <v>13</v>
      </c>
      <c r="J293" t="s">
        <v>9</v>
      </c>
      <c r="K293">
        <v>220</v>
      </c>
      <c r="L293">
        <v>0.200325</v>
      </c>
      <c r="M293">
        <v>2</v>
      </c>
      <c r="N293">
        <v>56.033999999999999</v>
      </c>
      <c r="O293" t="s">
        <v>6617</v>
      </c>
      <c r="P293" t="s">
        <v>6586</v>
      </c>
      <c r="Q293">
        <v>1.0325599999999999</v>
      </c>
      <c r="R293" t="s">
        <v>3304</v>
      </c>
      <c r="S293">
        <v>11.590497409788</v>
      </c>
    </row>
    <row r="294" spans="1:19">
      <c r="A294" s="37" t="s">
        <v>1460</v>
      </c>
      <c r="B294" s="37">
        <v>13</v>
      </c>
      <c r="C294" s="39">
        <v>2</v>
      </c>
      <c r="D294" s="37" t="s">
        <v>6485</v>
      </c>
      <c r="E294" s="37" t="s">
        <v>6586</v>
      </c>
      <c r="F294" s="37">
        <v>63.946501859403021</v>
      </c>
      <c r="H294" t="s">
        <v>215</v>
      </c>
      <c r="I294">
        <v>13</v>
      </c>
      <c r="J294" t="s">
        <v>9</v>
      </c>
      <c r="K294">
        <v>220</v>
      </c>
      <c r="L294">
        <v>0.200325</v>
      </c>
      <c r="M294">
        <v>3</v>
      </c>
      <c r="N294">
        <v>39.116999999999997</v>
      </c>
      <c r="O294" t="s">
        <v>6617</v>
      </c>
      <c r="P294" t="s">
        <v>6586</v>
      </c>
      <c r="Q294">
        <v>1.0325599999999999</v>
      </c>
      <c r="R294" t="s">
        <v>3304</v>
      </c>
      <c r="S294">
        <v>8.0912568650939996</v>
      </c>
    </row>
    <row r="295" spans="1:19">
      <c r="A295" s="37" t="s">
        <v>1460</v>
      </c>
      <c r="B295" s="37">
        <v>13</v>
      </c>
      <c r="C295" s="39">
        <v>2</v>
      </c>
      <c r="D295" s="37" t="s">
        <v>6617</v>
      </c>
      <c r="E295" s="37" t="s">
        <v>6586</v>
      </c>
      <c r="F295" s="37">
        <v>57.341232527080152</v>
      </c>
      <c r="H295" t="s">
        <v>215</v>
      </c>
      <c r="I295">
        <v>13</v>
      </c>
      <c r="J295" t="s">
        <v>9</v>
      </c>
      <c r="K295">
        <v>220</v>
      </c>
      <c r="L295">
        <v>0.200325</v>
      </c>
      <c r="M295">
        <v>4</v>
      </c>
      <c r="N295">
        <v>38.668999999999997</v>
      </c>
      <c r="O295" t="s">
        <v>6617</v>
      </c>
      <c r="P295" t="s">
        <v>6586</v>
      </c>
      <c r="Q295">
        <v>1.0325599999999999</v>
      </c>
      <c r="R295" t="s">
        <v>3304</v>
      </c>
      <c r="S295">
        <v>7.9985891483579996</v>
      </c>
    </row>
    <row r="296" spans="1:19">
      <c r="A296" s="37" t="s">
        <v>1460</v>
      </c>
      <c r="B296" s="37">
        <v>13</v>
      </c>
      <c r="C296" s="39">
        <v>3</v>
      </c>
      <c r="D296" s="37" t="s">
        <v>6485</v>
      </c>
      <c r="E296" s="37" t="s">
        <v>6586</v>
      </c>
      <c r="F296" s="37">
        <v>33.963774145683836</v>
      </c>
      <c r="H296" t="s">
        <v>215</v>
      </c>
      <c r="I296">
        <v>13</v>
      </c>
      <c r="J296" t="s">
        <v>9</v>
      </c>
      <c r="K296">
        <v>220</v>
      </c>
      <c r="L296">
        <v>0.200325</v>
      </c>
      <c r="M296">
        <v>5</v>
      </c>
      <c r="N296">
        <v>51.475999999999999</v>
      </c>
      <c r="O296" t="s">
        <v>6617</v>
      </c>
      <c r="P296" t="s">
        <v>6586</v>
      </c>
      <c r="Q296">
        <v>1.0325599999999999</v>
      </c>
      <c r="R296" t="s">
        <v>3304</v>
      </c>
      <c r="S296">
        <v>10.647686131032</v>
      </c>
    </row>
    <row r="297" spans="1:19">
      <c r="A297" s="37" t="s">
        <v>1460</v>
      </c>
      <c r="B297" s="37">
        <v>13</v>
      </c>
      <c r="C297" s="39">
        <v>3</v>
      </c>
      <c r="D297" s="37" t="s">
        <v>6617</v>
      </c>
      <c r="E297" s="37" t="s">
        <v>6586</v>
      </c>
      <c r="F297" s="37">
        <v>40.413482105223437</v>
      </c>
      <c r="H297" t="s">
        <v>215</v>
      </c>
      <c r="I297">
        <v>13</v>
      </c>
      <c r="J297" t="s">
        <v>9</v>
      </c>
      <c r="K297">
        <v>220</v>
      </c>
      <c r="L297">
        <v>0.200325</v>
      </c>
      <c r="M297">
        <v>6</v>
      </c>
      <c r="N297">
        <v>62.256999999999998</v>
      </c>
      <c r="O297" t="s">
        <v>6617</v>
      </c>
      <c r="P297" t="s">
        <v>6586</v>
      </c>
      <c r="Q297">
        <v>1.0325599999999999</v>
      </c>
      <c r="R297" t="s">
        <v>3304</v>
      </c>
      <c r="S297">
        <v>12.877709912574</v>
      </c>
    </row>
    <row r="298" spans="1:19">
      <c r="A298" s="37" t="s">
        <v>1460</v>
      </c>
      <c r="B298" s="37">
        <v>13</v>
      </c>
      <c r="C298" s="39">
        <v>4</v>
      </c>
      <c r="D298" s="37" t="s">
        <v>6485</v>
      </c>
      <c r="E298" s="37" t="s">
        <v>6586</v>
      </c>
      <c r="F298" s="37">
        <v>32.893173595495924</v>
      </c>
      <c r="H298" t="s">
        <v>215</v>
      </c>
      <c r="I298">
        <v>13</v>
      </c>
      <c r="J298" t="s">
        <v>9</v>
      </c>
      <c r="K298">
        <v>220</v>
      </c>
      <c r="L298">
        <v>0.200325</v>
      </c>
      <c r="M298">
        <v>1</v>
      </c>
      <c r="N298">
        <v>69.262</v>
      </c>
      <c r="O298" t="s">
        <v>6485</v>
      </c>
      <c r="P298" t="s">
        <v>6586</v>
      </c>
      <c r="Q298">
        <v>1.0325599999999999</v>
      </c>
      <c r="R298" t="s">
        <v>3304</v>
      </c>
      <c r="S298">
        <v>14.326677224483999</v>
      </c>
    </row>
    <row r="299" spans="1:19">
      <c r="A299" s="37" t="s">
        <v>1460</v>
      </c>
      <c r="B299" s="37">
        <v>13</v>
      </c>
      <c r="C299" s="39">
        <v>4</v>
      </c>
      <c r="D299" s="37" t="s">
        <v>6617</v>
      </c>
      <c r="E299" s="37" t="s">
        <v>6586</v>
      </c>
      <c r="F299" s="37">
        <v>39.89468211466432</v>
      </c>
      <c r="H299" t="s">
        <v>215</v>
      </c>
      <c r="I299">
        <v>13</v>
      </c>
      <c r="J299" t="s">
        <v>9</v>
      </c>
      <c r="K299">
        <v>220</v>
      </c>
      <c r="L299">
        <v>0.200325</v>
      </c>
      <c r="M299">
        <v>2</v>
      </c>
      <c r="N299">
        <v>62.783000000000001</v>
      </c>
      <c r="O299" t="s">
        <v>6485</v>
      </c>
      <c r="P299" t="s">
        <v>6586</v>
      </c>
      <c r="Q299">
        <v>1.0325599999999999</v>
      </c>
      <c r="R299" t="s">
        <v>3304</v>
      </c>
      <c r="S299">
        <v>12.986511740706</v>
      </c>
    </row>
    <row r="300" spans="1:19">
      <c r="A300" s="37" t="s">
        <v>1460</v>
      </c>
      <c r="B300" s="37">
        <v>13</v>
      </c>
      <c r="C300" s="39">
        <v>5</v>
      </c>
      <c r="D300" s="37" t="s">
        <v>6485</v>
      </c>
      <c r="E300" s="37" t="s">
        <v>6586</v>
      </c>
      <c r="F300" s="37">
        <v>51.482572521094561</v>
      </c>
      <c r="H300" t="s">
        <v>215</v>
      </c>
      <c r="I300">
        <v>13</v>
      </c>
      <c r="J300" t="s">
        <v>9</v>
      </c>
      <c r="K300">
        <v>220</v>
      </c>
      <c r="L300">
        <v>0.200325</v>
      </c>
      <c r="M300">
        <v>3</v>
      </c>
      <c r="N300">
        <v>32.915999999999997</v>
      </c>
      <c r="O300" t="s">
        <v>6485</v>
      </c>
      <c r="P300" t="s">
        <v>6586</v>
      </c>
      <c r="Q300">
        <v>1.0325599999999999</v>
      </c>
      <c r="R300" t="s">
        <v>3304</v>
      </c>
      <c r="S300">
        <v>6.8085950091119987</v>
      </c>
    </row>
    <row r="301" spans="1:19">
      <c r="A301" s="37" t="s">
        <v>1460</v>
      </c>
      <c r="B301" s="37">
        <v>13</v>
      </c>
      <c r="C301" s="39">
        <v>5</v>
      </c>
      <c r="D301" s="37" t="s">
        <v>6617</v>
      </c>
      <c r="E301" s="37" t="s">
        <v>6586</v>
      </c>
      <c r="F301" s="37">
        <v>50.259641046753281</v>
      </c>
      <c r="H301" t="s">
        <v>215</v>
      </c>
      <c r="I301">
        <v>13</v>
      </c>
      <c r="J301" t="s">
        <v>9</v>
      </c>
      <c r="K301">
        <v>220</v>
      </c>
      <c r="L301">
        <v>0.200325</v>
      </c>
      <c r="M301">
        <v>4</v>
      </c>
      <c r="N301">
        <v>32.179000000000002</v>
      </c>
      <c r="O301" t="s">
        <v>6485</v>
      </c>
      <c r="P301" t="s">
        <v>6586</v>
      </c>
      <c r="Q301">
        <v>1.0325599999999999</v>
      </c>
      <c r="R301" t="s">
        <v>3304</v>
      </c>
      <c r="S301">
        <v>6.6561483411779996</v>
      </c>
    </row>
    <row r="302" spans="1:19">
      <c r="A302" s="37" t="s">
        <v>1460</v>
      </c>
      <c r="B302" s="37">
        <v>13</v>
      </c>
      <c r="C302" s="39">
        <v>6</v>
      </c>
      <c r="D302" s="37" t="s">
        <v>6485</v>
      </c>
      <c r="E302" s="37" t="s">
        <v>6586</v>
      </c>
      <c r="F302" s="37">
        <v>85.715959510119916</v>
      </c>
      <c r="H302" t="s">
        <v>215</v>
      </c>
      <c r="I302">
        <v>13</v>
      </c>
      <c r="J302" t="s">
        <v>9</v>
      </c>
      <c r="K302">
        <v>220</v>
      </c>
      <c r="L302">
        <v>0.200325</v>
      </c>
      <c r="M302">
        <v>5</v>
      </c>
      <c r="N302">
        <v>54.389000000000003</v>
      </c>
      <c r="O302" t="s">
        <v>6485</v>
      </c>
      <c r="P302" t="s">
        <v>6586</v>
      </c>
      <c r="Q302">
        <v>1.0325599999999999</v>
      </c>
      <c r="R302" t="s">
        <v>3304</v>
      </c>
      <c r="S302">
        <v>11.250233137398</v>
      </c>
    </row>
    <row r="303" spans="1:19">
      <c r="A303" s="37" t="s">
        <v>1460</v>
      </c>
      <c r="B303" s="37">
        <v>13</v>
      </c>
      <c r="C303" s="39">
        <v>6</v>
      </c>
      <c r="D303" s="37" t="s">
        <v>6617</v>
      </c>
      <c r="E303" s="37" t="s">
        <v>6586</v>
      </c>
      <c r="F303" s="37">
        <v>61.728691374108791</v>
      </c>
      <c r="H303" t="s">
        <v>215</v>
      </c>
      <c r="I303">
        <v>13</v>
      </c>
      <c r="J303" t="s">
        <v>9</v>
      </c>
      <c r="K303">
        <v>220</v>
      </c>
      <c r="L303">
        <v>0.200325</v>
      </c>
      <c r="M303">
        <v>6</v>
      </c>
      <c r="N303">
        <v>88.427000000000007</v>
      </c>
      <c r="O303" t="s">
        <v>6485</v>
      </c>
      <c r="P303" t="s">
        <v>6586</v>
      </c>
      <c r="Q303">
        <v>1.0325599999999999</v>
      </c>
      <c r="R303" t="s">
        <v>3304</v>
      </c>
      <c r="S303">
        <v>18.290911133514001</v>
      </c>
    </row>
    <row r="304" spans="1:19">
      <c r="A304" s="37" t="s">
        <v>3832</v>
      </c>
      <c r="B304" s="37">
        <v>13</v>
      </c>
      <c r="C304" s="39">
        <v>1</v>
      </c>
      <c r="D304" s="37" t="s">
        <v>6485</v>
      </c>
      <c r="E304" s="37" t="s">
        <v>6586</v>
      </c>
      <c r="F304" s="37">
        <v>65.758672486895023</v>
      </c>
      <c r="H304" t="s">
        <v>215</v>
      </c>
      <c r="I304">
        <v>13</v>
      </c>
      <c r="J304" t="s">
        <v>14</v>
      </c>
      <c r="K304">
        <v>220</v>
      </c>
      <c r="L304">
        <v>2.0286999999999999E-2</v>
      </c>
      <c r="M304">
        <v>1</v>
      </c>
      <c r="N304">
        <v>56.027999999999999</v>
      </c>
      <c r="O304" t="s">
        <v>6617</v>
      </c>
      <c r="P304" t="s">
        <v>6586</v>
      </c>
      <c r="Q304">
        <v>1.0325599999999999</v>
      </c>
      <c r="R304" t="s">
        <v>3304</v>
      </c>
      <c r="S304">
        <v>1.17364903557216</v>
      </c>
    </row>
    <row r="305" spans="1:19">
      <c r="A305" s="37" t="s">
        <v>3832</v>
      </c>
      <c r="B305" s="37">
        <v>13</v>
      </c>
      <c r="C305" s="39">
        <v>1</v>
      </c>
      <c r="D305" s="37" t="s">
        <v>6617</v>
      </c>
      <c r="E305" s="37" t="s">
        <v>6586</v>
      </c>
      <c r="F305" s="37">
        <v>55.605988051198231</v>
      </c>
      <c r="H305" t="s">
        <v>215</v>
      </c>
      <c r="I305">
        <v>13</v>
      </c>
      <c r="J305" t="s">
        <v>14</v>
      </c>
      <c r="K305">
        <v>220</v>
      </c>
      <c r="L305">
        <v>2.0286999999999999E-2</v>
      </c>
      <c r="M305">
        <v>2</v>
      </c>
      <c r="N305">
        <v>56.122999999999998</v>
      </c>
      <c r="O305" t="s">
        <v>6617</v>
      </c>
      <c r="P305" t="s">
        <v>6586</v>
      </c>
      <c r="Q305">
        <v>1.0325599999999999</v>
      </c>
      <c r="R305" t="s">
        <v>3304</v>
      </c>
      <c r="S305">
        <v>1.17563905232056</v>
      </c>
    </row>
    <row r="306" spans="1:19">
      <c r="A306" s="37" t="s">
        <v>3832</v>
      </c>
      <c r="B306" s="37">
        <v>13</v>
      </c>
      <c r="C306" s="39">
        <v>2</v>
      </c>
      <c r="D306" s="37" t="s">
        <v>6485</v>
      </c>
      <c r="E306" s="37" t="s">
        <v>6586</v>
      </c>
      <c r="F306" s="37">
        <v>60.948765411053273</v>
      </c>
      <c r="H306" t="s">
        <v>215</v>
      </c>
      <c r="I306">
        <v>13</v>
      </c>
      <c r="J306" t="s">
        <v>14</v>
      </c>
      <c r="K306">
        <v>220</v>
      </c>
      <c r="L306">
        <v>2.0286999999999999E-2</v>
      </c>
      <c r="M306">
        <v>3</v>
      </c>
      <c r="N306">
        <v>39.145000000000003</v>
      </c>
      <c r="O306" t="s">
        <v>6617</v>
      </c>
      <c r="P306" t="s">
        <v>6586</v>
      </c>
      <c r="Q306">
        <v>1.0325599999999999</v>
      </c>
      <c r="R306" t="s">
        <v>3304</v>
      </c>
      <c r="S306">
        <v>0.81999163806440001</v>
      </c>
    </row>
    <row r="307" spans="1:19">
      <c r="A307" s="37" t="s">
        <v>3832</v>
      </c>
      <c r="B307" s="37">
        <v>13</v>
      </c>
      <c r="C307" s="39">
        <v>2</v>
      </c>
      <c r="D307" s="37" t="s">
        <v>6617</v>
      </c>
      <c r="E307" s="37" t="s">
        <v>6586</v>
      </c>
      <c r="F307" s="37">
        <v>55.733328110499841</v>
      </c>
      <c r="H307" t="s">
        <v>215</v>
      </c>
      <c r="I307">
        <v>13</v>
      </c>
      <c r="J307" t="s">
        <v>14</v>
      </c>
      <c r="K307">
        <v>220</v>
      </c>
      <c r="L307">
        <v>2.0286999999999999E-2</v>
      </c>
      <c r="M307">
        <v>4</v>
      </c>
      <c r="N307">
        <v>38.646999999999998</v>
      </c>
      <c r="O307" t="s">
        <v>6617</v>
      </c>
      <c r="P307" t="s">
        <v>6586</v>
      </c>
      <c r="Q307">
        <v>1.0325599999999999</v>
      </c>
      <c r="R307" t="s">
        <v>3304</v>
      </c>
      <c r="S307">
        <v>0.80955976079383996</v>
      </c>
    </row>
    <row r="308" spans="1:19">
      <c r="A308" s="37" t="s">
        <v>3832</v>
      </c>
      <c r="B308" s="37">
        <v>13</v>
      </c>
      <c r="C308" s="39">
        <v>3</v>
      </c>
      <c r="D308" s="37" t="s">
        <v>6485</v>
      </c>
      <c r="E308" s="37" t="s">
        <v>6586</v>
      </c>
      <c r="F308" s="37">
        <v>34.103568051573603</v>
      </c>
      <c r="H308" t="s">
        <v>215</v>
      </c>
      <c r="I308">
        <v>13</v>
      </c>
      <c r="J308" t="s">
        <v>14</v>
      </c>
      <c r="K308">
        <v>220</v>
      </c>
      <c r="L308">
        <v>2.0286999999999999E-2</v>
      </c>
      <c r="M308">
        <v>5</v>
      </c>
      <c r="N308">
        <v>49.831000000000003</v>
      </c>
      <c r="O308" t="s">
        <v>6617</v>
      </c>
      <c r="P308" t="s">
        <v>6586</v>
      </c>
      <c r="Q308">
        <v>1.0325599999999999</v>
      </c>
      <c r="R308" t="s">
        <v>3304</v>
      </c>
      <c r="S308">
        <v>1.04383710094232</v>
      </c>
    </row>
    <row r="309" spans="1:19">
      <c r="A309" s="37" t="s">
        <v>3832</v>
      </c>
      <c r="B309" s="37">
        <v>13</v>
      </c>
      <c r="C309" s="39">
        <v>3</v>
      </c>
      <c r="D309" s="37" t="s">
        <v>6617</v>
      </c>
      <c r="E309" s="37" t="s">
        <v>6586</v>
      </c>
      <c r="F309" s="37">
        <v>40.423258551610722</v>
      </c>
      <c r="H309" t="s">
        <v>215</v>
      </c>
      <c r="I309">
        <v>13</v>
      </c>
      <c r="J309" t="s">
        <v>14</v>
      </c>
      <c r="K309">
        <v>220</v>
      </c>
      <c r="L309">
        <v>2.0286999999999999E-2</v>
      </c>
      <c r="M309">
        <v>6</v>
      </c>
      <c r="N309">
        <v>61.533000000000001</v>
      </c>
      <c r="O309" t="s">
        <v>6617</v>
      </c>
      <c r="P309" t="s">
        <v>6586</v>
      </c>
      <c r="Q309">
        <v>1.0325599999999999</v>
      </c>
      <c r="R309" t="s">
        <v>3304</v>
      </c>
      <c r="S309">
        <v>1.28896526925576</v>
      </c>
    </row>
    <row r="310" spans="1:19">
      <c r="A310" s="37" t="s">
        <v>3832</v>
      </c>
      <c r="B310" s="37">
        <v>13</v>
      </c>
      <c r="C310" s="39">
        <v>4</v>
      </c>
      <c r="D310" s="37" t="s">
        <v>6485</v>
      </c>
      <c r="E310" s="37" t="s">
        <v>6586</v>
      </c>
      <c r="F310" s="37">
        <v>33.10756580326656</v>
      </c>
      <c r="H310" t="s">
        <v>215</v>
      </c>
      <c r="I310">
        <v>13</v>
      </c>
      <c r="J310" t="s">
        <v>14</v>
      </c>
      <c r="K310">
        <v>220</v>
      </c>
      <c r="L310">
        <v>2.0286999999999999E-2</v>
      </c>
      <c r="M310">
        <v>1</v>
      </c>
      <c r="N310">
        <v>70.548000000000002</v>
      </c>
      <c r="O310" t="s">
        <v>6485</v>
      </c>
      <c r="P310" t="s">
        <v>6586</v>
      </c>
      <c r="Q310">
        <v>1.0325599999999999</v>
      </c>
      <c r="R310" t="s">
        <v>3304</v>
      </c>
      <c r="S310">
        <v>1.4778073849065601</v>
      </c>
    </row>
    <row r="311" spans="1:19">
      <c r="A311" s="37" t="s">
        <v>3832</v>
      </c>
      <c r="B311" s="37">
        <v>13</v>
      </c>
      <c r="C311" s="39">
        <v>4</v>
      </c>
      <c r="D311" s="37" t="s">
        <v>6617</v>
      </c>
      <c r="E311" s="37" t="s">
        <v>6586</v>
      </c>
      <c r="F311" s="37">
        <v>39.944061979599681</v>
      </c>
      <c r="H311" t="s">
        <v>215</v>
      </c>
      <c r="I311">
        <v>13</v>
      </c>
      <c r="J311" t="s">
        <v>14</v>
      </c>
      <c r="K311">
        <v>220</v>
      </c>
      <c r="L311">
        <v>2.0286999999999999E-2</v>
      </c>
      <c r="M311">
        <v>2</v>
      </c>
      <c r="N311">
        <v>63.55</v>
      </c>
      <c r="O311" t="s">
        <v>6485</v>
      </c>
      <c r="P311" t="s">
        <v>6586</v>
      </c>
      <c r="Q311">
        <v>1.0325599999999999</v>
      </c>
      <c r="R311" t="s">
        <v>3304</v>
      </c>
      <c r="S311">
        <v>1.331216466956</v>
      </c>
    </row>
    <row r="312" spans="1:19">
      <c r="A312" s="37" t="s">
        <v>3832</v>
      </c>
      <c r="B312" s="37">
        <v>13</v>
      </c>
      <c r="C312" s="39">
        <v>5</v>
      </c>
      <c r="D312" s="37" t="s">
        <v>6485</v>
      </c>
      <c r="E312" s="37" t="s">
        <v>6586</v>
      </c>
      <c r="F312" s="37">
        <v>51.138094004785749</v>
      </c>
      <c r="H312" t="s">
        <v>215</v>
      </c>
      <c r="I312">
        <v>13</v>
      </c>
      <c r="J312" t="s">
        <v>14</v>
      </c>
      <c r="K312">
        <v>220</v>
      </c>
      <c r="L312">
        <v>2.0286999999999999E-2</v>
      </c>
      <c r="M312">
        <v>3</v>
      </c>
      <c r="N312">
        <v>32.978000000000002</v>
      </c>
      <c r="O312" t="s">
        <v>6485</v>
      </c>
      <c r="P312" t="s">
        <v>6586</v>
      </c>
      <c r="Q312">
        <v>1.0325599999999999</v>
      </c>
      <c r="R312" t="s">
        <v>3304</v>
      </c>
      <c r="S312">
        <v>0.69080812977615991</v>
      </c>
    </row>
    <row r="313" spans="1:19">
      <c r="A313" s="37" t="s">
        <v>3832</v>
      </c>
      <c r="B313" s="37">
        <v>13</v>
      </c>
      <c r="C313" s="39">
        <v>5</v>
      </c>
      <c r="D313" s="37" t="s">
        <v>6617</v>
      </c>
      <c r="E313" s="37" t="s">
        <v>6586</v>
      </c>
      <c r="F313" s="37">
        <v>50.02315570714736</v>
      </c>
      <c r="H313" t="s">
        <v>215</v>
      </c>
      <c r="I313">
        <v>13</v>
      </c>
      <c r="J313" t="s">
        <v>14</v>
      </c>
      <c r="K313">
        <v>220</v>
      </c>
      <c r="L313">
        <v>2.0286999999999999E-2</v>
      </c>
      <c r="M313">
        <v>4</v>
      </c>
      <c r="N313">
        <v>31.867000000000001</v>
      </c>
      <c r="O313" t="s">
        <v>6485</v>
      </c>
      <c r="P313" t="s">
        <v>6586</v>
      </c>
      <c r="Q313">
        <v>1.0325599999999999</v>
      </c>
      <c r="R313" t="s">
        <v>3304</v>
      </c>
      <c r="S313">
        <v>0.66753540759223995</v>
      </c>
    </row>
    <row r="314" spans="1:19">
      <c r="A314" s="37" t="s">
        <v>3832</v>
      </c>
      <c r="B314" s="37">
        <v>13</v>
      </c>
      <c r="C314" s="39">
        <v>6</v>
      </c>
      <c r="D314" s="37" t="s">
        <v>6485</v>
      </c>
      <c r="E314" s="37" t="s">
        <v>6586</v>
      </c>
      <c r="F314" s="37">
        <v>78.874826281329433</v>
      </c>
      <c r="H314" t="s">
        <v>215</v>
      </c>
      <c r="I314">
        <v>13</v>
      </c>
      <c r="J314" t="s">
        <v>14</v>
      </c>
      <c r="K314">
        <v>220</v>
      </c>
      <c r="L314">
        <v>2.0286999999999999E-2</v>
      </c>
      <c r="M314">
        <v>5</v>
      </c>
      <c r="N314">
        <v>51.658000000000001</v>
      </c>
      <c r="O314" t="s">
        <v>6485</v>
      </c>
      <c r="P314" t="s">
        <v>6586</v>
      </c>
      <c r="Q314">
        <v>1.0325599999999999</v>
      </c>
      <c r="R314" t="s">
        <v>3304</v>
      </c>
      <c r="S314">
        <v>1.0821082651457601</v>
      </c>
    </row>
    <row r="315" spans="1:19">
      <c r="A315" s="37" t="s">
        <v>3832</v>
      </c>
      <c r="B315" s="37">
        <v>13</v>
      </c>
      <c r="C315" s="39">
        <v>6</v>
      </c>
      <c r="D315" s="37" t="s">
        <v>6617</v>
      </c>
      <c r="E315" s="37" t="s">
        <v>6586</v>
      </c>
      <c r="F315" s="37">
        <v>60.01149637538095</v>
      </c>
      <c r="H315" t="s">
        <v>215</v>
      </c>
      <c r="I315">
        <v>13</v>
      </c>
      <c r="J315" t="s">
        <v>14</v>
      </c>
      <c r="K315">
        <v>220</v>
      </c>
      <c r="L315">
        <v>2.0286999999999999E-2</v>
      </c>
      <c r="M315">
        <v>6</v>
      </c>
      <c r="N315">
        <v>88.040999999999997</v>
      </c>
      <c r="O315" t="s">
        <v>6485</v>
      </c>
      <c r="P315" t="s">
        <v>6586</v>
      </c>
      <c r="Q315">
        <v>1.0325599999999999</v>
      </c>
      <c r="R315" t="s">
        <v>3304</v>
      </c>
      <c r="S315">
        <v>1.8442427846935201</v>
      </c>
    </row>
    <row r="316" spans="1:19">
      <c r="H316" t="s">
        <v>215</v>
      </c>
      <c r="I316">
        <v>13</v>
      </c>
      <c r="J316" t="s">
        <v>248</v>
      </c>
      <c r="K316">
        <v>220</v>
      </c>
      <c r="L316">
        <v>0.69186999999999999</v>
      </c>
      <c r="M316">
        <v>1</v>
      </c>
      <c r="N316">
        <v>54.328000000000003</v>
      </c>
      <c r="O316" t="s">
        <v>6617</v>
      </c>
      <c r="P316" t="s">
        <v>6586</v>
      </c>
      <c r="Q316">
        <v>1.0325599999999999</v>
      </c>
      <c r="R316" t="s">
        <v>3304</v>
      </c>
      <c r="S316">
        <v>38.811775819001603</v>
      </c>
    </row>
    <row r="317" spans="1:19">
      <c r="H317" t="s">
        <v>215</v>
      </c>
      <c r="I317">
        <v>13</v>
      </c>
      <c r="J317" t="s">
        <v>248</v>
      </c>
      <c r="K317">
        <v>220</v>
      </c>
      <c r="L317">
        <v>0.69186999999999999</v>
      </c>
      <c r="M317">
        <v>2</v>
      </c>
      <c r="N317">
        <v>54.436999999999998</v>
      </c>
      <c r="O317" t="s">
        <v>6617</v>
      </c>
      <c r="P317" t="s">
        <v>6586</v>
      </c>
      <c r="Q317">
        <v>1.0325599999999999</v>
      </c>
      <c r="R317" t="s">
        <v>3304</v>
      </c>
      <c r="S317">
        <v>38.889645123306387</v>
      </c>
    </row>
    <row r="318" spans="1:19">
      <c r="H318" t="s">
        <v>215</v>
      </c>
      <c r="I318">
        <v>13</v>
      </c>
      <c r="J318" t="s">
        <v>248</v>
      </c>
      <c r="K318">
        <v>220</v>
      </c>
      <c r="L318">
        <v>0.69186999999999999</v>
      </c>
      <c r="M318">
        <v>3</v>
      </c>
      <c r="N318">
        <v>39.161000000000001</v>
      </c>
      <c r="O318" t="s">
        <v>6617</v>
      </c>
      <c r="P318" t="s">
        <v>6586</v>
      </c>
      <c r="Q318">
        <v>1.0325599999999999</v>
      </c>
      <c r="R318" t="s">
        <v>3304</v>
      </c>
      <c r="S318">
        <v>27.9765121640392</v>
      </c>
    </row>
    <row r="319" spans="1:19">
      <c r="H319" t="s">
        <v>215</v>
      </c>
      <c r="I319">
        <v>13</v>
      </c>
      <c r="J319" t="s">
        <v>248</v>
      </c>
      <c r="K319">
        <v>220</v>
      </c>
      <c r="L319">
        <v>0.69186999999999999</v>
      </c>
      <c r="M319">
        <v>4</v>
      </c>
      <c r="N319">
        <v>38.674999999999997</v>
      </c>
      <c r="O319" t="s">
        <v>6617</v>
      </c>
      <c r="P319" t="s">
        <v>6586</v>
      </c>
      <c r="Q319">
        <v>1.0325599999999999</v>
      </c>
      <c r="R319" t="s">
        <v>3304</v>
      </c>
      <c r="S319">
        <v>27.62931508246</v>
      </c>
    </row>
    <row r="320" spans="1:19">
      <c r="H320" t="s">
        <v>215</v>
      </c>
      <c r="I320">
        <v>13</v>
      </c>
      <c r="J320" t="s">
        <v>248</v>
      </c>
      <c r="K320">
        <v>220</v>
      </c>
      <c r="L320">
        <v>0.69186999999999999</v>
      </c>
      <c r="M320">
        <v>5</v>
      </c>
      <c r="N320">
        <v>49.055</v>
      </c>
      <c r="O320" t="s">
        <v>6617</v>
      </c>
      <c r="P320" t="s">
        <v>6586</v>
      </c>
      <c r="Q320">
        <v>1.0325599999999999</v>
      </c>
      <c r="R320" t="s">
        <v>3304</v>
      </c>
      <c r="S320">
        <v>35.044758923595992</v>
      </c>
    </row>
    <row r="321" spans="8:19">
      <c r="H321" t="s">
        <v>215</v>
      </c>
      <c r="I321">
        <v>13</v>
      </c>
      <c r="J321" t="s">
        <v>248</v>
      </c>
      <c r="K321">
        <v>220</v>
      </c>
      <c r="L321">
        <v>0.69186999999999999</v>
      </c>
      <c r="M321">
        <v>6</v>
      </c>
      <c r="N321">
        <v>58.87</v>
      </c>
      <c r="O321" t="s">
        <v>6617</v>
      </c>
      <c r="P321" t="s">
        <v>6586</v>
      </c>
      <c r="Q321">
        <v>1.0325599999999999</v>
      </c>
      <c r="R321" t="s">
        <v>3304</v>
      </c>
      <c r="S321">
        <v>42.056568297463997</v>
      </c>
    </row>
    <row r="322" spans="8:19">
      <c r="H322" t="s">
        <v>215</v>
      </c>
      <c r="I322">
        <v>13</v>
      </c>
      <c r="J322" t="s">
        <v>248</v>
      </c>
      <c r="K322">
        <v>220</v>
      </c>
      <c r="L322">
        <v>0.69186999999999999</v>
      </c>
      <c r="M322">
        <v>1</v>
      </c>
      <c r="N322">
        <v>65.05</v>
      </c>
      <c r="O322" t="s">
        <v>6485</v>
      </c>
      <c r="P322" t="s">
        <v>6586</v>
      </c>
      <c r="Q322">
        <v>1.0325599999999999</v>
      </c>
      <c r="R322" t="s">
        <v>3304</v>
      </c>
      <c r="S322">
        <v>46.471543532359988</v>
      </c>
    </row>
    <row r="323" spans="8:19">
      <c r="H323" t="s">
        <v>215</v>
      </c>
      <c r="I323">
        <v>13</v>
      </c>
      <c r="J323" t="s">
        <v>248</v>
      </c>
      <c r="K323">
        <v>220</v>
      </c>
      <c r="L323">
        <v>0.69186999999999999</v>
      </c>
      <c r="M323">
        <v>2</v>
      </c>
      <c r="N323">
        <v>60.055999999999997</v>
      </c>
      <c r="O323" t="s">
        <v>6485</v>
      </c>
      <c r="P323" t="s">
        <v>6586</v>
      </c>
      <c r="Q323">
        <v>1.0325599999999999</v>
      </c>
      <c r="R323" t="s">
        <v>3304</v>
      </c>
      <c r="S323">
        <v>42.903843480083196</v>
      </c>
    </row>
    <row r="324" spans="8:19">
      <c r="H324" t="s">
        <v>215</v>
      </c>
      <c r="I324">
        <v>13</v>
      </c>
      <c r="J324" t="s">
        <v>248</v>
      </c>
      <c r="K324">
        <v>220</v>
      </c>
      <c r="L324">
        <v>0.69186999999999999</v>
      </c>
      <c r="M324">
        <v>3</v>
      </c>
      <c r="N324">
        <v>33.075000000000003</v>
      </c>
      <c r="O324" t="s">
        <v>6485</v>
      </c>
      <c r="P324" t="s">
        <v>6586</v>
      </c>
      <c r="Q324">
        <v>1.0325599999999999</v>
      </c>
      <c r="R324" t="s">
        <v>3304</v>
      </c>
      <c r="S324">
        <v>23.628690274139998</v>
      </c>
    </row>
    <row r="325" spans="8:19">
      <c r="H325" t="s">
        <v>215</v>
      </c>
      <c r="I325">
        <v>13</v>
      </c>
      <c r="J325" t="s">
        <v>248</v>
      </c>
      <c r="K325">
        <v>220</v>
      </c>
      <c r="L325">
        <v>0.69186999999999999</v>
      </c>
      <c r="M325">
        <v>4</v>
      </c>
      <c r="N325">
        <v>32.075000000000003</v>
      </c>
      <c r="O325" t="s">
        <v>6485</v>
      </c>
      <c r="P325" t="s">
        <v>6586</v>
      </c>
      <c r="Q325">
        <v>1.0325599999999999</v>
      </c>
      <c r="R325" t="s">
        <v>3304</v>
      </c>
      <c r="S325">
        <v>22.914292986940001</v>
      </c>
    </row>
    <row r="326" spans="8:19">
      <c r="H326" t="s">
        <v>215</v>
      </c>
      <c r="I326">
        <v>13</v>
      </c>
      <c r="J326" t="s">
        <v>248</v>
      </c>
      <c r="K326">
        <v>220</v>
      </c>
      <c r="L326">
        <v>0.69186999999999999</v>
      </c>
      <c r="M326">
        <v>5</v>
      </c>
      <c r="N326">
        <v>50.77</v>
      </c>
      <c r="O326" t="s">
        <v>6485</v>
      </c>
      <c r="P326" t="s">
        <v>6586</v>
      </c>
      <c r="Q326">
        <v>1.0325599999999999</v>
      </c>
      <c r="R326" t="s">
        <v>3304</v>
      </c>
      <c r="S326">
        <v>36.269950271143998</v>
      </c>
    </row>
    <row r="327" spans="8:19">
      <c r="H327" t="s">
        <v>215</v>
      </c>
      <c r="I327">
        <v>13</v>
      </c>
      <c r="J327" t="s">
        <v>248</v>
      </c>
      <c r="K327">
        <v>220</v>
      </c>
      <c r="L327">
        <v>0.69186999999999999</v>
      </c>
      <c r="M327">
        <v>6</v>
      </c>
      <c r="N327">
        <v>78.662999999999997</v>
      </c>
      <c r="O327" t="s">
        <v>6485</v>
      </c>
      <c r="P327" t="s">
        <v>6586</v>
      </c>
      <c r="Q327">
        <v>1.0325599999999999</v>
      </c>
      <c r="R327" t="s">
        <v>3304</v>
      </c>
      <c r="S327">
        <v>56.19663380301359</v>
      </c>
    </row>
    <row r="328" spans="8:19">
      <c r="H328" t="s">
        <v>215</v>
      </c>
      <c r="I328">
        <v>13</v>
      </c>
      <c r="J328" t="s">
        <v>548</v>
      </c>
      <c r="K328">
        <v>220</v>
      </c>
      <c r="L328">
        <v>7.6593999999999995E-2</v>
      </c>
      <c r="M328">
        <v>1</v>
      </c>
      <c r="N328">
        <v>55.128</v>
      </c>
      <c r="O328" t="s">
        <v>6617</v>
      </c>
      <c r="P328" t="s">
        <v>6586</v>
      </c>
      <c r="Q328">
        <v>1.0325599999999999</v>
      </c>
      <c r="R328" t="s">
        <v>3304</v>
      </c>
      <c r="S328">
        <v>4.3599577864819201</v>
      </c>
    </row>
    <row r="329" spans="8:19">
      <c r="H329" t="s">
        <v>215</v>
      </c>
      <c r="I329">
        <v>13</v>
      </c>
      <c r="J329" t="s">
        <v>548</v>
      </c>
      <c r="K329">
        <v>220</v>
      </c>
      <c r="L329">
        <v>7.6593999999999995E-2</v>
      </c>
      <c r="M329">
        <v>2</v>
      </c>
      <c r="N329">
        <v>55.256999999999998</v>
      </c>
      <c r="O329" t="s">
        <v>6617</v>
      </c>
      <c r="P329" t="s">
        <v>6586</v>
      </c>
      <c r="Q329">
        <v>1.0325599999999999</v>
      </c>
      <c r="R329" t="s">
        <v>3304</v>
      </c>
      <c r="S329">
        <v>4.3701601256644791</v>
      </c>
    </row>
    <row r="330" spans="8:19">
      <c r="H330" t="s">
        <v>215</v>
      </c>
      <c r="I330">
        <v>13</v>
      </c>
      <c r="J330" t="s">
        <v>548</v>
      </c>
      <c r="K330">
        <v>220</v>
      </c>
      <c r="L330">
        <v>7.6593999999999995E-2</v>
      </c>
      <c r="M330">
        <v>3</v>
      </c>
      <c r="N330">
        <v>39.152000000000001</v>
      </c>
      <c r="O330" t="s">
        <v>6617</v>
      </c>
      <c r="P330" t="s">
        <v>6586</v>
      </c>
      <c r="Q330">
        <v>1.0325599999999999</v>
      </c>
      <c r="R330" t="s">
        <v>3304</v>
      </c>
      <c r="S330">
        <v>3.09644948585728</v>
      </c>
    </row>
    <row r="331" spans="8:19">
      <c r="H331" t="s">
        <v>215</v>
      </c>
      <c r="I331">
        <v>13</v>
      </c>
      <c r="J331" t="s">
        <v>548</v>
      </c>
      <c r="K331">
        <v>220</v>
      </c>
      <c r="L331">
        <v>7.6593999999999995E-2</v>
      </c>
      <c r="M331">
        <v>4</v>
      </c>
      <c r="N331">
        <v>38.615000000000002</v>
      </c>
      <c r="O331" t="s">
        <v>6617</v>
      </c>
      <c r="P331" t="s">
        <v>6586</v>
      </c>
      <c r="Q331">
        <v>1.0325599999999999</v>
      </c>
      <c r="R331" t="s">
        <v>3304</v>
      </c>
      <c r="S331">
        <v>3.0539792832136001</v>
      </c>
    </row>
    <row r="332" spans="8:19">
      <c r="H332" t="s">
        <v>215</v>
      </c>
      <c r="I332">
        <v>13</v>
      </c>
      <c r="J332" t="s">
        <v>548</v>
      </c>
      <c r="K332">
        <v>220</v>
      </c>
      <c r="L332">
        <v>7.6593999999999995E-2</v>
      </c>
      <c r="M332">
        <v>5</v>
      </c>
      <c r="N332">
        <v>46.902000000000001</v>
      </c>
      <c r="O332" t="s">
        <v>6617</v>
      </c>
      <c r="P332" t="s">
        <v>6586</v>
      </c>
      <c r="Q332">
        <v>1.0325599999999999</v>
      </c>
      <c r="R332" t="s">
        <v>3304</v>
      </c>
      <c r="S332">
        <v>3.70938071581728</v>
      </c>
    </row>
    <row r="333" spans="8:19">
      <c r="H333" t="s">
        <v>215</v>
      </c>
      <c r="I333">
        <v>13</v>
      </c>
      <c r="J333" t="s">
        <v>548</v>
      </c>
      <c r="K333">
        <v>220</v>
      </c>
      <c r="L333">
        <v>7.6593999999999995E-2</v>
      </c>
      <c r="M333">
        <v>6</v>
      </c>
      <c r="N333">
        <v>58.256</v>
      </c>
      <c r="O333" t="s">
        <v>6617</v>
      </c>
      <c r="P333" t="s">
        <v>6586</v>
      </c>
      <c r="Q333">
        <v>1.0325599999999999</v>
      </c>
      <c r="R333" t="s">
        <v>3304</v>
      </c>
      <c r="S333">
        <v>4.6073447396838398</v>
      </c>
    </row>
    <row r="334" spans="8:19">
      <c r="H334" t="s">
        <v>215</v>
      </c>
      <c r="I334">
        <v>13</v>
      </c>
      <c r="J334" t="s">
        <v>548</v>
      </c>
      <c r="K334">
        <v>220</v>
      </c>
      <c r="L334">
        <v>7.6593999999999995E-2</v>
      </c>
      <c r="M334">
        <v>1</v>
      </c>
      <c r="N334">
        <v>66.899000000000001</v>
      </c>
      <c r="O334" t="s">
        <v>6485</v>
      </c>
      <c r="P334" t="s">
        <v>6586</v>
      </c>
      <c r="Q334">
        <v>1.0325599999999999</v>
      </c>
      <c r="R334" t="s">
        <v>3304</v>
      </c>
      <c r="S334">
        <v>5.2909014649153594</v>
      </c>
    </row>
    <row r="335" spans="8:19">
      <c r="H335" t="s">
        <v>215</v>
      </c>
      <c r="I335">
        <v>13</v>
      </c>
      <c r="J335" t="s">
        <v>548</v>
      </c>
      <c r="K335">
        <v>220</v>
      </c>
      <c r="L335">
        <v>7.6593999999999995E-2</v>
      </c>
      <c r="M335">
        <v>2</v>
      </c>
      <c r="N335">
        <v>61.454000000000001</v>
      </c>
      <c r="O335" t="s">
        <v>6485</v>
      </c>
      <c r="P335" t="s">
        <v>6586</v>
      </c>
      <c r="Q335">
        <v>1.0325599999999999</v>
      </c>
      <c r="R335" t="s">
        <v>3304</v>
      </c>
      <c r="S335">
        <v>4.8602678459305597</v>
      </c>
    </row>
    <row r="336" spans="8:19">
      <c r="H336" t="s">
        <v>215</v>
      </c>
      <c r="I336">
        <v>13</v>
      </c>
      <c r="J336" t="s">
        <v>548</v>
      </c>
      <c r="K336">
        <v>220</v>
      </c>
      <c r="L336">
        <v>7.6593999999999995E-2</v>
      </c>
      <c r="M336">
        <v>3</v>
      </c>
      <c r="N336">
        <v>32.872</v>
      </c>
      <c r="O336" t="s">
        <v>6485</v>
      </c>
      <c r="P336" t="s">
        <v>6586</v>
      </c>
      <c r="Q336">
        <v>1.0325599999999999</v>
      </c>
      <c r="R336" t="s">
        <v>3304</v>
      </c>
      <c r="S336">
        <v>2.59977746983808</v>
      </c>
    </row>
    <row r="337" spans="8:19">
      <c r="H337" t="s">
        <v>215</v>
      </c>
      <c r="I337">
        <v>13</v>
      </c>
      <c r="J337" t="s">
        <v>548</v>
      </c>
      <c r="K337">
        <v>220</v>
      </c>
      <c r="L337">
        <v>7.6593999999999995E-2</v>
      </c>
      <c r="M337">
        <v>4</v>
      </c>
      <c r="N337">
        <v>31.65</v>
      </c>
      <c r="O337" t="s">
        <v>6485</v>
      </c>
      <c r="P337" t="s">
        <v>6586</v>
      </c>
      <c r="Q337">
        <v>1.0325599999999999</v>
      </c>
      <c r="R337" t="s">
        <v>3304</v>
      </c>
      <c r="S337">
        <v>2.5031320552560001</v>
      </c>
    </row>
    <row r="338" spans="8:19">
      <c r="H338" t="s">
        <v>215</v>
      </c>
      <c r="I338">
        <v>13</v>
      </c>
      <c r="J338" t="s">
        <v>548</v>
      </c>
      <c r="K338">
        <v>220</v>
      </c>
      <c r="L338">
        <v>7.6593999999999995E-2</v>
      </c>
      <c r="M338">
        <v>5</v>
      </c>
      <c r="N338">
        <v>46.981999999999999</v>
      </c>
      <c r="O338" t="s">
        <v>6485</v>
      </c>
      <c r="P338" t="s">
        <v>6586</v>
      </c>
      <c r="Q338">
        <v>1.0325599999999999</v>
      </c>
      <c r="R338" t="s">
        <v>3304</v>
      </c>
      <c r="S338">
        <v>3.7157077478684801</v>
      </c>
    </row>
    <row r="339" spans="8:19">
      <c r="H339" t="s">
        <v>215</v>
      </c>
      <c r="I339">
        <v>13</v>
      </c>
      <c r="J339" t="s">
        <v>548</v>
      </c>
      <c r="K339">
        <v>220</v>
      </c>
      <c r="L339">
        <v>7.6593999999999995E-2</v>
      </c>
      <c r="M339">
        <v>6</v>
      </c>
      <c r="N339">
        <v>79.751999999999995</v>
      </c>
      <c r="O339" t="s">
        <v>6485</v>
      </c>
      <c r="P339" t="s">
        <v>6586</v>
      </c>
      <c r="Q339">
        <v>1.0325599999999999</v>
      </c>
      <c r="R339" t="s">
        <v>3304</v>
      </c>
      <c r="S339">
        <v>6.3074182518412787</v>
      </c>
    </row>
    <row r="340" spans="8:19">
      <c r="H340" t="s">
        <v>215</v>
      </c>
      <c r="I340">
        <v>13</v>
      </c>
      <c r="J340" t="s">
        <v>1197</v>
      </c>
      <c r="K340">
        <v>220</v>
      </c>
      <c r="L340">
        <v>1.0923E-2</v>
      </c>
      <c r="M340">
        <v>1</v>
      </c>
      <c r="N340">
        <v>55.825000000000003</v>
      </c>
      <c r="O340" t="s">
        <v>6617</v>
      </c>
      <c r="P340" t="s">
        <v>6586</v>
      </c>
      <c r="Q340">
        <v>1.0325599999999999</v>
      </c>
      <c r="R340" t="s">
        <v>3304</v>
      </c>
      <c r="S340">
        <v>0.629630797026</v>
      </c>
    </row>
    <row r="341" spans="8:19">
      <c r="H341" t="s">
        <v>215</v>
      </c>
      <c r="I341">
        <v>13</v>
      </c>
      <c r="J341" t="s">
        <v>1197</v>
      </c>
      <c r="K341">
        <v>220</v>
      </c>
      <c r="L341">
        <v>1.0923E-2</v>
      </c>
      <c r="M341">
        <v>2</v>
      </c>
      <c r="N341">
        <v>56.061999999999998</v>
      </c>
      <c r="O341" t="s">
        <v>6617</v>
      </c>
      <c r="P341" t="s">
        <v>6586</v>
      </c>
      <c r="Q341">
        <v>1.0325599999999999</v>
      </c>
      <c r="R341" t="s">
        <v>3304</v>
      </c>
      <c r="S341">
        <v>0.63230383775855992</v>
      </c>
    </row>
    <row r="342" spans="8:19">
      <c r="H342" t="s">
        <v>215</v>
      </c>
      <c r="I342">
        <v>13</v>
      </c>
      <c r="J342" t="s">
        <v>1197</v>
      </c>
      <c r="K342">
        <v>220</v>
      </c>
      <c r="L342">
        <v>1.0923E-2</v>
      </c>
      <c r="M342">
        <v>3</v>
      </c>
      <c r="N342">
        <v>39.136000000000003</v>
      </c>
      <c r="O342" t="s">
        <v>6617</v>
      </c>
      <c r="P342" t="s">
        <v>6586</v>
      </c>
      <c r="Q342">
        <v>1.0325599999999999</v>
      </c>
      <c r="R342" t="s">
        <v>3304</v>
      </c>
      <c r="S342">
        <v>0.44140135911167999</v>
      </c>
    </row>
    <row r="343" spans="8:19">
      <c r="H343" t="s">
        <v>215</v>
      </c>
      <c r="I343">
        <v>13</v>
      </c>
      <c r="J343" t="s">
        <v>1197</v>
      </c>
      <c r="K343">
        <v>220</v>
      </c>
      <c r="L343">
        <v>1.0923E-2</v>
      </c>
      <c r="M343">
        <v>4</v>
      </c>
      <c r="N343">
        <v>38.625</v>
      </c>
      <c r="O343" t="s">
        <v>6617</v>
      </c>
      <c r="P343" t="s">
        <v>6586</v>
      </c>
      <c r="Q343">
        <v>1.0325599999999999</v>
      </c>
      <c r="R343" t="s">
        <v>3304</v>
      </c>
      <c r="S343">
        <v>0.43563796749</v>
      </c>
    </row>
    <row r="344" spans="8:19">
      <c r="H344" t="s">
        <v>215</v>
      </c>
      <c r="I344">
        <v>13</v>
      </c>
      <c r="J344" t="s">
        <v>1197</v>
      </c>
      <c r="K344">
        <v>220</v>
      </c>
      <c r="L344">
        <v>1.0923E-2</v>
      </c>
      <c r="M344">
        <v>5</v>
      </c>
      <c r="N344">
        <v>49.764000000000003</v>
      </c>
      <c r="O344" t="s">
        <v>6617</v>
      </c>
      <c r="P344" t="s">
        <v>6586</v>
      </c>
      <c r="Q344">
        <v>1.0325599999999999</v>
      </c>
      <c r="R344" t="s">
        <v>3304</v>
      </c>
      <c r="S344">
        <v>0.56127088192032004</v>
      </c>
    </row>
    <row r="345" spans="8:19">
      <c r="H345" t="s">
        <v>215</v>
      </c>
      <c r="I345">
        <v>13</v>
      </c>
      <c r="J345" t="s">
        <v>1197</v>
      </c>
      <c r="K345">
        <v>220</v>
      </c>
      <c r="L345">
        <v>1.0923E-2</v>
      </c>
      <c r="M345">
        <v>6</v>
      </c>
      <c r="N345">
        <v>61.481999999999999</v>
      </c>
      <c r="O345" t="s">
        <v>6617</v>
      </c>
      <c r="P345" t="s">
        <v>6586</v>
      </c>
      <c r="Q345">
        <v>1.0325599999999999</v>
      </c>
      <c r="R345" t="s">
        <v>3304</v>
      </c>
      <c r="S345">
        <v>0.69343413636815998</v>
      </c>
    </row>
    <row r="346" spans="8:19">
      <c r="H346" t="s">
        <v>215</v>
      </c>
      <c r="I346">
        <v>13</v>
      </c>
      <c r="J346" t="s">
        <v>1197</v>
      </c>
      <c r="K346">
        <v>220</v>
      </c>
      <c r="L346">
        <v>1.0923E-2</v>
      </c>
      <c r="M346">
        <v>1</v>
      </c>
      <c r="N346">
        <v>70.069000000000003</v>
      </c>
      <c r="O346" t="s">
        <v>6485</v>
      </c>
      <c r="P346" t="s">
        <v>6586</v>
      </c>
      <c r="Q346">
        <v>1.0325599999999999</v>
      </c>
      <c r="R346" t="s">
        <v>3304</v>
      </c>
      <c r="S346">
        <v>0.79028392864871999</v>
      </c>
    </row>
    <row r="347" spans="8:19">
      <c r="H347" t="s">
        <v>215</v>
      </c>
      <c r="I347">
        <v>13</v>
      </c>
      <c r="J347" t="s">
        <v>1197</v>
      </c>
      <c r="K347">
        <v>220</v>
      </c>
      <c r="L347">
        <v>1.0923E-2</v>
      </c>
      <c r="M347">
        <v>2</v>
      </c>
      <c r="N347">
        <v>63.207000000000001</v>
      </c>
      <c r="O347" t="s">
        <v>6485</v>
      </c>
      <c r="P347" t="s">
        <v>6586</v>
      </c>
      <c r="Q347">
        <v>1.0325599999999999</v>
      </c>
      <c r="R347" t="s">
        <v>3304</v>
      </c>
      <c r="S347">
        <v>0.71288981258616002</v>
      </c>
    </row>
    <row r="348" spans="8:19">
      <c r="H348" t="s">
        <v>215</v>
      </c>
      <c r="I348">
        <v>13</v>
      </c>
      <c r="J348" t="s">
        <v>1197</v>
      </c>
      <c r="K348">
        <v>220</v>
      </c>
      <c r="L348">
        <v>1.0923E-2</v>
      </c>
      <c r="M348">
        <v>3</v>
      </c>
      <c r="N348">
        <v>32.453000000000003</v>
      </c>
      <c r="O348" t="s">
        <v>6485</v>
      </c>
      <c r="P348" t="s">
        <v>6586</v>
      </c>
      <c r="Q348">
        <v>1.0325599999999999</v>
      </c>
      <c r="R348" t="s">
        <v>3304</v>
      </c>
      <c r="S348">
        <v>0.36602612191464001</v>
      </c>
    </row>
    <row r="349" spans="8:19">
      <c r="H349" t="s">
        <v>215</v>
      </c>
      <c r="I349">
        <v>13</v>
      </c>
      <c r="J349" t="s">
        <v>1197</v>
      </c>
      <c r="K349">
        <v>220</v>
      </c>
      <c r="L349">
        <v>1.0923E-2</v>
      </c>
      <c r="M349">
        <v>4</v>
      </c>
      <c r="N349">
        <v>30.672000000000001</v>
      </c>
      <c r="O349" t="s">
        <v>6485</v>
      </c>
      <c r="P349" t="s">
        <v>6586</v>
      </c>
      <c r="Q349">
        <v>1.0325599999999999</v>
      </c>
      <c r="R349" t="s">
        <v>3304</v>
      </c>
      <c r="S349">
        <v>0.34593884113536</v>
      </c>
    </row>
    <row r="350" spans="8:19">
      <c r="H350" t="s">
        <v>215</v>
      </c>
      <c r="I350">
        <v>13</v>
      </c>
      <c r="J350" t="s">
        <v>1197</v>
      </c>
      <c r="K350">
        <v>220</v>
      </c>
      <c r="L350">
        <v>1.0923E-2</v>
      </c>
      <c r="M350">
        <v>5</v>
      </c>
      <c r="N350">
        <v>51.459000000000003</v>
      </c>
      <c r="O350" t="s">
        <v>6485</v>
      </c>
      <c r="P350" t="s">
        <v>6586</v>
      </c>
      <c r="Q350">
        <v>1.0325599999999999</v>
      </c>
      <c r="R350" t="s">
        <v>3304</v>
      </c>
      <c r="S350">
        <v>0.58038819855192003</v>
      </c>
    </row>
    <row r="351" spans="8:19">
      <c r="H351" t="s">
        <v>215</v>
      </c>
      <c r="I351">
        <v>13</v>
      </c>
      <c r="J351" t="s">
        <v>1197</v>
      </c>
      <c r="K351">
        <v>220</v>
      </c>
      <c r="L351">
        <v>1.0923E-2</v>
      </c>
      <c r="M351">
        <v>6</v>
      </c>
      <c r="N351">
        <v>87.926000000000002</v>
      </c>
      <c r="O351" t="s">
        <v>6485</v>
      </c>
      <c r="P351" t="s">
        <v>6586</v>
      </c>
      <c r="Q351">
        <v>1.0325599999999999</v>
      </c>
      <c r="R351" t="s">
        <v>3304</v>
      </c>
      <c r="S351">
        <v>0.99168683312688</v>
      </c>
    </row>
    <row r="352" spans="8:19">
      <c r="H352" t="s">
        <v>315</v>
      </c>
      <c r="I352">
        <v>15</v>
      </c>
      <c r="J352" t="s">
        <v>9</v>
      </c>
      <c r="K352">
        <v>220</v>
      </c>
      <c r="L352">
        <v>0.53241499999999997</v>
      </c>
      <c r="M352">
        <v>1</v>
      </c>
      <c r="N352">
        <v>55.936</v>
      </c>
      <c r="O352" t="s">
        <v>6617</v>
      </c>
      <c r="P352" t="s">
        <v>6586</v>
      </c>
      <c r="Q352">
        <v>1.0325599999999999</v>
      </c>
      <c r="R352" t="s">
        <v>3304</v>
      </c>
      <c r="S352">
        <v>30.7508401867264</v>
      </c>
    </row>
    <row r="353" spans="8:19">
      <c r="H353" t="s">
        <v>315</v>
      </c>
      <c r="I353">
        <v>15</v>
      </c>
      <c r="J353" t="s">
        <v>9</v>
      </c>
      <c r="K353">
        <v>220</v>
      </c>
      <c r="L353">
        <v>0.53241499999999997</v>
      </c>
      <c r="M353">
        <v>2</v>
      </c>
      <c r="N353">
        <v>56.033999999999999</v>
      </c>
      <c r="O353" t="s">
        <v>6617</v>
      </c>
      <c r="P353" t="s">
        <v>6586</v>
      </c>
      <c r="Q353">
        <v>1.0325599999999999</v>
      </c>
      <c r="R353" t="s">
        <v>3304</v>
      </c>
      <c r="S353">
        <v>30.804715729101591</v>
      </c>
    </row>
    <row r="354" spans="8:19">
      <c r="H354" t="s">
        <v>315</v>
      </c>
      <c r="I354">
        <v>15</v>
      </c>
      <c r="J354" t="s">
        <v>9</v>
      </c>
      <c r="K354">
        <v>220</v>
      </c>
      <c r="L354">
        <v>0.53241499999999997</v>
      </c>
      <c r="M354">
        <v>3</v>
      </c>
      <c r="N354">
        <v>39.116999999999997</v>
      </c>
      <c r="O354" t="s">
        <v>6617</v>
      </c>
      <c r="P354" t="s">
        <v>6586</v>
      </c>
      <c r="Q354">
        <v>1.0325599999999999</v>
      </c>
      <c r="R354" t="s">
        <v>3304</v>
      </c>
      <c r="S354">
        <v>21.50458766419079</v>
      </c>
    </row>
    <row r="355" spans="8:19">
      <c r="H355" t="s">
        <v>315</v>
      </c>
      <c r="I355">
        <v>15</v>
      </c>
      <c r="J355" t="s">
        <v>9</v>
      </c>
      <c r="K355">
        <v>220</v>
      </c>
      <c r="L355">
        <v>0.53241499999999997</v>
      </c>
      <c r="M355">
        <v>4</v>
      </c>
      <c r="N355">
        <v>38.668999999999997</v>
      </c>
      <c r="O355" t="s">
        <v>6617</v>
      </c>
      <c r="P355" t="s">
        <v>6586</v>
      </c>
      <c r="Q355">
        <v>1.0325599999999999</v>
      </c>
      <c r="R355" t="s">
        <v>3304</v>
      </c>
      <c r="S355">
        <v>21.258299470475599</v>
      </c>
    </row>
    <row r="356" spans="8:19">
      <c r="H356" t="s">
        <v>315</v>
      </c>
      <c r="I356">
        <v>15</v>
      </c>
      <c r="J356" t="s">
        <v>9</v>
      </c>
      <c r="K356">
        <v>220</v>
      </c>
      <c r="L356">
        <v>0.53241499999999997</v>
      </c>
      <c r="M356">
        <v>5</v>
      </c>
      <c r="N356">
        <v>51.475999999999999</v>
      </c>
      <c r="O356" t="s">
        <v>6617</v>
      </c>
      <c r="P356" t="s">
        <v>6586</v>
      </c>
      <c r="Q356">
        <v>1.0325599999999999</v>
      </c>
      <c r="R356" t="s">
        <v>3304</v>
      </c>
      <c r="S356">
        <v>28.29895325822239</v>
      </c>
    </row>
    <row r="357" spans="8:19">
      <c r="H357" t="s">
        <v>315</v>
      </c>
      <c r="I357">
        <v>15</v>
      </c>
      <c r="J357" t="s">
        <v>9</v>
      </c>
      <c r="K357">
        <v>220</v>
      </c>
      <c r="L357">
        <v>0.53241499999999997</v>
      </c>
      <c r="M357">
        <v>6</v>
      </c>
      <c r="N357">
        <v>62.256999999999998</v>
      </c>
      <c r="O357" t="s">
        <v>6617</v>
      </c>
      <c r="P357" t="s">
        <v>6586</v>
      </c>
      <c r="Q357">
        <v>1.0325599999999999</v>
      </c>
      <c r="R357" t="s">
        <v>3304</v>
      </c>
      <c r="S357">
        <v>34.225812669926789</v>
      </c>
    </row>
    <row r="358" spans="8:19">
      <c r="H358" t="s">
        <v>315</v>
      </c>
      <c r="I358">
        <v>15</v>
      </c>
      <c r="J358" t="s">
        <v>9</v>
      </c>
      <c r="K358">
        <v>220</v>
      </c>
      <c r="L358">
        <v>0.53241499999999997</v>
      </c>
      <c r="M358">
        <v>1</v>
      </c>
      <c r="N358">
        <v>69.262</v>
      </c>
      <c r="O358" t="s">
        <v>6485</v>
      </c>
      <c r="P358" t="s">
        <v>6586</v>
      </c>
      <c r="Q358">
        <v>1.0325599999999999</v>
      </c>
      <c r="R358" t="s">
        <v>3304</v>
      </c>
      <c r="S358">
        <v>38.076814448888797</v>
      </c>
    </row>
    <row r="359" spans="8:19">
      <c r="H359" t="s">
        <v>315</v>
      </c>
      <c r="I359">
        <v>15</v>
      </c>
      <c r="J359" t="s">
        <v>9</v>
      </c>
      <c r="K359">
        <v>220</v>
      </c>
      <c r="L359">
        <v>0.53241499999999997</v>
      </c>
      <c r="M359">
        <v>2</v>
      </c>
      <c r="N359">
        <v>62.783000000000001</v>
      </c>
      <c r="O359" t="s">
        <v>6485</v>
      </c>
      <c r="P359" t="s">
        <v>6586</v>
      </c>
      <c r="Q359">
        <v>1.0325599999999999</v>
      </c>
      <c r="R359" t="s">
        <v>3304</v>
      </c>
      <c r="S359">
        <v>34.514981397369198</v>
      </c>
    </row>
    <row r="360" spans="8:19">
      <c r="H360" t="s">
        <v>315</v>
      </c>
      <c r="I360">
        <v>15</v>
      </c>
      <c r="J360" t="s">
        <v>9</v>
      </c>
      <c r="K360">
        <v>220</v>
      </c>
      <c r="L360">
        <v>0.53241499999999997</v>
      </c>
      <c r="M360">
        <v>3</v>
      </c>
      <c r="N360">
        <v>32.915999999999997</v>
      </c>
      <c r="O360" t="s">
        <v>6485</v>
      </c>
      <c r="P360" t="s">
        <v>6586</v>
      </c>
      <c r="Q360">
        <v>1.0325599999999999</v>
      </c>
      <c r="R360" t="s">
        <v>3304</v>
      </c>
      <c r="S360">
        <v>18.095585232878399</v>
      </c>
    </row>
    <row r="361" spans="8:19">
      <c r="H361" t="s">
        <v>315</v>
      </c>
      <c r="I361">
        <v>15</v>
      </c>
      <c r="J361" t="s">
        <v>9</v>
      </c>
      <c r="K361">
        <v>220</v>
      </c>
      <c r="L361">
        <v>0.53241499999999997</v>
      </c>
      <c r="M361">
        <v>4</v>
      </c>
      <c r="N361">
        <v>32.179000000000002</v>
      </c>
      <c r="O361" t="s">
        <v>6485</v>
      </c>
      <c r="P361" t="s">
        <v>6586</v>
      </c>
      <c r="Q361">
        <v>1.0325599999999999</v>
      </c>
      <c r="R361" t="s">
        <v>3304</v>
      </c>
      <c r="S361">
        <v>17.6904191641996</v>
      </c>
    </row>
    <row r="362" spans="8:19">
      <c r="H362" t="s">
        <v>315</v>
      </c>
      <c r="I362">
        <v>15</v>
      </c>
      <c r="J362" t="s">
        <v>9</v>
      </c>
      <c r="K362">
        <v>220</v>
      </c>
      <c r="L362">
        <v>0.53241499999999997</v>
      </c>
      <c r="M362">
        <v>5</v>
      </c>
      <c r="N362">
        <v>54.389000000000003</v>
      </c>
      <c r="O362" t="s">
        <v>6485</v>
      </c>
      <c r="P362" t="s">
        <v>6586</v>
      </c>
      <c r="Q362">
        <v>1.0325599999999999</v>
      </c>
      <c r="R362" t="s">
        <v>3304</v>
      </c>
      <c r="S362">
        <v>29.900376267803601</v>
      </c>
    </row>
    <row r="363" spans="8:19">
      <c r="H363" t="s">
        <v>315</v>
      </c>
      <c r="I363">
        <v>15</v>
      </c>
      <c r="J363" t="s">
        <v>9</v>
      </c>
      <c r="K363">
        <v>220</v>
      </c>
      <c r="L363">
        <v>0.53241499999999997</v>
      </c>
      <c r="M363">
        <v>6</v>
      </c>
      <c r="N363">
        <v>88.427000000000007</v>
      </c>
      <c r="O363" t="s">
        <v>6485</v>
      </c>
      <c r="P363" t="s">
        <v>6586</v>
      </c>
      <c r="Q363">
        <v>1.0325599999999999</v>
      </c>
      <c r="R363" t="s">
        <v>3304</v>
      </c>
      <c r="S363">
        <v>48.612781485834788</v>
      </c>
    </row>
    <row r="364" spans="8:19">
      <c r="H364" t="s">
        <v>315</v>
      </c>
      <c r="I364">
        <v>15</v>
      </c>
      <c r="J364" t="s">
        <v>14</v>
      </c>
      <c r="K364">
        <v>220</v>
      </c>
      <c r="L364">
        <v>7.2610000000000001E-3</v>
      </c>
      <c r="M364">
        <v>1</v>
      </c>
      <c r="N364">
        <v>56.027999999999999</v>
      </c>
      <c r="O364" t="s">
        <v>6617</v>
      </c>
      <c r="P364" t="s">
        <v>6586</v>
      </c>
      <c r="Q364">
        <v>1.0325599999999999</v>
      </c>
      <c r="R364" t="s">
        <v>3304</v>
      </c>
      <c r="S364">
        <v>0.42006534466847989</v>
      </c>
    </row>
    <row r="365" spans="8:19">
      <c r="H365" t="s">
        <v>315</v>
      </c>
      <c r="I365">
        <v>15</v>
      </c>
      <c r="J365" t="s">
        <v>14</v>
      </c>
      <c r="K365">
        <v>220</v>
      </c>
      <c r="L365">
        <v>7.2610000000000001E-3</v>
      </c>
      <c r="M365">
        <v>2</v>
      </c>
      <c r="N365">
        <v>56.122999999999998</v>
      </c>
      <c r="O365" t="s">
        <v>6617</v>
      </c>
      <c r="P365" t="s">
        <v>6586</v>
      </c>
      <c r="Q365">
        <v>1.0325599999999999</v>
      </c>
      <c r="R365" t="s">
        <v>3304</v>
      </c>
      <c r="S365">
        <v>0.42077759939367992</v>
      </c>
    </row>
    <row r="366" spans="8:19">
      <c r="H366" t="s">
        <v>315</v>
      </c>
      <c r="I366">
        <v>15</v>
      </c>
      <c r="J366" t="s">
        <v>14</v>
      </c>
      <c r="K366">
        <v>220</v>
      </c>
      <c r="L366">
        <v>7.2610000000000001E-3</v>
      </c>
      <c r="M366">
        <v>3</v>
      </c>
      <c r="N366">
        <v>39.145000000000003</v>
      </c>
      <c r="O366" t="s">
        <v>6617</v>
      </c>
      <c r="P366" t="s">
        <v>6586</v>
      </c>
      <c r="Q366">
        <v>1.0325599999999999</v>
      </c>
      <c r="R366" t="s">
        <v>3304</v>
      </c>
      <c r="S366">
        <v>0.2934864338732</v>
      </c>
    </row>
    <row r="367" spans="8:19">
      <c r="H367" t="s">
        <v>315</v>
      </c>
      <c r="I367">
        <v>15</v>
      </c>
      <c r="J367" t="s">
        <v>14</v>
      </c>
      <c r="K367">
        <v>220</v>
      </c>
      <c r="L367">
        <v>7.2610000000000001E-3</v>
      </c>
      <c r="M367">
        <v>4</v>
      </c>
      <c r="N367">
        <v>38.646999999999998</v>
      </c>
      <c r="O367" t="s">
        <v>6617</v>
      </c>
      <c r="P367" t="s">
        <v>6586</v>
      </c>
      <c r="Q367">
        <v>1.0325599999999999</v>
      </c>
      <c r="R367" t="s">
        <v>3304</v>
      </c>
      <c r="S367">
        <v>0.28975271962951998</v>
      </c>
    </row>
    <row r="368" spans="8:19">
      <c r="H368" t="s">
        <v>315</v>
      </c>
      <c r="I368">
        <v>15</v>
      </c>
      <c r="J368" t="s">
        <v>14</v>
      </c>
      <c r="K368">
        <v>220</v>
      </c>
      <c r="L368">
        <v>7.2610000000000001E-3</v>
      </c>
      <c r="M368">
        <v>5</v>
      </c>
      <c r="N368">
        <v>49.831000000000003</v>
      </c>
      <c r="O368" t="s">
        <v>6617</v>
      </c>
      <c r="P368" t="s">
        <v>6586</v>
      </c>
      <c r="Q368">
        <v>1.0325599999999999</v>
      </c>
      <c r="R368" t="s">
        <v>3304</v>
      </c>
      <c r="S368">
        <v>0.37360384433096</v>
      </c>
    </row>
    <row r="369" spans="8:19">
      <c r="H369" t="s">
        <v>315</v>
      </c>
      <c r="I369">
        <v>15</v>
      </c>
      <c r="J369" t="s">
        <v>14</v>
      </c>
      <c r="K369">
        <v>220</v>
      </c>
      <c r="L369">
        <v>7.2610000000000001E-3</v>
      </c>
      <c r="M369">
        <v>6</v>
      </c>
      <c r="N369">
        <v>61.533000000000001</v>
      </c>
      <c r="O369" t="s">
        <v>6617</v>
      </c>
      <c r="P369" t="s">
        <v>6586</v>
      </c>
      <c r="Q369">
        <v>1.0325599999999999</v>
      </c>
      <c r="R369" t="s">
        <v>3304</v>
      </c>
      <c r="S369">
        <v>0.46133863163928002</v>
      </c>
    </row>
    <row r="370" spans="8:19">
      <c r="H370" t="s">
        <v>315</v>
      </c>
      <c r="I370">
        <v>15</v>
      </c>
      <c r="J370" t="s">
        <v>14</v>
      </c>
      <c r="K370">
        <v>220</v>
      </c>
      <c r="L370">
        <v>7.2610000000000001E-3</v>
      </c>
      <c r="M370">
        <v>1</v>
      </c>
      <c r="N370">
        <v>70.548000000000002</v>
      </c>
      <c r="O370" t="s">
        <v>6485</v>
      </c>
      <c r="P370" t="s">
        <v>6586</v>
      </c>
      <c r="Q370">
        <v>1.0325599999999999</v>
      </c>
      <c r="R370" t="s">
        <v>3304</v>
      </c>
      <c r="S370">
        <v>0.52892785635168005</v>
      </c>
    </row>
    <row r="371" spans="8:19">
      <c r="H371" t="s">
        <v>315</v>
      </c>
      <c r="I371">
        <v>15</v>
      </c>
      <c r="J371" t="s">
        <v>14</v>
      </c>
      <c r="K371">
        <v>220</v>
      </c>
      <c r="L371">
        <v>7.2610000000000001E-3</v>
      </c>
      <c r="M371">
        <v>2</v>
      </c>
      <c r="N371">
        <v>63.55</v>
      </c>
      <c r="O371" t="s">
        <v>6485</v>
      </c>
      <c r="P371" t="s">
        <v>6586</v>
      </c>
      <c r="Q371">
        <v>1.0325599999999999</v>
      </c>
      <c r="R371" t="s">
        <v>3304</v>
      </c>
      <c r="S371">
        <v>0.47646092406799989</v>
      </c>
    </row>
    <row r="372" spans="8:19">
      <c r="H372" t="s">
        <v>315</v>
      </c>
      <c r="I372">
        <v>15</v>
      </c>
      <c r="J372" t="s">
        <v>14</v>
      </c>
      <c r="K372">
        <v>220</v>
      </c>
      <c r="L372">
        <v>7.2610000000000001E-3</v>
      </c>
      <c r="M372">
        <v>3</v>
      </c>
      <c r="N372">
        <v>32.978000000000002</v>
      </c>
      <c r="O372" t="s">
        <v>6485</v>
      </c>
      <c r="P372" t="s">
        <v>6586</v>
      </c>
      <c r="Q372">
        <v>1.0325599999999999</v>
      </c>
      <c r="R372" t="s">
        <v>3304</v>
      </c>
      <c r="S372">
        <v>0.24724985608048</v>
      </c>
    </row>
    <row r="373" spans="8:19">
      <c r="H373" t="s">
        <v>315</v>
      </c>
      <c r="I373">
        <v>15</v>
      </c>
      <c r="J373" t="s">
        <v>14</v>
      </c>
      <c r="K373">
        <v>220</v>
      </c>
      <c r="L373">
        <v>7.2610000000000001E-3</v>
      </c>
      <c r="M373">
        <v>4</v>
      </c>
      <c r="N373">
        <v>31.867000000000001</v>
      </c>
      <c r="O373" t="s">
        <v>6485</v>
      </c>
      <c r="P373" t="s">
        <v>6586</v>
      </c>
      <c r="Q373">
        <v>1.0325599999999999</v>
      </c>
      <c r="R373" t="s">
        <v>3304</v>
      </c>
      <c r="S373">
        <v>0.23892022450472</v>
      </c>
    </row>
    <row r="374" spans="8:19">
      <c r="H374" t="s">
        <v>315</v>
      </c>
      <c r="I374">
        <v>15</v>
      </c>
      <c r="J374" t="s">
        <v>14</v>
      </c>
      <c r="K374">
        <v>220</v>
      </c>
      <c r="L374">
        <v>7.2610000000000001E-3</v>
      </c>
      <c r="M374">
        <v>5</v>
      </c>
      <c r="N374">
        <v>51.658000000000001</v>
      </c>
      <c r="O374" t="s">
        <v>6485</v>
      </c>
      <c r="P374" t="s">
        <v>6586</v>
      </c>
      <c r="Q374">
        <v>1.0325599999999999</v>
      </c>
      <c r="R374" t="s">
        <v>3304</v>
      </c>
      <c r="S374">
        <v>0.38730162730928003</v>
      </c>
    </row>
    <row r="375" spans="8:19">
      <c r="H375" t="s">
        <v>315</v>
      </c>
      <c r="I375">
        <v>15</v>
      </c>
      <c r="J375" t="s">
        <v>14</v>
      </c>
      <c r="K375">
        <v>220</v>
      </c>
      <c r="L375">
        <v>7.2610000000000001E-3</v>
      </c>
      <c r="M375">
        <v>6</v>
      </c>
      <c r="N375">
        <v>88.040999999999997</v>
      </c>
      <c r="O375" t="s">
        <v>6485</v>
      </c>
      <c r="P375" t="s">
        <v>6586</v>
      </c>
      <c r="Q375">
        <v>1.0325599999999999</v>
      </c>
      <c r="R375" t="s">
        <v>3304</v>
      </c>
      <c r="S375">
        <v>0.66008019222455994</v>
      </c>
    </row>
    <row r="376" spans="8:19">
      <c r="H376" t="s">
        <v>315</v>
      </c>
      <c r="I376">
        <v>15</v>
      </c>
      <c r="J376" t="s">
        <v>248</v>
      </c>
      <c r="K376">
        <v>220</v>
      </c>
      <c r="L376">
        <v>1.2921E-2</v>
      </c>
      <c r="M376">
        <v>1</v>
      </c>
      <c r="N376">
        <v>54.328000000000003</v>
      </c>
      <c r="O376" t="s">
        <v>6617</v>
      </c>
      <c r="P376" t="s">
        <v>6586</v>
      </c>
      <c r="Q376">
        <v>1.0325599999999999</v>
      </c>
      <c r="R376" t="s">
        <v>3304</v>
      </c>
      <c r="S376">
        <v>0.72482829918527991</v>
      </c>
    </row>
    <row r="377" spans="8:19">
      <c r="H377" t="s">
        <v>315</v>
      </c>
      <c r="I377">
        <v>15</v>
      </c>
      <c r="J377" t="s">
        <v>248</v>
      </c>
      <c r="K377">
        <v>220</v>
      </c>
      <c r="L377">
        <v>1.2921E-2</v>
      </c>
      <c r="M377">
        <v>2</v>
      </c>
      <c r="N377">
        <v>54.436999999999998</v>
      </c>
      <c r="O377" t="s">
        <v>6617</v>
      </c>
      <c r="P377" t="s">
        <v>6586</v>
      </c>
      <c r="Q377">
        <v>1.0325599999999999</v>
      </c>
      <c r="R377" t="s">
        <v>3304</v>
      </c>
      <c r="S377">
        <v>0.72628254533111991</v>
      </c>
    </row>
    <row r="378" spans="8:19">
      <c r="H378" t="s">
        <v>315</v>
      </c>
      <c r="I378">
        <v>15</v>
      </c>
      <c r="J378" t="s">
        <v>248</v>
      </c>
      <c r="K378">
        <v>220</v>
      </c>
      <c r="L378">
        <v>1.2921E-2</v>
      </c>
      <c r="M378">
        <v>3</v>
      </c>
      <c r="N378">
        <v>39.161000000000001</v>
      </c>
      <c r="O378" t="s">
        <v>6617</v>
      </c>
      <c r="P378" t="s">
        <v>6586</v>
      </c>
      <c r="Q378">
        <v>1.0325599999999999</v>
      </c>
      <c r="R378" t="s">
        <v>3304</v>
      </c>
      <c r="S378">
        <v>0.52247461758935998</v>
      </c>
    </row>
    <row r="379" spans="8:19">
      <c r="H379" t="s">
        <v>315</v>
      </c>
      <c r="I379">
        <v>15</v>
      </c>
      <c r="J379" t="s">
        <v>248</v>
      </c>
      <c r="K379">
        <v>220</v>
      </c>
      <c r="L379">
        <v>1.2921E-2</v>
      </c>
      <c r="M379">
        <v>4</v>
      </c>
      <c r="N379">
        <v>38.674999999999997</v>
      </c>
      <c r="O379" t="s">
        <v>6617</v>
      </c>
      <c r="P379" t="s">
        <v>6586</v>
      </c>
      <c r="Q379">
        <v>1.0325599999999999</v>
      </c>
      <c r="R379" t="s">
        <v>3304</v>
      </c>
      <c r="S379">
        <v>0.5159905476179999</v>
      </c>
    </row>
    <row r="380" spans="8:19">
      <c r="H380" t="s">
        <v>315</v>
      </c>
      <c r="I380">
        <v>15</v>
      </c>
      <c r="J380" t="s">
        <v>248</v>
      </c>
      <c r="K380">
        <v>220</v>
      </c>
      <c r="L380">
        <v>1.2921E-2</v>
      </c>
      <c r="M380">
        <v>5</v>
      </c>
      <c r="N380">
        <v>49.055</v>
      </c>
      <c r="O380" t="s">
        <v>6617</v>
      </c>
      <c r="P380" t="s">
        <v>6586</v>
      </c>
      <c r="Q380">
        <v>1.0325599999999999</v>
      </c>
      <c r="R380" t="s">
        <v>3304</v>
      </c>
      <c r="S380">
        <v>0.65447747416680002</v>
      </c>
    </row>
    <row r="381" spans="8:19">
      <c r="H381" t="s">
        <v>315</v>
      </c>
      <c r="I381">
        <v>15</v>
      </c>
      <c r="J381" t="s">
        <v>248</v>
      </c>
      <c r="K381">
        <v>220</v>
      </c>
      <c r="L381">
        <v>1.2921E-2</v>
      </c>
      <c r="M381">
        <v>6</v>
      </c>
      <c r="N381">
        <v>58.87</v>
      </c>
      <c r="O381" t="s">
        <v>6617</v>
      </c>
      <c r="P381" t="s">
        <v>6586</v>
      </c>
      <c r="Q381">
        <v>1.0325599999999999</v>
      </c>
      <c r="R381" t="s">
        <v>3304</v>
      </c>
      <c r="S381">
        <v>0.78542633583119992</v>
      </c>
    </row>
    <row r="382" spans="8:19">
      <c r="H382" t="s">
        <v>315</v>
      </c>
      <c r="I382">
        <v>15</v>
      </c>
      <c r="J382" t="s">
        <v>248</v>
      </c>
      <c r="K382">
        <v>220</v>
      </c>
      <c r="L382">
        <v>1.2921E-2</v>
      </c>
      <c r="M382">
        <v>1</v>
      </c>
      <c r="N382">
        <v>65.05</v>
      </c>
      <c r="O382" t="s">
        <v>6485</v>
      </c>
      <c r="P382" t="s">
        <v>6586</v>
      </c>
      <c r="Q382">
        <v>1.0325599999999999</v>
      </c>
      <c r="R382" t="s">
        <v>3304</v>
      </c>
      <c r="S382">
        <v>0.86787808978799985</v>
      </c>
    </row>
    <row r="383" spans="8:19">
      <c r="H383" t="s">
        <v>315</v>
      </c>
      <c r="I383">
        <v>15</v>
      </c>
      <c r="J383" t="s">
        <v>248</v>
      </c>
      <c r="K383">
        <v>220</v>
      </c>
      <c r="L383">
        <v>1.2921E-2</v>
      </c>
      <c r="M383">
        <v>2</v>
      </c>
      <c r="N383">
        <v>60.055999999999997</v>
      </c>
      <c r="O383" t="s">
        <v>6485</v>
      </c>
      <c r="P383" t="s">
        <v>6586</v>
      </c>
      <c r="Q383">
        <v>1.0325599999999999</v>
      </c>
      <c r="R383" t="s">
        <v>3304</v>
      </c>
      <c r="S383">
        <v>0.80124960123455991</v>
      </c>
    </row>
    <row r="384" spans="8:19">
      <c r="H384" t="s">
        <v>315</v>
      </c>
      <c r="I384">
        <v>15</v>
      </c>
      <c r="J384" t="s">
        <v>248</v>
      </c>
      <c r="K384">
        <v>220</v>
      </c>
      <c r="L384">
        <v>1.2921E-2</v>
      </c>
      <c r="M384">
        <v>3</v>
      </c>
      <c r="N384">
        <v>33.075000000000003</v>
      </c>
      <c r="O384" t="s">
        <v>6485</v>
      </c>
      <c r="P384" t="s">
        <v>6586</v>
      </c>
      <c r="Q384">
        <v>1.0325599999999999</v>
      </c>
      <c r="R384" t="s">
        <v>3304</v>
      </c>
      <c r="S384">
        <v>0.44127698416200001</v>
      </c>
    </row>
    <row r="385" spans="8:19">
      <c r="H385" t="s">
        <v>315</v>
      </c>
      <c r="I385">
        <v>15</v>
      </c>
      <c r="J385" t="s">
        <v>248</v>
      </c>
      <c r="K385">
        <v>220</v>
      </c>
      <c r="L385">
        <v>1.2921E-2</v>
      </c>
      <c r="M385">
        <v>4</v>
      </c>
      <c r="N385">
        <v>32.075000000000003</v>
      </c>
      <c r="O385" t="s">
        <v>6485</v>
      </c>
      <c r="P385" t="s">
        <v>6586</v>
      </c>
      <c r="Q385">
        <v>1.0325599999999999</v>
      </c>
      <c r="R385" t="s">
        <v>3304</v>
      </c>
      <c r="S385">
        <v>0.42793527640200002</v>
      </c>
    </row>
    <row r="386" spans="8:19">
      <c r="H386" t="s">
        <v>315</v>
      </c>
      <c r="I386">
        <v>15</v>
      </c>
      <c r="J386" t="s">
        <v>248</v>
      </c>
      <c r="K386">
        <v>220</v>
      </c>
      <c r="L386">
        <v>1.2921E-2</v>
      </c>
      <c r="M386">
        <v>5</v>
      </c>
      <c r="N386">
        <v>50.77</v>
      </c>
      <c r="O386" t="s">
        <v>6485</v>
      </c>
      <c r="P386" t="s">
        <v>6586</v>
      </c>
      <c r="Q386">
        <v>1.0325599999999999</v>
      </c>
      <c r="R386" t="s">
        <v>3304</v>
      </c>
      <c r="S386">
        <v>0.67735850297520006</v>
      </c>
    </row>
    <row r="387" spans="8:19">
      <c r="H387" t="s">
        <v>315</v>
      </c>
      <c r="I387">
        <v>15</v>
      </c>
      <c r="J387" t="s">
        <v>248</v>
      </c>
      <c r="K387">
        <v>220</v>
      </c>
      <c r="L387">
        <v>1.2921E-2</v>
      </c>
      <c r="M387">
        <v>6</v>
      </c>
      <c r="N387">
        <v>78.662999999999997</v>
      </c>
      <c r="O387" t="s">
        <v>6485</v>
      </c>
      <c r="P387" t="s">
        <v>6586</v>
      </c>
      <c r="Q387">
        <v>1.0325599999999999</v>
      </c>
      <c r="R387" t="s">
        <v>3304</v>
      </c>
      <c r="S387">
        <v>1.04949875752488</v>
      </c>
    </row>
    <row r="388" spans="8:19">
      <c r="H388" t="s">
        <v>315</v>
      </c>
      <c r="I388">
        <v>15</v>
      </c>
      <c r="J388" t="s">
        <v>548</v>
      </c>
      <c r="K388">
        <v>220</v>
      </c>
      <c r="L388">
        <v>0.44367099999999998</v>
      </c>
      <c r="M388">
        <v>1</v>
      </c>
      <c r="N388">
        <v>55.128</v>
      </c>
      <c r="O388" t="s">
        <v>6617</v>
      </c>
      <c r="P388" t="s">
        <v>6586</v>
      </c>
      <c r="Q388">
        <v>1.0325599999999999</v>
      </c>
      <c r="R388" t="s">
        <v>3304</v>
      </c>
      <c r="S388">
        <v>25.255069993553281</v>
      </c>
    </row>
    <row r="389" spans="8:19">
      <c r="H389" t="s">
        <v>315</v>
      </c>
      <c r="I389">
        <v>15</v>
      </c>
      <c r="J389" t="s">
        <v>548</v>
      </c>
      <c r="K389">
        <v>220</v>
      </c>
      <c r="L389">
        <v>0.44367099999999998</v>
      </c>
      <c r="M389">
        <v>2</v>
      </c>
      <c r="N389">
        <v>55.256999999999998</v>
      </c>
      <c r="O389" t="s">
        <v>6617</v>
      </c>
      <c r="P389" t="s">
        <v>6586</v>
      </c>
      <c r="Q389">
        <v>1.0325599999999999</v>
      </c>
      <c r="R389" t="s">
        <v>3304</v>
      </c>
      <c r="S389">
        <v>25.31416707723432</v>
      </c>
    </row>
    <row r="390" spans="8:19">
      <c r="H390" t="s">
        <v>315</v>
      </c>
      <c r="I390">
        <v>15</v>
      </c>
      <c r="J390" t="s">
        <v>548</v>
      </c>
      <c r="K390">
        <v>220</v>
      </c>
      <c r="L390">
        <v>0.44367099999999998</v>
      </c>
      <c r="M390">
        <v>3</v>
      </c>
      <c r="N390">
        <v>39.152000000000001</v>
      </c>
      <c r="O390" t="s">
        <v>6617</v>
      </c>
      <c r="P390" t="s">
        <v>6586</v>
      </c>
      <c r="Q390">
        <v>1.0325599999999999</v>
      </c>
      <c r="R390" t="s">
        <v>3304</v>
      </c>
      <c r="S390">
        <v>17.936193955659519</v>
      </c>
    </row>
    <row r="391" spans="8:19">
      <c r="H391" t="s">
        <v>315</v>
      </c>
      <c r="I391">
        <v>15</v>
      </c>
      <c r="J391" t="s">
        <v>548</v>
      </c>
      <c r="K391">
        <v>220</v>
      </c>
      <c r="L391">
        <v>0.44367099999999998</v>
      </c>
      <c r="M391">
        <v>4</v>
      </c>
      <c r="N391">
        <v>38.615000000000002</v>
      </c>
      <c r="O391" t="s">
        <v>6617</v>
      </c>
      <c r="P391" t="s">
        <v>6586</v>
      </c>
      <c r="Q391">
        <v>1.0325599999999999</v>
      </c>
      <c r="R391" t="s">
        <v>3304</v>
      </c>
      <c r="S391">
        <v>17.690185165452402</v>
      </c>
    </row>
    <row r="392" spans="8:19">
      <c r="H392" t="s">
        <v>315</v>
      </c>
      <c r="I392">
        <v>15</v>
      </c>
      <c r="J392" t="s">
        <v>548</v>
      </c>
      <c r="K392">
        <v>220</v>
      </c>
      <c r="L392">
        <v>0.44367099999999998</v>
      </c>
      <c r="M392">
        <v>5</v>
      </c>
      <c r="N392">
        <v>46.902000000000001</v>
      </c>
      <c r="O392" t="s">
        <v>6617</v>
      </c>
      <c r="P392" t="s">
        <v>6586</v>
      </c>
      <c r="Q392">
        <v>1.0325599999999999</v>
      </c>
      <c r="R392" t="s">
        <v>3304</v>
      </c>
      <c r="S392">
        <v>21.486600145799521</v>
      </c>
    </row>
    <row r="393" spans="8:19">
      <c r="H393" t="s">
        <v>315</v>
      </c>
      <c r="I393">
        <v>15</v>
      </c>
      <c r="J393" t="s">
        <v>548</v>
      </c>
      <c r="K393">
        <v>220</v>
      </c>
      <c r="L393">
        <v>0.44367099999999998</v>
      </c>
      <c r="M393">
        <v>6</v>
      </c>
      <c r="N393">
        <v>58.256</v>
      </c>
      <c r="O393" t="s">
        <v>6617</v>
      </c>
      <c r="P393" t="s">
        <v>6586</v>
      </c>
      <c r="Q393">
        <v>1.0325599999999999</v>
      </c>
      <c r="R393" t="s">
        <v>3304</v>
      </c>
      <c r="S393">
        <v>26.68805974358656</v>
      </c>
    </row>
    <row r="394" spans="8:19">
      <c r="H394" t="s">
        <v>315</v>
      </c>
      <c r="I394">
        <v>15</v>
      </c>
      <c r="J394" t="s">
        <v>548</v>
      </c>
      <c r="K394">
        <v>220</v>
      </c>
      <c r="L394">
        <v>0.44367099999999998</v>
      </c>
      <c r="M394">
        <v>1</v>
      </c>
      <c r="N394">
        <v>66.899000000000001</v>
      </c>
      <c r="O394" t="s">
        <v>6485</v>
      </c>
      <c r="P394" t="s">
        <v>6586</v>
      </c>
      <c r="Q394">
        <v>1.0325599999999999</v>
      </c>
      <c r="R394" t="s">
        <v>3304</v>
      </c>
      <c r="S394">
        <v>30.647564350216239</v>
      </c>
    </row>
    <row r="395" spans="8:19">
      <c r="H395" t="s">
        <v>315</v>
      </c>
      <c r="I395">
        <v>15</v>
      </c>
      <c r="J395" t="s">
        <v>548</v>
      </c>
      <c r="K395">
        <v>220</v>
      </c>
      <c r="L395">
        <v>0.44367099999999998</v>
      </c>
      <c r="M395">
        <v>2</v>
      </c>
      <c r="N395">
        <v>61.454000000000001</v>
      </c>
      <c r="O395" t="s">
        <v>6485</v>
      </c>
      <c r="P395" t="s">
        <v>6586</v>
      </c>
      <c r="Q395">
        <v>1.0325599999999999</v>
      </c>
      <c r="R395" t="s">
        <v>3304</v>
      </c>
      <c r="S395">
        <v>28.153117678563039</v>
      </c>
    </row>
    <row r="396" spans="8:19">
      <c r="H396" t="s">
        <v>315</v>
      </c>
      <c r="I396">
        <v>15</v>
      </c>
      <c r="J396" t="s">
        <v>548</v>
      </c>
      <c r="K396">
        <v>220</v>
      </c>
      <c r="L396">
        <v>0.44367099999999998</v>
      </c>
      <c r="M396">
        <v>3</v>
      </c>
      <c r="N396">
        <v>32.872</v>
      </c>
      <c r="O396" t="s">
        <v>6485</v>
      </c>
      <c r="P396" t="s">
        <v>6586</v>
      </c>
      <c r="Q396">
        <v>1.0325599999999999</v>
      </c>
      <c r="R396" t="s">
        <v>3304</v>
      </c>
      <c r="S396">
        <v>15.059219649326719</v>
      </c>
    </row>
    <row r="397" spans="8:19">
      <c r="H397" t="s">
        <v>315</v>
      </c>
      <c r="I397">
        <v>15</v>
      </c>
      <c r="J397" t="s">
        <v>548</v>
      </c>
      <c r="K397">
        <v>220</v>
      </c>
      <c r="L397">
        <v>0.44367099999999998</v>
      </c>
      <c r="M397">
        <v>4</v>
      </c>
      <c r="N397">
        <v>31.65</v>
      </c>
      <c r="O397" t="s">
        <v>6485</v>
      </c>
      <c r="P397" t="s">
        <v>6586</v>
      </c>
      <c r="Q397">
        <v>1.0325599999999999</v>
      </c>
      <c r="R397" t="s">
        <v>3304</v>
      </c>
      <c r="S397">
        <v>14.499400763603999</v>
      </c>
    </row>
    <row r="398" spans="8:19">
      <c r="H398" t="s">
        <v>315</v>
      </c>
      <c r="I398">
        <v>15</v>
      </c>
      <c r="J398" t="s">
        <v>548</v>
      </c>
      <c r="K398">
        <v>220</v>
      </c>
      <c r="L398">
        <v>0.44367099999999998</v>
      </c>
      <c r="M398">
        <v>5</v>
      </c>
      <c r="N398">
        <v>46.981999999999999</v>
      </c>
      <c r="O398" t="s">
        <v>6485</v>
      </c>
      <c r="P398" t="s">
        <v>6586</v>
      </c>
      <c r="Q398">
        <v>1.0325599999999999</v>
      </c>
      <c r="R398" t="s">
        <v>3304</v>
      </c>
      <c r="S398">
        <v>21.52324950002032</v>
      </c>
    </row>
    <row r="399" spans="8:19">
      <c r="H399" t="s">
        <v>315</v>
      </c>
      <c r="I399">
        <v>15</v>
      </c>
      <c r="J399" t="s">
        <v>548</v>
      </c>
      <c r="K399">
        <v>220</v>
      </c>
      <c r="L399">
        <v>0.44367099999999998</v>
      </c>
      <c r="M399">
        <v>6</v>
      </c>
      <c r="N399">
        <v>79.751999999999995</v>
      </c>
      <c r="O399" t="s">
        <v>6485</v>
      </c>
      <c r="P399" t="s">
        <v>6586</v>
      </c>
      <c r="Q399">
        <v>1.0325599999999999</v>
      </c>
      <c r="R399" t="s">
        <v>3304</v>
      </c>
      <c r="S399">
        <v>36.535741222715522</v>
      </c>
    </row>
    <row r="400" spans="8:19">
      <c r="H400" t="s">
        <v>315</v>
      </c>
      <c r="I400">
        <v>15</v>
      </c>
      <c r="J400" t="s">
        <v>1197</v>
      </c>
      <c r="K400">
        <v>220</v>
      </c>
      <c r="L400">
        <v>3.7309999999999999E-3</v>
      </c>
      <c r="M400">
        <v>1</v>
      </c>
      <c r="N400">
        <v>55.825000000000003</v>
      </c>
      <c r="O400" t="s">
        <v>6617</v>
      </c>
      <c r="P400" t="s">
        <v>6586</v>
      </c>
      <c r="Q400">
        <v>1.0325599999999999</v>
      </c>
      <c r="R400" t="s">
        <v>3304</v>
      </c>
      <c r="S400">
        <v>0.21506477192199999</v>
      </c>
    </row>
    <row r="401" spans="8:19">
      <c r="H401" t="s">
        <v>315</v>
      </c>
      <c r="I401">
        <v>15</v>
      </c>
      <c r="J401" t="s">
        <v>1197</v>
      </c>
      <c r="K401">
        <v>220</v>
      </c>
      <c r="L401">
        <v>3.7309999999999999E-3</v>
      </c>
      <c r="M401">
        <v>2</v>
      </c>
      <c r="N401">
        <v>56.061999999999998</v>
      </c>
      <c r="O401" t="s">
        <v>6617</v>
      </c>
      <c r="P401" t="s">
        <v>6586</v>
      </c>
      <c r="Q401">
        <v>1.0325599999999999</v>
      </c>
      <c r="R401" t="s">
        <v>3304</v>
      </c>
      <c r="S401">
        <v>0.21597781000432001</v>
      </c>
    </row>
    <row r="402" spans="8:19">
      <c r="H402" t="s">
        <v>315</v>
      </c>
      <c r="I402">
        <v>15</v>
      </c>
      <c r="J402" t="s">
        <v>1197</v>
      </c>
      <c r="K402">
        <v>220</v>
      </c>
      <c r="L402">
        <v>3.7309999999999999E-3</v>
      </c>
      <c r="M402">
        <v>3</v>
      </c>
      <c r="N402">
        <v>39.136000000000003</v>
      </c>
      <c r="O402" t="s">
        <v>6617</v>
      </c>
      <c r="P402" t="s">
        <v>6586</v>
      </c>
      <c r="Q402">
        <v>1.0325599999999999</v>
      </c>
      <c r="R402" t="s">
        <v>3304</v>
      </c>
      <c r="S402">
        <v>0.15077071050495999</v>
      </c>
    </row>
    <row r="403" spans="8:19">
      <c r="H403" t="s">
        <v>315</v>
      </c>
      <c r="I403">
        <v>15</v>
      </c>
      <c r="J403" t="s">
        <v>1197</v>
      </c>
      <c r="K403">
        <v>220</v>
      </c>
      <c r="L403">
        <v>3.7309999999999999E-3</v>
      </c>
      <c r="M403">
        <v>4</v>
      </c>
      <c r="N403">
        <v>38.625</v>
      </c>
      <c r="O403" t="s">
        <v>6617</v>
      </c>
      <c r="P403" t="s">
        <v>6586</v>
      </c>
      <c r="Q403">
        <v>1.0325599999999999</v>
      </c>
      <c r="R403" t="s">
        <v>3304</v>
      </c>
      <c r="S403">
        <v>0.14880209253000001</v>
      </c>
    </row>
    <row r="404" spans="8:19">
      <c r="H404" t="s">
        <v>315</v>
      </c>
      <c r="I404">
        <v>15</v>
      </c>
      <c r="J404" t="s">
        <v>1197</v>
      </c>
      <c r="K404">
        <v>220</v>
      </c>
      <c r="L404">
        <v>3.7309999999999999E-3</v>
      </c>
      <c r="M404">
        <v>5</v>
      </c>
      <c r="N404">
        <v>49.764000000000003</v>
      </c>
      <c r="O404" t="s">
        <v>6617</v>
      </c>
      <c r="P404" t="s">
        <v>6586</v>
      </c>
      <c r="Q404">
        <v>1.0325599999999999</v>
      </c>
      <c r="R404" t="s">
        <v>3304</v>
      </c>
      <c r="S404">
        <v>0.19171488239904</v>
      </c>
    </row>
    <row r="405" spans="8:19">
      <c r="H405" t="s">
        <v>315</v>
      </c>
      <c r="I405">
        <v>15</v>
      </c>
      <c r="J405" t="s">
        <v>1197</v>
      </c>
      <c r="K405">
        <v>220</v>
      </c>
      <c r="L405">
        <v>3.7309999999999999E-3</v>
      </c>
      <c r="M405">
        <v>6</v>
      </c>
      <c r="N405">
        <v>61.481999999999999</v>
      </c>
      <c r="O405" t="s">
        <v>6617</v>
      </c>
      <c r="P405" t="s">
        <v>6586</v>
      </c>
      <c r="Q405">
        <v>1.0325599999999999</v>
      </c>
      <c r="R405" t="s">
        <v>3304</v>
      </c>
      <c r="S405">
        <v>0.23685825897551999</v>
      </c>
    </row>
    <row r="406" spans="8:19">
      <c r="H406" t="s">
        <v>315</v>
      </c>
      <c r="I406">
        <v>15</v>
      </c>
      <c r="J406" t="s">
        <v>1197</v>
      </c>
      <c r="K406">
        <v>220</v>
      </c>
      <c r="L406">
        <v>3.7309999999999999E-3</v>
      </c>
      <c r="M406">
        <v>1</v>
      </c>
      <c r="N406">
        <v>70.069000000000003</v>
      </c>
      <c r="O406" t="s">
        <v>6485</v>
      </c>
      <c r="P406" t="s">
        <v>6586</v>
      </c>
      <c r="Q406">
        <v>1.0325599999999999</v>
      </c>
      <c r="R406" t="s">
        <v>3304</v>
      </c>
      <c r="S406">
        <v>0.26993951641384001</v>
      </c>
    </row>
    <row r="407" spans="8:19">
      <c r="H407" t="s">
        <v>315</v>
      </c>
      <c r="I407">
        <v>15</v>
      </c>
      <c r="J407" t="s">
        <v>1197</v>
      </c>
      <c r="K407">
        <v>220</v>
      </c>
      <c r="L407">
        <v>3.7309999999999999E-3</v>
      </c>
      <c r="M407">
        <v>2</v>
      </c>
      <c r="N407">
        <v>63.207000000000001</v>
      </c>
      <c r="O407" t="s">
        <v>6485</v>
      </c>
      <c r="P407" t="s">
        <v>6586</v>
      </c>
      <c r="Q407">
        <v>1.0325599999999999</v>
      </c>
      <c r="R407" t="s">
        <v>3304</v>
      </c>
      <c r="S407">
        <v>0.24350378932152</v>
      </c>
    </row>
    <row r="408" spans="8:19">
      <c r="H408" t="s">
        <v>315</v>
      </c>
      <c r="I408">
        <v>15</v>
      </c>
      <c r="J408" t="s">
        <v>1197</v>
      </c>
      <c r="K408">
        <v>220</v>
      </c>
      <c r="L408">
        <v>3.7309999999999999E-3</v>
      </c>
      <c r="M408">
        <v>3</v>
      </c>
      <c r="N408">
        <v>32.453000000000003</v>
      </c>
      <c r="O408" t="s">
        <v>6485</v>
      </c>
      <c r="P408" t="s">
        <v>6586</v>
      </c>
      <c r="Q408">
        <v>1.0325599999999999</v>
      </c>
      <c r="R408" t="s">
        <v>3304</v>
      </c>
      <c r="S408">
        <v>0.12502457757607999</v>
      </c>
    </row>
    <row r="409" spans="8:19">
      <c r="H409" t="s">
        <v>315</v>
      </c>
      <c r="I409">
        <v>15</v>
      </c>
      <c r="J409" t="s">
        <v>1197</v>
      </c>
      <c r="K409">
        <v>220</v>
      </c>
      <c r="L409">
        <v>3.7309999999999999E-3</v>
      </c>
      <c r="M409">
        <v>4</v>
      </c>
      <c r="N409">
        <v>30.672000000000001</v>
      </c>
      <c r="O409" t="s">
        <v>6485</v>
      </c>
      <c r="P409" t="s">
        <v>6586</v>
      </c>
      <c r="Q409">
        <v>1.0325599999999999</v>
      </c>
      <c r="R409" t="s">
        <v>3304</v>
      </c>
      <c r="S409">
        <v>0.11816330827392001</v>
      </c>
    </row>
    <row r="410" spans="8:19">
      <c r="H410" t="s">
        <v>315</v>
      </c>
      <c r="I410">
        <v>15</v>
      </c>
      <c r="J410" t="s">
        <v>1197</v>
      </c>
      <c r="K410">
        <v>220</v>
      </c>
      <c r="L410">
        <v>3.7309999999999999E-3</v>
      </c>
      <c r="M410">
        <v>5</v>
      </c>
      <c r="N410">
        <v>51.459000000000003</v>
      </c>
      <c r="O410" t="s">
        <v>6485</v>
      </c>
      <c r="P410" t="s">
        <v>6586</v>
      </c>
      <c r="Q410">
        <v>1.0325599999999999</v>
      </c>
      <c r="R410" t="s">
        <v>3304</v>
      </c>
      <c r="S410">
        <v>0.19824483830424</v>
      </c>
    </row>
    <row r="411" spans="8:19">
      <c r="H411" t="s">
        <v>315</v>
      </c>
      <c r="I411">
        <v>15</v>
      </c>
      <c r="J411" t="s">
        <v>1197</v>
      </c>
      <c r="K411">
        <v>220</v>
      </c>
      <c r="L411">
        <v>3.7309999999999999E-3</v>
      </c>
      <c r="M411">
        <v>6</v>
      </c>
      <c r="N411">
        <v>87.926000000000002</v>
      </c>
      <c r="O411" t="s">
        <v>6485</v>
      </c>
      <c r="P411" t="s">
        <v>6586</v>
      </c>
      <c r="Q411">
        <v>1.0325599999999999</v>
      </c>
      <c r="R411" t="s">
        <v>3304</v>
      </c>
      <c r="S411">
        <v>0.33873327605935999</v>
      </c>
    </row>
    <row r="412" spans="8:19">
      <c r="H412" t="s">
        <v>355</v>
      </c>
      <c r="I412">
        <v>23</v>
      </c>
      <c r="J412" t="s">
        <v>182</v>
      </c>
      <c r="K412">
        <v>220</v>
      </c>
      <c r="L412">
        <v>1</v>
      </c>
      <c r="M412">
        <v>1</v>
      </c>
      <c r="N412">
        <v>55.036999999999999</v>
      </c>
      <c r="O412" t="s">
        <v>6617</v>
      </c>
      <c r="P412" t="s">
        <v>6586</v>
      </c>
      <c r="Q412">
        <v>1.01102</v>
      </c>
      <c r="R412" t="s">
        <v>3303</v>
      </c>
      <c r="S412">
        <v>55.643507739999997</v>
      </c>
    </row>
    <row r="413" spans="8:19">
      <c r="H413" t="s">
        <v>355</v>
      </c>
      <c r="I413">
        <v>23</v>
      </c>
      <c r="J413" t="s">
        <v>182</v>
      </c>
      <c r="K413">
        <v>220</v>
      </c>
      <c r="L413">
        <v>1</v>
      </c>
      <c r="M413">
        <v>2</v>
      </c>
      <c r="N413">
        <v>54.956000000000003</v>
      </c>
      <c r="O413" t="s">
        <v>6617</v>
      </c>
      <c r="P413" t="s">
        <v>6586</v>
      </c>
      <c r="Q413">
        <v>1.01102</v>
      </c>
      <c r="R413" t="s">
        <v>3303</v>
      </c>
      <c r="S413">
        <v>55.561615120000013</v>
      </c>
    </row>
    <row r="414" spans="8:19">
      <c r="H414" t="s">
        <v>355</v>
      </c>
      <c r="I414">
        <v>23</v>
      </c>
      <c r="J414" t="s">
        <v>182</v>
      </c>
      <c r="K414">
        <v>220</v>
      </c>
      <c r="L414">
        <v>1</v>
      </c>
      <c r="M414">
        <v>3</v>
      </c>
      <c r="N414">
        <v>39.203000000000003</v>
      </c>
      <c r="O414" t="s">
        <v>6617</v>
      </c>
      <c r="P414" t="s">
        <v>6586</v>
      </c>
      <c r="Q414">
        <v>1.01102</v>
      </c>
      <c r="R414" t="s">
        <v>3303</v>
      </c>
      <c r="S414">
        <v>39.635017060000003</v>
      </c>
    </row>
    <row r="415" spans="8:19">
      <c r="H415" t="s">
        <v>355</v>
      </c>
      <c r="I415">
        <v>23</v>
      </c>
      <c r="J415" t="s">
        <v>182</v>
      </c>
      <c r="K415">
        <v>220</v>
      </c>
      <c r="L415">
        <v>1</v>
      </c>
      <c r="M415">
        <v>4</v>
      </c>
      <c r="N415">
        <v>38.652999999999999</v>
      </c>
      <c r="O415" t="s">
        <v>6617</v>
      </c>
      <c r="P415" t="s">
        <v>6586</v>
      </c>
      <c r="Q415">
        <v>1.01102</v>
      </c>
      <c r="R415" t="s">
        <v>3303</v>
      </c>
      <c r="S415">
        <v>39.078956060000003</v>
      </c>
    </row>
    <row r="416" spans="8:19">
      <c r="H416" t="s">
        <v>355</v>
      </c>
      <c r="I416">
        <v>23</v>
      </c>
      <c r="J416" t="s">
        <v>182</v>
      </c>
      <c r="K416">
        <v>220</v>
      </c>
      <c r="L416">
        <v>1</v>
      </c>
      <c r="M416">
        <v>5</v>
      </c>
      <c r="N416">
        <v>49.816000000000003</v>
      </c>
      <c r="O416" t="s">
        <v>6617</v>
      </c>
      <c r="P416" t="s">
        <v>6586</v>
      </c>
      <c r="Q416">
        <v>1.01102</v>
      </c>
      <c r="R416" t="s">
        <v>3303</v>
      </c>
      <c r="S416">
        <v>50.364972320000007</v>
      </c>
    </row>
    <row r="417" spans="8:19">
      <c r="H417" t="s">
        <v>355</v>
      </c>
      <c r="I417">
        <v>23</v>
      </c>
      <c r="J417" t="s">
        <v>182</v>
      </c>
      <c r="K417">
        <v>220</v>
      </c>
      <c r="L417">
        <v>1</v>
      </c>
      <c r="M417">
        <v>6</v>
      </c>
      <c r="N417">
        <v>60.801000000000002</v>
      </c>
      <c r="O417" t="s">
        <v>6617</v>
      </c>
      <c r="P417" t="s">
        <v>6586</v>
      </c>
      <c r="Q417">
        <v>1.01102</v>
      </c>
      <c r="R417" t="s">
        <v>3303</v>
      </c>
      <c r="S417">
        <v>61.471027020000001</v>
      </c>
    </row>
    <row r="418" spans="8:19">
      <c r="H418" t="s">
        <v>355</v>
      </c>
      <c r="I418">
        <v>23</v>
      </c>
      <c r="J418" t="s">
        <v>182</v>
      </c>
      <c r="K418">
        <v>220</v>
      </c>
      <c r="L418">
        <v>1</v>
      </c>
      <c r="M418">
        <v>1</v>
      </c>
      <c r="N418">
        <v>67.849999999999994</v>
      </c>
      <c r="O418" t="s">
        <v>6485</v>
      </c>
      <c r="P418" t="s">
        <v>6586</v>
      </c>
      <c r="Q418">
        <v>1.01102</v>
      </c>
      <c r="R418" t="s">
        <v>3303</v>
      </c>
      <c r="S418">
        <v>68.597707</v>
      </c>
    </row>
    <row r="419" spans="8:19">
      <c r="H419" t="s">
        <v>355</v>
      </c>
      <c r="I419">
        <v>23</v>
      </c>
      <c r="J419" t="s">
        <v>182</v>
      </c>
      <c r="K419">
        <v>220</v>
      </c>
      <c r="L419">
        <v>1</v>
      </c>
      <c r="M419">
        <v>2</v>
      </c>
      <c r="N419">
        <v>61.502000000000002</v>
      </c>
      <c r="O419" t="s">
        <v>6485</v>
      </c>
      <c r="P419" t="s">
        <v>6586</v>
      </c>
      <c r="Q419">
        <v>1.01102</v>
      </c>
      <c r="R419" t="s">
        <v>3303</v>
      </c>
      <c r="S419">
        <v>62.179752039999997</v>
      </c>
    </row>
    <row r="420" spans="8:19">
      <c r="H420" t="s">
        <v>355</v>
      </c>
      <c r="I420">
        <v>23</v>
      </c>
      <c r="J420" t="s">
        <v>182</v>
      </c>
      <c r="K420">
        <v>220</v>
      </c>
      <c r="L420">
        <v>1</v>
      </c>
      <c r="M420">
        <v>3</v>
      </c>
      <c r="N420">
        <v>33.115000000000002</v>
      </c>
      <c r="O420" t="s">
        <v>6485</v>
      </c>
      <c r="P420" t="s">
        <v>6586</v>
      </c>
      <c r="Q420">
        <v>1.01102</v>
      </c>
      <c r="R420" t="s">
        <v>3303</v>
      </c>
      <c r="S420">
        <v>33.4799273</v>
      </c>
    </row>
    <row r="421" spans="8:19">
      <c r="H421" t="s">
        <v>355</v>
      </c>
      <c r="I421">
        <v>23</v>
      </c>
      <c r="J421" t="s">
        <v>182</v>
      </c>
      <c r="K421">
        <v>220</v>
      </c>
      <c r="L421">
        <v>1</v>
      </c>
      <c r="M421">
        <v>4</v>
      </c>
      <c r="N421">
        <v>32.148000000000003</v>
      </c>
      <c r="O421" t="s">
        <v>6485</v>
      </c>
      <c r="P421" t="s">
        <v>6586</v>
      </c>
      <c r="Q421">
        <v>1.01102</v>
      </c>
      <c r="R421" t="s">
        <v>3303</v>
      </c>
      <c r="S421">
        <v>32.502270959999997</v>
      </c>
    </row>
    <row r="422" spans="8:19">
      <c r="H422" t="s">
        <v>355</v>
      </c>
      <c r="I422">
        <v>23</v>
      </c>
      <c r="J422" t="s">
        <v>182</v>
      </c>
      <c r="K422">
        <v>220</v>
      </c>
      <c r="L422">
        <v>1</v>
      </c>
      <c r="M422">
        <v>5</v>
      </c>
      <c r="N422">
        <v>52.631999999999998</v>
      </c>
      <c r="O422" t="s">
        <v>6485</v>
      </c>
      <c r="P422" t="s">
        <v>6586</v>
      </c>
      <c r="Q422">
        <v>1.01102</v>
      </c>
      <c r="R422" t="s">
        <v>3303</v>
      </c>
      <c r="S422">
        <v>53.212004640000004</v>
      </c>
    </row>
    <row r="423" spans="8:19">
      <c r="H423" t="s">
        <v>355</v>
      </c>
      <c r="I423">
        <v>23</v>
      </c>
      <c r="J423" t="s">
        <v>182</v>
      </c>
      <c r="K423">
        <v>220</v>
      </c>
      <c r="L423">
        <v>1</v>
      </c>
      <c r="M423">
        <v>6</v>
      </c>
      <c r="N423">
        <v>86.935000000000002</v>
      </c>
      <c r="O423" t="s">
        <v>6485</v>
      </c>
      <c r="P423" t="s">
        <v>6586</v>
      </c>
      <c r="Q423">
        <v>1.01102</v>
      </c>
      <c r="R423" t="s">
        <v>3303</v>
      </c>
      <c r="S423">
        <v>87.893023700000001</v>
      </c>
    </row>
    <row r="424" spans="8:19">
      <c r="H424" t="s">
        <v>405</v>
      </c>
      <c r="I424">
        <v>23</v>
      </c>
      <c r="J424" t="s">
        <v>195</v>
      </c>
      <c r="K424">
        <v>220</v>
      </c>
      <c r="L424">
        <v>6.0489999999999997E-3</v>
      </c>
      <c r="M424">
        <v>1</v>
      </c>
      <c r="N424">
        <v>55.843000000000004</v>
      </c>
      <c r="O424" t="s">
        <v>6617</v>
      </c>
      <c r="P424" t="s">
        <v>6586</v>
      </c>
      <c r="Q424">
        <v>1.0792999999999999</v>
      </c>
      <c r="R424" t="s">
        <v>3301</v>
      </c>
      <c r="S424">
        <v>0.3645813955451</v>
      </c>
    </row>
    <row r="425" spans="8:19">
      <c r="H425" t="s">
        <v>405</v>
      </c>
      <c r="I425">
        <v>23</v>
      </c>
      <c r="J425" t="s">
        <v>195</v>
      </c>
      <c r="K425">
        <v>220</v>
      </c>
      <c r="L425">
        <v>6.0489999999999997E-3</v>
      </c>
      <c r="M425">
        <v>2</v>
      </c>
      <c r="N425">
        <v>55.694000000000003</v>
      </c>
      <c r="O425" t="s">
        <v>6617</v>
      </c>
      <c r="P425" t="s">
        <v>6586</v>
      </c>
      <c r="Q425">
        <v>1.0792999999999999</v>
      </c>
      <c r="R425" t="s">
        <v>3301</v>
      </c>
      <c r="S425">
        <v>0.36360862137580002</v>
      </c>
    </row>
    <row r="426" spans="8:19">
      <c r="H426" t="s">
        <v>405</v>
      </c>
      <c r="I426">
        <v>23</v>
      </c>
      <c r="J426" t="s">
        <v>195</v>
      </c>
      <c r="K426">
        <v>220</v>
      </c>
      <c r="L426">
        <v>6.0489999999999997E-3</v>
      </c>
      <c r="M426">
        <v>3</v>
      </c>
      <c r="N426">
        <v>38.871000000000002</v>
      </c>
      <c r="O426" t="s">
        <v>6617</v>
      </c>
      <c r="P426" t="s">
        <v>6586</v>
      </c>
      <c r="Q426">
        <v>1.0792999999999999</v>
      </c>
      <c r="R426" t="s">
        <v>3301</v>
      </c>
      <c r="S426">
        <v>0.2537765418447</v>
      </c>
    </row>
    <row r="427" spans="8:19">
      <c r="H427" t="s">
        <v>405</v>
      </c>
      <c r="I427">
        <v>23</v>
      </c>
      <c r="J427" t="s">
        <v>195</v>
      </c>
      <c r="K427">
        <v>220</v>
      </c>
      <c r="L427">
        <v>6.0489999999999997E-3</v>
      </c>
      <c r="M427">
        <v>4</v>
      </c>
      <c r="N427">
        <v>38.637999999999998</v>
      </c>
      <c r="O427" t="s">
        <v>6617</v>
      </c>
      <c r="P427" t="s">
        <v>6586</v>
      </c>
      <c r="Q427">
        <v>1.0792999999999999</v>
      </c>
      <c r="R427" t="s">
        <v>3301</v>
      </c>
      <c r="S427">
        <v>0.25225535807659999</v>
      </c>
    </row>
    <row r="428" spans="8:19">
      <c r="H428" t="s">
        <v>405</v>
      </c>
      <c r="I428">
        <v>23</v>
      </c>
      <c r="J428" t="s">
        <v>195</v>
      </c>
      <c r="K428">
        <v>220</v>
      </c>
      <c r="L428">
        <v>6.0489999999999997E-3</v>
      </c>
      <c r="M428">
        <v>5</v>
      </c>
      <c r="N428">
        <v>49.030999999999999</v>
      </c>
      <c r="O428" t="s">
        <v>6617</v>
      </c>
      <c r="P428" t="s">
        <v>6586</v>
      </c>
      <c r="Q428">
        <v>1.0792999999999999</v>
      </c>
      <c r="R428" t="s">
        <v>3301</v>
      </c>
      <c r="S428">
        <v>0.32010798855669997</v>
      </c>
    </row>
    <row r="429" spans="8:19">
      <c r="H429" t="s">
        <v>405</v>
      </c>
      <c r="I429">
        <v>23</v>
      </c>
      <c r="J429" t="s">
        <v>195</v>
      </c>
      <c r="K429">
        <v>220</v>
      </c>
      <c r="L429">
        <v>6.0489999999999997E-3</v>
      </c>
      <c r="M429">
        <v>6</v>
      </c>
      <c r="N429">
        <v>61.168999999999997</v>
      </c>
      <c r="O429" t="s">
        <v>6617</v>
      </c>
      <c r="P429" t="s">
        <v>6586</v>
      </c>
      <c r="Q429">
        <v>1.0792999999999999</v>
      </c>
      <c r="R429" t="s">
        <v>3301</v>
      </c>
      <c r="S429">
        <v>0.39935317558329991</v>
      </c>
    </row>
    <row r="430" spans="8:19">
      <c r="H430" t="s">
        <v>405</v>
      </c>
      <c r="I430">
        <v>23</v>
      </c>
      <c r="J430" t="s">
        <v>195</v>
      </c>
      <c r="K430">
        <v>220</v>
      </c>
      <c r="L430">
        <v>6.0489999999999997E-3</v>
      </c>
      <c r="M430">
        <v>1</v>
      </c>
      <c r="N430">
        <v>73.141000000000005</v>
      </c>
      <c r="O430" t="s">
        <v>6485</v>
      </c>
      <c r="P430" t="s">
        <v>6586</v>
      </c>
      <c r="Q430">
        <v>1.0792999999999999</v>
      </c>
      <c r="R430" t="s">
        <v>3301</v>
      </c>
      <c r="S430">
        <v>0.47751460078370001</v>
      </c>
    </row>
    <row r="431" spans="8:19">
      <c r="H431" t="s">
        <v>405</v>
      </c>
      <c r="I431">
        <v>23</v>
      </c>
      <c r="J431" t="s">
        <v>195</v>
      </c>
      <c r="K431">
        <v>220</v>
      </c>
      <c r="L431">
        <v>6.0489999999999997E-3</v>
      </c>
      <c r="M431">
        <v>2</v>
      </c>
      <c r="N431">
        <v>64.472999999999999</v>
      </c>
      <c r="O431" t="s">
        <v>6485</v>
      </c>
      <c r="P431" t="s">
        <v>6586</v>
      </c>
      <c r="Q431">
        <v>1.0792999999999999</v>
      </c>
      <c r="R431" t="s">
        <v>3301</v>
      </c>
      <c r="S431">
        <v>0.42092395313609993</v>
      </c>
    </row>
    <row r="432" spans="8:19">
      <c r="H432" t="s">
        <v>405</v>
      </c>
      <c r="I432">
        <v>23</v>
      </c>
      <c r="J432" t="s">
        <v>195</v>
      </c>
      <c r="K432">
        <v>220</v>
      </c>
      <c r="L432">
        <v>6.0489999999999997E-3</v>
      </c>
      <c r="M432">
        <v>3</v>
      </c>
      <c r="N432">
        <v>31.466000000000001</v>
      </c>
      <c r="O432" t="s">
        <v>6485</v>
      </c>
      <c r="P432" t="s">
        <v>6586</v>
      </c>
      <c r="Q432">
        <v>1.0792999999999999</v>
      </c>
      <c r="R432" t="s">
        <v>3301</v>
      </c>
      <c r="S432">
        <v>0.20543162423620001</v>
      </c>
    </row>
    <row r="433" spans="8:19">
      <c r="H433" t="s">
        <v>405</v>
      </c>
      <c r="I433">
        <v>23</v>
      </c>
      <c r="J433" t="s">
        <v>195</v>
      </c>
      <c r="K433">
        <v>220</v>
      </c>
      <c r="L433">
        <v>6.0489999999999997E-3</v>
      </c>
      <c r="M433">
        <v>4</v>
      </c>
      <c r="N433">
        <v>31.916</v>
      </c>
      <c r="O433" t="s">
        <v>6485</v>
      </c>
      <c r="P433" t="s">
        <v>6586</v>
      </c>
      <c r="Q433">
        <v>1.0792999999999999</v>
      </c>
      <c r="R433" t="s">
        <v>3301</v>
      </c>
      <c r="S433">
        <v>0.20836953280119999</v>
      </c>
    </row>
    <row r="434" spans="8:19">
      <c r="H434" t="s">
        <v>405</v>
      </c>
      <c r="I434">
        <v>23</v>
      </c>
      <c r="J434" t="s">
        <v>195</v>
      </c>
      <c r="K434">
        <v>220</v>
      </c>
      <c r="L434">
        <v>6.0489999999999997E-3</v>
      </c>
      <c r="M434">
        <v>5</v>
      </c>
      <c r="N434">
        <v>49.673999999999999</v>
      </c>
      <c r="O434" t="s">
        <v>6485</v>
      </c>
      <c r="P434" t="s">
        <v>6586</v>
      </c>
      <c r="Q434">
        <v>1.0792999999999999</v>
      </c>
      <c r="R434" t="s">
        <v>3301</v>
      </c>
      <c r="S434">
        <v>0.32430593346179998</v>
      </c>
    </row>
    <row r="435" spans="8:19">
      <c r="H435" t="s">
        <v>405</v>
      </c>
      <c r="I435">
        <v>23</v>
      </c>
      <c r="J435" t="s">
        <v>195</v>
      </c>
      <c r="K435">
        <v>220</v>
      </c>
      <c r="L435">
        <v>6.0489999999999997E-3</v>
      </c>
      <c r="M435">
        <v>6</v>
      </c>
      <c r="N435">
        <v>90.322000000000003</v>
      </c>
      <c r="O435" t="s">
        <v>6485</v>
      </c>
      <c r="P435" t="s">
        <v>6586</v>
      </c>
      <c r="Q435">
        <v>1.0792999999999999</v>
      </c>
      <c r="R435" t="s">
        <v>3301</v>
      </c>
      <c r="S435">
        <v>0.58968394979539995</v>
      </c>
    </row>
    <row r="436" spans="8:19">
      <c r="H436" t="s">
        <v>405</v>
      </c>
      <c r="I436">
        <v>23</v>
      </c>
      <c r="J436" t="s">
        <v>606</v>
      </c>
      <c r="K436">
        <v>220</v>
      </c>
      <c r="L436">
        <v>1.9009000000000002E-2</v>
      </c>
      <c r="M436">
        <v>1</v>
      </c>
      <c r="N436">
        <v>56.076999999999998</v>
      </c>
      <c r="O436" t="s">
        <v>6617</v>
      </c>
      <c r="P436" t="s">
        <v>6586</v>
      </c>
      <c r="Q436">
        <v>1.0792999999999999</v>
      </c>
      <c r="R436" t="s">
        <v>3301</v>
      </c>
      <c r="S436">
        <v>1.1504989310549001</v>
      </c>
    </row>
    <row r="437" spans="8:19">
      <c r="H437" t="s">
        <v>405</v>
      </c>
      <c r="I437">
        <v>23</v>
      </c>
      <c r="J437" t="s">
        <v>606</v>
      </c>
      <c r="K437">
        <v>220</v>
      </c>
      <c r="L437">
        <v>1.9009000000000002E-2</v>
      </c>
      <c r="M437">
        <v>2</v>
      </c>
      <c r="N437">
        <v>56.247</v>
      </c>
      <c r="O437" t="s">
        <v>6617</v>
      </c>
      <c r="P437" t="s">
        <v>6586</v>
      </c>
      <c r="Q437">
        <v>1.0792999999999999</v>
      </c>
      <c r="R437" t="s">
        <v>3301</v>
      </c>
      <c r="S437">
        <v>1.1539867213838999</v>
      </c>
    </row>
    <row r="438" spans="8:19">
      <c r="H438" t="s">
        <v>405</v>
      </c>
      <c r="I438">
        <v>23</v>
      </c>
      <c r="J438" t="s">
        <v>606</v>
      </c>
      <c r="K438">
        <v>220</v>
      </c>
      <c r="L438">
        <v>1.9009000000000002E-2</v>
      </c>
      <c r="M438">
        <v>3</v>
      </c>
      <c r="N438">
        <v>39.034999999999997</v>
      </c>
      <c r="O438" t="s">
        <v>6617</v>
      </c>
      <c r="P438" t="s">
        <v>6586</v>
      </c>
      <c r="Q438">
        <v>1.0792999999999999</v>
      </c>
      <c r="R438" t="s">
        <v>3301</v>
      </c>
      <c r="S438">
        <v>0.80085820877949998</v>
      </c>
    </row>
    <row r="439" spans="8:19">
      <c r="H439" t="s">
        <v>405</v>
      </c>
      <c r="I439">
        <v>23</v>
      </c>
      <c r="J439" t="s">
        <v>606</v>
      </c>
      <c r="K439">
        <v>220</v>
      </c>
      <c r="L439">
        <v>1.9009000000000002E-2</v>
      </c>
      <c r="M439">
        <v>4</v>
      </c>
      <c r="N439">
        <v>38.645000000000003</v>
      </c>
      <c r="O439" t="s">
        <v>6617</v>
      </c>
      <c r="P439" t="s">
        <v>6586</v>
      </c>
      <c r="Q439">
        <v>1.0792999999999999</v>
      </c>
      <c r="R439" t="s">
        <v>3301</v>
      </c>
      <c r="S439">
        <v>0.7928568074365</v>
      </c>
    </row>
    <row r="440" spans="8:19">
      <c r="H440" t="s">
        <v>405</v>
      </c>
      <c r="I440">
        <v>23</v>
      </c>
      <c r="J440" t="s">
        <v>606</v>
      </c>
      <c r="K440">
        <v>220</v>
      </c>
      <c r="L440">
        <v>1.9009000000000002E-2</v>
      </c>
      <c r="M440">
        <v>5</v>
      </c>
      <c r="N440">
        <v>51.24</v>
      </c>
      <c r="O440" t="s">
        <v>6617</v>
      </c>
      <c r="P440" t="s">
        <v>6586</v>
      </c>
      <c r="Q440">
        <v>1.0792999999999999</v>
      </c>
      <c r="R440" t="s">
        <v>3301</v>
      </c>
      <c r="S440">
        <v>1.0512610379880001</v>
      </c>
    </row>
    <row r="441" spans="8:19">
      <c r="H441" t="s">
        <v>405</v>
      </c>
      <c r="I441">
        <v>23</v>
      </c>
      <c r="J441" t="s">
        <v>606</v>
      </c>
      <c r="K441">
        <v>220</v>
      </c>
      <c r="L441">
        <v>1.9009000000000002E-2</v>
      </c>
      <c r="M441">
        <v>6</v>
      </c>
      <c r="N441">
        <v>62.18</v>
      </c>
      <c r="O441" t="s">
        <v>6617</v>
      </c>
      <c r="P441" t="s">
        <v>6586</v>
      </c>
      <c r="Q441">
        <v>1.0792999999999999</v>
      </c>
      <c r="R441" t="s">
        <v>3301</v>
      </c>
      <c r="S441">
        <v>1.275710603866</v>
      </c>
    </row>
    <row r="442" spans="8:19">
      <c r="H442" t="s">
        <v>405</v>
      </c>
      <c r="I442">
        <v>23</v>
      </c>
      <c r="J442" t="s">
        <v>606</v>
      </c>
      <c r="K442">
        <v>220</v>
      </c>
      <c r="L442">
        <v>1.9009000000000002E-2</v>
      </c>
      <c r="M442">
        <v>1</v>
      </c>
      <c r="N442">
        <v>72.055999999999997</v>
      </c>
      <c r="O442" t="s">
        <v>6485</v>
      </c>
      <c r="P442" t="s">
        <v>6586</v>
      </c>
      <c r="Q442">
        <v>1.0792999999999999</v>
      </c>
      <c r="R442" t="s">
        <v>3301</v>
      </c>
      <c r="S442">
        <v>1.4783307055671999</v>
      </c>
    </row>
    <row r="443" spans="8:19">
      <c r="H443" t="s">
        <v>405</v>
      </c>
      <c r="I443">
        <v>23</v>
      </c>
      <c r="J443" t="s">
        <v>606</v>
      </c>
      <c r="K443">
        <v>220</v>
      </c>
      <c r="L443">
        <v>1.9009000000000002E-2</v>
      </c>
      <c r="M443">
        <v>2</v>
      </c>
      <c r="N443">
        <v>64.465000000000003</v>
      </c>
      <c r="O443" t="s">
        <v>6485</v>
      </c>
      <c r="P443" t="s">
        <v>6586</v>
      </c>
      <c r="Q443">
        <v>1.0792999999999999</v>
      </c>
      <c r="R443" t="s">
        <v>3301</v>
      </c>
      <c r="S443">
        <v>1.3225906091705</v>
      </c>
    </row>
    <row r="444" spans="8:19">
      <c r="H444" t="s">
        <v>405</v>
      </c>
      <c r="I444">
        <v>23</v>
      </c>
      <c r="J444" t="s">
        <v>606</v>
      </c>
      <c r="K444">
        <v>220</v>
      </c>
      <c r="L444">
        <v>1.9009000000000002E-2</v>
      </c>
      <c r="M444">
        <v>3</v>
      </c>
      <c r="N444">
        <v>32.69</v>
      </c>
      <c r="O444" t="s">
        <v>6485</v>
      </c>
      <c r="P444" t="s">
        <v>6586</v>
      </c>
      <c r="Q444">
        <v>1.0792999999999999</v>
      </c>
      <c r="R444" t="s">
        <v>3301</v>
      </c>
      <c r="S444">
        <v>0.67068156385299993</v>
      </c>
    </row>
    <row r="445" spans="8:19">
      <c r="H445" t="s">
        <v>405</v>
      </c>
      <c r="I445">
        <v>23</v>
      </c>
      <c r="J445" t="s">
        <v>606</v>
      </c>
      <c r="K445">
        <v>220</v>
      </c>
      <c r="L445">
        <v>1.9009000000000002E-2</v>
      </c>
      <c r="M445">
        <v>4</v>
      </c>
      <c r="N445">
        <v>31.960999999999999</v>
      </c>
      <c r="O445" t="s">
        <v>6485</v>
      </c>
      <c r="P445" t="s">
        <v>6586</v>
      </c>
      <c r="Q445">
        <v>1.0792999999999999</v>
      </c>
      <c r="R445" t="s">
        <v>3301</v>
      </c>
      <c r="S445">
        <v>0.65572509826569991</v>
      </c>
    </row>
    <row r="446" spans="8:19">
      <c r="H446" t="s">
        <v>405</v>
      </c>
      <c r="I446">
        <v>23</v>
      </c>
      <c r="J446" t="s">
        <v>606</v>
      </c>
      <c r="K446">
        <v>220</v>
      </c>
      <c r="L446">
        <v>1.9009000000000002E-2</v>
      </c>
      <c r="M446">
        <v>5</v>
      </c>
      <c r="N446">
        <v>54.142000000000003</v>
      </c>
      <c r="O446" t="s">
        <v>6485</v>
      </c>
      <c r="P446" t="s">
        <v>6586</v>
      </c>
      <c r="Q446">
        <v>1.0792999999999999</v>
      </c>
      <c r="R446" t="s">
        <v>3301</v>
      </c>
      <c r="S446">
        <v>1.1107996705454</v>
      </c>
    </row>
    <row r="447" spans="8:19">
      <c r="H447" t="s">
        <v>405</v>
      </c>
      <c r="I447">
        <v>23</v>
      </c>
      <c r="J447" t="s">
        <v>606</v>
      </c>
      <c r="K447">
        <v>220</v>
      </c>
      <c r="L447">
        <v>1.9009000000000002E-2</v>
      </c>
      <c r="M447">
        <v>6</v>
      </c>
      <c r="N447">
        <v>89.444000000000003</v>
      </c>
      <c r="O447" t="s">
        <v>6485</v>
      </c>
      <c r="P447" t="s">
        <v>6586</v>
      </c>
      <c r="Q447">
        <v>1.0792999999999999</v>
      </c>
      <c r="R447" t="s">
        <v>3301</v>
      </c>
      <c r="S447">
        <v>1.8350701069827999</v>
      </c>
    </row>
    <row r="448" spans="8:19">
      <c r="H448" t="s">
        <v>405</v>
      </c>
      <c r="I448">
        <v>23</v>
      </c>
      <c r="J448" t="s">
        <v>795</v>
      </c>
      <c r="K448">
        <v>220</v>
      </c>
      <c r="L448">
        <v>7.7262999999999998E-2</v>
      </c>
      <c r="M448">
        <v>1</v>
      </c>
      <c r="N448">
        <v>55.704999999999998</v>
      </c>
      <c r="O448" t="s">
        <v>6617</v>
      </c>
      <c r="P448" t="s">
        <v>6586</v>
      </c>
      <c r="Q448">
        <v>1.0792999999999999</v>
      </c>
      <c r="R448" t="s">
        <v>3301</v>
      </c>
      <c r="S448">
        <v>4.6452374934094998</v>
      </c>
    </row>
    <row r="449" spans="8:19">
      <c r="H449" t="s">
        <v>405</v>
      </c>
      <c r="I449">
        <v>23</v>
      </c>
      <c r="J449" t="s">
        <v>795</v>
      </c>
      <c r="K449">
        <v>220</v>
      </c>
      <c r="L449">
        <v>7.7262999999999998E-2</v>
      </c>
      <c r="M449">
        <v>2</v>
      </c>
      <c r="N449">
        <v>55.51</v>
      </c>
      <c r="O449" t="s">
        <v>6617</v>
      </c>
      <c r="P449" t="s">
        <v>6586</v>
      </c>
      <c r="Q449">
        <v>1.0792999999999999</v>
      </c>
      <c r="R449" t="s">
        <v>3301</v>
      </c>
      <c r="S449">
        <v>4.6289764520089998</v>
      </c>
    </row>
    <row r="450" spans="8:19">
      <c r="H450" t="s">
        <v>405</v>
      </c>
      <c r="I450">
        <v>23</v>
      </c>
      <c r="J450" t="s">
        <v>795</v>
      </c>
      <c r="K450">
        <v>220</v>
      </c>
      <c r="L450">
        <v>7.7262999999999998E-2</v>
      </c>
      <c r="M450">
        <v>3</v>
      </c>
      <c r="N450">
        <v>38.847000000000001</v>
      </c>
      <c r="O450" t="s">
        <v>6617</v>
      </c>
      <c r="P450" t="s">
        <v>6586</v>
      </c>
      <c r="Q450">
        <v>1.0792999999999999</v>
      </c>
      <c r="R450" t="s">
        <v>3301</v>
      </c>
      <c r="S450">
        <v>3.2394496168472999</v>
      </c>
    </row>
    <row r="451" spans="8:19">
      <c r="H451" t="s">
        <v>405</v>
      </c>
      <c r="I451">
        <v>23</v>
      </c>
      <c r="J451" t="s">
        <v>795</v>
      </c>
      <c r="K451">
        <v>220</v>
      </c>
      <c r="L451">
        <v>7.7262999999999998E-2</v>
      </c>
      <c r="M451">
        <v>4</v>
      </c>
      <c r="N451">
        <v>38.637999999999998</v>
      </c>
      <c r="O451" t="s">
        <v>6617</v>
      </c>
      <c r="P451" t="s">
        <v>6586</v>
      </c>
      <c r="Q451">
        <v>1.0792999999999999</v>
      </c>
      <c r="R451" t="s">
        <v>3301</v>
      </c>
      <c r="S451">
        <v>3.2220211160641998</v>
      </c>
    </row>
    <row r="452" spans="8:19">
      <c r="H452" t="s">
        <v>405</v>
      </c>
      <c r="I452">
        <v>23</v>
      </c>
      <c r="J452" t="s">
        <v>795</v>
      </c>
      <c r="K452">
        <v>220</v>
      </c>
      <c r="L452">
        <v>7.7262999999999998E-2</v>
      </c>
      <c r="M452">
        <v>5</v>
      </c>
      <c r="N452">
        <v>48.972000000000001</v>
      </c>
      <c r="O452" t="s">
        <v>6617</v>
      </c>
      <c r="P452" t="s">
        <v>6586</v>
      </c>
      <c r="Q452">
        <v>1.0792999999999999</v>
      </c>
      <c r="R452" t="s">
        <v>3301</v>
      </c>
      <c r="S452">
        <v>4.0837729203348001</v>
      </c>
    </row>
    <row r="453" spans="8:19">
      <c r="H453" t="s">
        <v>405</v>
      </c>
      <c r="I453">
        <v>23</v>
      </c>
      <c r="J453" t="s">
        <v>795</v>
      </c>
      <c r="K453">
        <v>220</v>
      </c>
      <c r="L453">
        <v>7.7262999999999998E-2</v>
      </c>
      <c r="M453">
        <v>6</v>
      </c>
      <c r="N453">
        <v>60.866999999999997</v>
      </c>
      <c r="O453" t="s">
        <v>6617</v>
      </c>
      <c r="P453" t="s">
        <v>6586</v>
      </c>
      <c r="Q453">
        <v>1.0792999999999999</v>
      </c>
      <c r="R453" t="s">
        <v>3301</v>
      </c>
      <c r="S453">
        <v>5.0756964457652991</v>
      </c>
    </row>
    <row r="454" spans="8:19">
      <c r="H454" t="s">
        <v>405</v>
      </c>
      <c r="I454">
        <v>23</v>
      </c>
      <c r="J454" t="s">
        <v>795</v>
      </c>
      <c r="K454">
        <v>220</v>
      </c>
      <c r="L454">
        <v>7.7262999999999998E-2</v>
      </c>
      <c r="M454">
        <v>1</v>
      </c>
      <c r="N454">
        <v>71.807000000000002</v>
      </c>
      <c r="O454" t="s">
        <v>6485</v>
      </c>
      <c r="P454" t="s">
        <v>6586</v>
      </c>
      <c r="Q454">
        <v>1.0792999999999999</v>
      </c>
      <c r="R454" t="s">
        <v>3301</v>
      </c>
      <c r="S454">
        <v>5.9879825633113004</v>
      </c>
    </row>
    <row r="455" spans="8:19">
      <c r="H455" t="s">
        <v>405</v>
      </c>
      <c r="I455">
        <v>23</v>
      </c>
      <c r="J455" t="s">
        <v>795</v>
      </c>
      <c r="K455">
        <v>220</v>
      </c>
      <c r="L455">
        <v>7.7262999999999998E-2</v>
      </c>
      <c r="M455">
        <v>2</v>
      </c>
      <c r="N455">
        <v>63.478999999999999</v>
      </c>
      <c r="O455" t="s">
        <v>6485</v>
      </c>
      <c r="P455" t="s">
        <v>6586</v>
      </c>
      <c r="Q455">
        <v>1.0792999999999999</v>
      </c>
      <c r="R455" t="s">
        <v>3301</v>
      </c>
      <c r="S455">
        <v>5.2935110105760996</v>
      </c>
    </row>
    <row r="456" spans="8:19">
      <c r="H456" t="s">
        <v>405</v>
      </c>
      <c r="I456">
        <v>23</v>
      </c>
      <c r="J456" t="s">
        <v>795</v>
      </c>
      <c r="K456">
        <v>220</v>
      </c>
      <c r="L456">
        <v>7.7262999999999998E-2</v>
      </c>
      <c r="M456">
        <v>3</v>
      </c>
      <c r="N456">
        <v>31.518999999999998</v>
      </c>
      <c r="O456" t="s">
        <v>6485</v>
      </c>
      <c r="P456" t="s">
        <v>6586</v>
      </c>
      <c r="Q456">
        <v>1.0792999999999999</v>
      </c>
      <c r="R456" t="s">
        <v>3301</v>
      </c>
      <c r="S456">
        <v>2.6283680200121</v>
      </c>
    </row>
    <row r="457" spans="8:19">
      <c r="H457" t="s">
        <v>405</v>
      </c>
      <c r="I457">
        <v>23</v>
      </c>
      <c r="J457" t="s">
        <v>795</v>
      </c>
      <c r="K457">
        <v>220</v>
      </c>
      <c r="L457">
        <v>7.7262999999999998E-2</v>
      </c>
      <c r="M457">
        <v>4</v>
      </c>
      <c r="N457">
        <v>31.815000000000001</v>
      </c>
      <c r="O457" t="s">
        <v>6485</v>
      </c>
      <c r="P457" t="s">
        <v>6586</v>
      </c>
      <c r="Q457">
        <v>1.0792999999999999</v>
      </c>
      <c r="R457" t="s">
        <v>3301</v>
      </c>
      <c r="S457">
        <v>2.6530514469585</v>
      </c>
    </row>
    <row r="458" spans="8:19">
      <c r="H458" t="s">
        <v>405</v>
      </c>
      <c r="I458">
        <v>23</v>
      </c>
      <c r="J458" t="s">
        <v>795</v>
      </c>
      <c r="K458">
        <v>220</v>
      </c>
      <c r="L458">
        <v>7.7262999999999998E-2</v>
      </c>
      <c r="M458">
        <v>5</v>
      </c>
      <c r="N458">
        <v>49.033000000000001</v>
      </c>
      <c r="O458" t="s">
        <v>6485</v>
      </c>
      <c r="P458" t="s">
        <v>6586</v>
      </c>
      <c r="Q458">
        <v>1.0792999999999999</v>
      </c>
      <c r="R458" t="s">
        <v>3301</v>
      </c>
      <c r="S458">
        <v>4.0888597076447004</v>
      </c>
    </row>
    <row r="459" spans="8:19">
      <c r="H459" t="s">
        <v>405</v>
      </c>
      <c r="I459">
        <v>23</v>
      </c>
      <c r="J459" t="s">
        <v>795</v>
      </c>
      <c r="K459">
        <v>220</v>
      </c>
      <c r="L459">
        <v>7.7262999999999998E-2</v>
      </c>
      <c r="M459">
        <v>6</v>
      </c>
      <c r="N459">
        <v>88.241</v>
      </c>
      <c r="O459" t="s">
        <v>6485</v>
      </c>
      <c r="P459" t="s">
        <v>6586</v>
      </c>
      <c r="Q459">
        <v>1.0792999999999999</v>
      </c>
      <c r="R459" t="s">
        <v>3301</v>
      </c>
      <c r="S459">
        <v>7.3584130985718996</v>
      </c>
    </row>
    <row r="460" spans="8:19">
      <c r="H460" t="s">
        <v>405</v>
      </c>
      <c r="I460">
        <v>23</v>
      </c>
      <c r="J460" t="s">
        <v>948</v>
      </c>
      <c r="K460">
        <v>220</v>
      </c>
      <c r="L460">
        <v>0.89767799999999998</v>
      </c>
      <c r="M460">
        <v>1</v>
      </c>
      <c r="N460">
        <v>55.716000000000001</v>
      </c>
      <c r="O460" t="s">
        <v>6617</v>
      </c>
      <c r="P460" t="s">
        <v>6586</v>
      </c>
      <c r="Q460">
        <v>1.0792999999999999</v>
      </c>
      <c r="R460" t="s">
        <v>3301</v>
      </c>
      <c r="S460">
        <v>53.981219124626392</v>
      </c>
    </row>
    <row r="461" spans="8:19">
      <c r="H461" t="s">
        <v>405</v>
      </c>
      <c r="I461">
        <v>23</v>
      </c>
      <c r="J461" t="s">
        <v>948</v>
      </c>
      <c r="K461">
        <v>220</v>
      </c>
      <c r="L461">
        <v>0.89767799999999998</v>
      </c>
      <c r="M461">
        <v>2</v>
      </c>
      <c r="N461">
        <v>55.588999999999999</v>
      </c>
      <c r="O461" t="s">
        <v>6617</v>
      </c>
      <c r="P461" t="s">
        <v>6586</v>
      </c>
      <c r="Q461">
        <v>1.0792999999999999</v>
      </c>
      <c r="R461" t="s">
        <v>3301</v>
      </c>
      <c r="S461">
        <v>53.858173413720593</v>
      </c>
    </row>
    <row r="462" spans="8:19">
      <c r="H462" t="s">
        <v>405</v>
      </c>
      <c r="I462">
        <v>23</v>
      </c>
      <c r="J462" t="s">
        <v>948</v>
      </c>
      <c r="K462">
        <v>220</v>
      </c>
      <c r="L462">
        <v>0.89767799999999998</v>
      </c>
      <c r="M462">
        <v>3</v>
      </c>
      <c r="N462">
        <v>39</v>
      </c>
      <c r="O462" t="s">
        <v>6617</v>
      </c>
      <c r="P462" t="s">
        <v>6586</v>
      </c>
      <c r="Q462">
        <v>1.0792999999999999</v>
      </c>
      <c r="R462" t="s">
        <v>3301</v>
      </c>
      <c r="S462">
        <v>37.785690750599997</v>
      </c>
    </row>
    <row r="463" spans="8:19">
      <c r="H463" t="s">
        <v>405</v>
      </c>
      <c r="I463">
        <v>23</v>
      </c>
      <c r="J463" t="s">
        <v>948</v>
      </c>
      <c r="K463">
        <v>220</v>
      </c>
      <c r="L463">
        <v>0.89767799999999998</v>
      </c>
      <c r="M463">
        <v>4</v>
      </c>
      <c r="N463">
        <v>38.643000000000001</v>
      </c>
      <c r="O463" t="s">
        <v>6617</v>
      </c>
      <c r="P463" t="s">
        <v>6586</v>
      </c>
      <c r="Q463">
        <v>1.0792999999999999</v>
      </c>
      <c r="R463" t="s">
        <v>3301</v>
      </c>
      <c r="S463">
        <v>37.439806350652198</v>
      </c>
    </row>
    <row r="464" spans="8:19">
      <c r="H464" t="s">
        <v>405</v>
      </c>
      <c r="I464">
        <v>23</v>
      </c>
      <c r="J464" t="s">
        <v>948</v>
      </c>
      <c r="K464">
        <v>220</v>
      </c>
      <c r="L464">
        <v>0.89767799999999998</v>
      </c>
      <c r="M464">
        <v>5</v>
      </c>
      <c r="N464">
        <v>49.264000000000003</v>
      </c>
      <c r="O464" t="s">
        <v>6617</v>
      </c>
      <c r="P464" t="s">
        <v>6586</v>
      </c>
      <c r="Q464">
        <v>1.0792999999999999</v>
      </c>
      <c r="R464" t="s">
        <v>3301</v>
      </c>
      <c r="S464">
        <v>47.730109465065603</v>
      </c>
    </row>
    <row r="465" spans="8:19">
      <c r="H465" t="s">
        <v>405</v>
      </c>
      <c r="I465">
        <v>23</v>
      </c>
      <c r="J465" t="s">
        <v>948</v>
      </c>
      <c r="K465">
        <v>220</v>
      </c>
      <c r="L465">
        <v>0.89767799999999998</v>
      </c>
      <c r="M465">
        <v>6</v>
      </c>
      <c r="N465">
        <v>61.28</v>
      </c>
      <c r="O465" t="s">
        <v>6617</v>
      </c>
      <c r="P465" t="s">
        <v>6586</v>
      </c>
      <c r="Q465">
        <v>1.0792999999999999</v>
      </c>
      <c r="R465" t="s">
        <v>3301</v>
      </c>
      <c r="S465">
        <v>59.371977671712003</v>
      </c>
    </row>
    <row r="466" spans="8:19">
      <c r="H466" t="s">
        <v>405</v>
      </c>
      <c r="I466">
        <v>23</v>
      </c>
      <c r="J466" t="s">
        <v>948</v>
      </c>
      <c r="K466">
        <v>220</v>
      </c>
      <c r="L466">
        <v>0.89767799999999998</v>
      </c>
      <c r="M466">
        <v>1</v>
      </c>
      <c r="N466">
        <v>71.945999999999998</v>
      </c>
      <c r="O466" t="s">
        <v>6485</v>
      </c>
      <c r="P466" t="s">
        <v>6586</v>
      </c>
      <c r="Q466">
        <v>1.0792999999999999</v>
      </c>
      <c r="R466" t="s">
        <v>3301</v>
      </c>
      <c r="S466">
        <v>69.705879660068391</v>
      </c>
    </row>
    <row r="467" spans="8:19">
      <c r="H467" t="s">
        <v>405</v>
      </c>
      <c r="I467">
        <v>23</v>
      </c>
      <c r="J467" t="s">
        <v>948</v>
      </c>
      <c r="K467">
        <v>220</v>
      </c>
      <c r="L467">
        <v>0.89767799999999998</v>
      </c>
      <c r="M467">
        <v>2</v>
      </c>
      <c r="N467">
        <v>63.923000000000002</v>
      </c>
      <c r="O467" t="s">
        <v>6485</v>
      </c>
      <c r="P467" t="s">
        <v>6586</v>
      </c>
      <c r="Q467">
        <v>1.0792999999999999</v>
      </c>
      <c r="R467" t="s">
        <v>3301</v>
      </c>
      <c r="S467">
        <v>61.932684867964198</v>
      </c>
    </row>
    <row r="468" spans="8:19">
      <c r="H468" t="s">
        <v>405</v>
      </c>
      <c r="I468">
        <v>23</v>
      </c>
      <c r="J468" t="s">
        <v>948</v>
      </c>
      <c r="K468">
        <v>220</v>
      </c>
      <c r="L468">
        <v>0.89767799999999998</v>
      </c>
      <c r="M468">
        <v>3</v>
      </c>
      <c r="N468">
        <v>32.704000000000001</v>
      </c>
      <c r="O468" t="s">
        <v>6485</v>
      </c>
      <c r="P468" t="s">
        <v>6586</v>
      </c>
      <c r="Q468">
        <v>1.0792999999999999</v>
      </c>
      <c r="R468" t="s">
        <v>3301</v>
      </c>
      <c r="S468">
        <v>31.685723854041601</v>
      </c>
    </row>
    <row r="469" spans="8:19">
      <c r="H469" t="s">
        <v>405</v>
      </c>
      <c r="I469">
        <v>23</v>
      </c>
      <c r="J469" t="s">
        <v>948</v>
      </c>
      <c r="K469">
        <v>220</v>
      </c>
      <c r="L469">
        <v>0.89767799999999998</v>
      </c>
      <c r="M469">
        <v>4</v>
      </c>
      <c r="N469">
        <v>32.005000000000003</v>
      </c>
      <c r="O469" t="s">
        <v>6485</v>
      </c>
      <c r="P469" t="s">
        <v>6586</v>
      </c>
      <c r="Q469">
        <v>1.0792999999999999</v>
      </c>
      <c r="R469" t="s">
        <v>3301</v>
      </c>
      <c r="S469">
        <v>31.008488012127</v>
      </c>
    </row>
    <row r="470" spans="8:19">
      <c r="H470" t="s">
        <v>405</v>
      </c>
      <c r="I470">
        <v>23</v>
      </c>
      <c r="J470" t="s">
        <v>948</v>
      </c>
      <c r="K470">
        <v>220</v>
      </c>
      <c r="L470">
        <v>0.89767799999999998</v>
      </c>
      <c r="M470">
        <v>5</v>
      </c>
      <c r="N470">
        <v>50.984000000000002</v>
      </c>
      <c r="O470" t="s">
        <v>6485</v>
      </c>
      <c r="P470" t="s">
        <v>6586</v>
      </c>
      <c r="Q470">
        <v>1.0792999999999999</v>
      </c>
      <c r="R470" t="s">
        <v>3301</v>
      </c>
      <c r="S470">
        <v>49.396555313553598</v>
      </c>
    </row>
    <row r="471" spans="8:19">
      <c r="H471" t="s">
        <v>405</v>
      </c>
      <c r="I471">
        <v>23</v>
      </c>
      <c r="J471" t="s">
        <v>948</v>
      </c>
      <c r="K471">
        <v>220</v>
      </c>
      <c r="L471">
        <v>0.89767799999999998</v>
      </c>
      <c r="M471">
        <v>6</v>
      </c>
      <c r="N471">
        <v>89.602000000000004</v>
      </c>
      <c r="O471" t="s">
        <v>6485</v>
      </c>
      <c r="P471" t="s">
        <v>6586</v>
      </c>
      <c r="Q471">
        <v>1.0792999999999999</v>
      </c>
      <c r="R471" t="s">
        <v>3301</v>
      </c>
      <c r="S471">
        <v>86.812140067570795</v>
      </c>
    </row>
    <row r="472" spans="8:19">
      <c r="H472" t="s">
        <v>474</v>
      </c>
      <c r="I472">
        <v>13</v>
      </c>
      <c r="J472" t="s">
        <v>9</v>
      </c>
      <c r="K472">
        <v>220</v>
      </c>
      <c r="L472">
        <v>0.275314</v>
      </c>
      <c r="M472">
        <v>1</v>
      </c>
      <c r="N472">
        <v>55.936</v>
      </c>
      <c r="O472" t="s">
        <v>6617</v>
      </c>
      <c r="P472" t="s">
        <v>6586</v>
      </c>
      <c r="Q472">
        <v>1.0325599999999999</v>
      </c>
      <c r="R472" t="s">
        <v>3304</v>
      </c>
      <c r="S472">
        <v>15.90138672871424</v>
      </c>
    </row>
    <row r="473" spans="8:19">
      <c r="H473" t="s">
        <v>474</v>
      </c>
      <c r="I473">
        <v>13</v>
      </c>
      <c r="J473" t="s">
        <v>9</v>
      </c>
      <c r="K473">
        <v>220</v>
      </c>
      <c r="L473">
        <v>0.275314</v>
      </c>
      <c r="M473">
        <v>2</v>
      </c>
      <c r="N473">
        <v>56.033999999999999</v>
      </c>
      <c r="O473" t="s">
        <v>6617</v>
      </c>
      <c r="P473" t="s">
        <v>6586</v>
      </c>
      <c r="Q473">
        <v>1.0325599999999999</v>
      </c>
      <c r="R473" t="s">
        <v>3304</v>
      </c>
      <c r="S473">
        <v>15.929245994650559</v>
      </c>
    </row>
    <row r="474" spans="8:19">
      <c r="H474" t="s">
        <v>474</v>
      </c>
      <c r="I474">
        <v>13</v>
      </c>
      <c r="J474" t="s">
        <v>9</v>
      </c>
      <c r="K474">
        <v>220</v>
      </c>
      <c r="L474">
        <v>0.275314</v>
      </c>
      <c r="M474">
        <v>3</v>
      </c>
      <c r="N474">
        <v>39.116999999999997</v>
      </c>
      <c r="O474" t="s">
        <v>6617</v>
      </c>
      <c r="P474" t="s">
        <v>6586</v>
      </c>
      <c r="Q474">
        <v>1.0325599999999999</v>
      </c>
      <c r="R474" t="s">
        <v>3304</v>
      </c>
      <c r="S474">
        <v>11.12011128194928</v>
      </c>
    </row>
    <row r="475" spans="8:19">
      <c r="H475" t="s">
        <v>474</v>
      </c>
      <c r="I475">
        <v>13</v>
      </c>
      <c r="J475" t="s">
        <v>9</v>
      </c>
      <c r="K475">
        <v>220</v>
      </c>
      <c r="L475">
        <v>0.275314</v>
      </c>
      <c r="M475">
        <v>4</v>
      </c>
      <c r="N475">
        <v>38.668999999999997</v>
      </c>
      <c r="O475" t="s">
        <v>6617</v>
      </c>
      <c r="P475" t="s">
        <v>6586</v>
      </c>
      <c r="Q475">
        <v>1.0325599999999999</v>
      </c>
      <c r="R475" t="s">
        <v>3304</v>
      </c>
      <c r="S475">
        <v>10.992754637668961</v>
      </c>
    </row>
    <row r="476" spans="8:19">
      <c r="H476" t="s">
        <v>474</v>
      </c>
      <c r="I476">
        <v>13</v>
      </c>
      <c r="J476" t="s">
        <v>9</v>
      </c>
      <c r="K476">
        <v>220</v>
      </c>
      <c r="L476">
        <v>0.275314</v>
      </c>
      <c r="M476">
        <v>5</v>
      </c>
      <c r="N476">
        <v>51.475999999999999</v>
      </c>
      <c r="O476" t="s">
        <v>6617</v>
      </c>
      <c r="P476" t="s">
        <v>6586</v>
      </c>
      <c r="Q476">
        <v>1.0325599999999999</v>
      </c>
      <c r="R476" t="s">
        <v>3304</v>
      </c>
      <c r="S476">
        <v>14.63350585038784</v>
      </c>
    </row>
    <row r="477" spans="8:19">
      <c r="H477" t="s">
        <v>474</v>
      </c>
      <c r="I477">
        <v>13</v>
      </c>
      <c r="J477" t="s">
        <v>9</v>
      </c>
      <c r="K477">
        <v>220</v>
      </c>
      <c r="L477">
        <v>0.275314</v>
      </c>
      <c r="M477">
        <v>6</v>
      </c>
      <c r="N477">
        <v>62.256999999999998</v>
      </c>
      <c r="O477" t="s">
        <v>6617</v>
      </c>
      <c r="P477" t="s">
        <v>6586</v>
      </c>
      <c r="Q477">
        <v>1.0325599999999999</v>
      </c>
      <c r="R477" t="s">
        <v>3304</v>
      </c>
      <c r="S477">
        <v>17.698309381606879</v>
      </c>
    </row>
    <row r="478" spans="8:19">
      <c r="H478" t="s">
        <v>474</v>
      </c>
      <c r="I478">
        <v>13</v>
      </c>
      <c r="J478" t="s">
        <v>9</v>
      </c>
      <c r="K478">
        <v>220</v>
      </c>
      <c r="L478">
        <v>0.275314</v>
      </c>
      <c r="M478">
        <v>1</v>
      </c>
      <c r="N478">
        <v>69.262</v>
      </c>
      <c r="O478" t="s">
        <v>6485</v>
      </c>
      <c r="P478" t="s">
        <v>6586</v>
      </c>
      <c r="Q478">
        <v>1.0325599999999999</v>
      </c>
      <c r="R478" t="s">
        <v>3304</v>
      </c>
      <c r="S478">
        <v>19.689678339606079</v>
      </c>
    </row>
    <row r="479" spans="8:19">
      <c r="H479" t="s">
        <v>474</v>
      </c>
      <c r="I479">
        <v>13</v>
      </c>
      <c r="J479" t="s">
        <v>9</v>
      </c>
      <c r="K479">
        <v>220</v>
      </c>
      <c r="L479">
        <v>0.275314</v>
      </c>
      <c r="M479">
        <v>2</v>
      </c>
      <c r="N479">
        <v>62.783000000000001</v>
      </c>
      <c r="O479" t="s">
        <v>6485</v>
      </c>
      <c r="P479" t="s">
        <v>6586</v>
      </c>
      <c r="Q479">
        <v>1.0325599999999999</v>
      </c>
      <c r="R479" t="s">
        <v>3304</v>
      </c>
      <c r="S479">
        <v>17.84783972734672</v>
      </c>
    </row>
    <row r="480" spans="8:19">
      <c r="H480" t="s">
        <v>474</v>
      </c>
      <c r="I480">
        <v>13</v>
      </c>
      <c r="J480" t="s">
        <v>9</v>
      </c>
      <c r="K480">
        <v>220</v>
      </c>
      <c r="L480">
        <v>0.275314</v>
      </c>
      <c r="M480">
        <v>3</v>
      </c>
      <c r="N480">
        <v>32.915999999999997</v>
      </c>
      <c r="O480" t="s">
        <v>6485</v>
      </c>
      <c r="P480" t="s">
        <v>6586</v>
      </c>
      <c r="Q480">
        <v>1.0325599999999999</v>
      </c>
      <c r="R480" t="s">
        <v>3304</v>
      </c>
      <c r="S480">
        <v>9.3573020159174387</v>
      </c>
    </row>
    <row r="481" spans="8:19">
      <c r="H481" t="s">
        <v>474</v>
      </c>
      <c r="I481">
        <v>13</v>
      </c>
      <c r="J481" t="s">
        <v>9</v>
      </c>
      <c r="K481">
        <v>220</v>
      </c>
      <c r="L481">
        <v>0.275314</v>
      </c>
      <c r="M481">
        <v>4</v>
      </c>
      <c r="N481">
        <v>32.179000000000002</v>
      </c>
      <c r="O481" t="s">
        <v>6485</v>
      </c>
      <c r="P481" t="s">
        <v>6586</v>
      </c>
      <c r="Q481">
        <v>1.0325599999999999</v>
      </c>
      <c r="R481" t="s">
        <v>3304</v>
      </c>
      <c r="S481">
        <v>9.1477889649473596</v>
      </c>
    </row>
    <row r="482" spans="8:19">
      <c r="H482" t="s">
        <v>474</v>
      </c>
      <c r="I482">
        <v>13</v>
      </c>
      <c r="J482" t="s">
        <v>9</v>
      </c>
      <c r="K482">
        <v>220</v>
      </c>
      <c r="L482">
        <v>0.275314</v>
      </c>
      <c r="M482">
        <v>5</v>
      </c>
      <c r="N482">
        <v>54.389000000000003</v>
      </c>
      <c r="O482" t="s">
        <v>6485</v>
      </c>
      <c r="P482" t="s">
        <v>6586</v>
      </c>
      <c r="Q482">
        <v>1.0325599999999999</v>
      </c>
      <c r="R482" t="s">
        <v>3304</v>
      </c>
      <c r="S482">
        <v>15.461608316433759</v>
      </c>
    </row>
    <row r="483" spans="8:19">
      <c r="H483" t="s">
        <v>474</v>
      </c>
      <c r="I483">
        <v>13</v>
      </c>
      <c r="J483" t="s">
        <v>9</v>
      </c>
      <c r="K483">
        <v>220</v>
      </c>
      <c r="L483">
        <v>0.275314</v>
      </c>
      <c r="M483">
        <v>6</v>
      </c>
      <c r="N483">
        <v>88.427000000000007</v>
      </c>
      <c r="O483" t="s">
        <v>6485</v>
      </c>
      <c r="P483" t="s">
        <v>6586</v>
      </c>
      <c r="Q483">
        <v>1.0325599999999999</v>
      </c>
      <c r="R483" t="s">
        <v>3304</v>
      </c>
      <c r="S483">
        <v>25.13787049949968</v>
      </c>
    </row>
    <row r="484" spans="8:19">
      <c r="H484" t="s">
        <v>474</v>
      </c>
      <c r="I484">
        <v>13</v>
      </c>
      <c r="J484" t="s">
        <v>14</v>
      </c>
      <c r="K484">
        <v>220</v>
      </c>
      <c r="L484">
        <v>5.8817000000000001E-2</v>
      </c>
      <c r="M484">
        <v>1</v>
      </c>
      <c r="N484">
        <v>56.027999999999999</v>
      </c>
      <c r="O484" t="s">
        <v>6617</v>
      </c>
      <c r="P484" t="s">
        <v>6586</v>
      </c>
      <c r="Q484">
        <v>1.0325599999999999</v>
      </c>
      <c r="R484" t="s">
        <v>3304</v>
      </c>
      <c r="S484">
        <v>3.40269706340256</v>
      </c>
    </row>
    <row r="485" spans="8:19">
      <c r="H485" t="s">
        <v>474</v>
      </c>
      <c r="I485">
        <v>13</v>
      </c>
      <c r="J485" t="s">
        <v>14</v>
      </c>
      <c r="K485">
        <v>220</v>
      </c>
      <c r="L485">
        <v>5.8817000000000001E-2</v>
      </c>
      <c r="M485">
        <v>2</v>
      </c>
      <c r="N485">
        <v>56.122999999999998</v>
      </c>
      <c r="O485" t="s">
        <v>6617</v>
      </c>
      <c r="P485" t="s">
        <v>6586</v>
      </c>
      <c r="Q485">
        <v>1.0325599999999999</v>
      </c>
      <c r="R485" t="s">
        <v>3304</v>
      </c>
      <c r="S485">
        <v>3.408466611146959</v>
      </c>
    </row>
    <row r="486" spans="8:19">
      <c r="H486" t="s">
        <v>474</v>
      </c>
      <c r="I486">
        <v>13</v>
      </c>
      <c r="J486" t="s">
        <v>14</v>
      </c>
      <c r="K486">
        <v>220</v>
      </c>
      <c r="L486">
        <v>5.8817000000000001E-2</v>
      </c>
      <c r="M486">
        <v>3</v>
      </c>
      <c r="N486">
        <v>39.145000000000003</v>
      </c>
      <c r="O486" t="s">
        <v>6617</v>
      </c>
      <c r="P486" t="s">
        <v>6586</v>
      </c>
      <c r="Q486">
        <v>1.0325599999999999</v>
      </c>
      <c r="R486" t="s">
        <v>3304</v>
      </c>
      <c r="S486">
        <v>2.3773573311003999</v>
      </c>
    </row>
    <row r="487" spans="8:19">
      <c r="H487" t="s">
        <v>474</v>
      </c>
      <c r="I487">
        <v>13</v>
      </c>
      <c r="J487" t="s">
        <v>14</v>
      </c>
      <c r="K487">
        <v>220</v>
      </c>
      <c r="L487">
        <v>5.8817000000000001E-2</v>
      </c>
      <c r="M487">
        <v>4</v>
      </c>
      <c r="N487">
        <v>38.646999999999998</v>
      </c>
      <c r="O487" t="s">
        <v>6617</v>
      </c>
      <c r="P487" t="s">
        <v>6586</v>
      </c>
      <c r="Q487">
        <v>1.0325599999999999</v>
      </c>
      <c r="R487" t="s">
        <v>3304</v>
      </c>
      <c r="S487">
        <v>2.3471127545034398</v>
      </c>
    </row>
    <row r="488" spans="8:19">
      <c r="H488" t="s">
        <v>474</v>
      </c>
      <c r="I488">
        <v>13</v>
      </c>
      <c r="J488" t="s">
        <v>14</v>
      </c>
      <c r="K488">
        <v>220</v>
      </c>
      <c r="L488">
        <v>5.8817000000000001E-2</v>
      </c>
      <c r="M488">
        <v>5</v>
      </c>
      <c r="N488">
        <v>49.831000000000003</v>
      </c>
      <c r="O488" t="s">
        <v>6617</v>
      </c>
      <c r="P488" t="s">
        <v>6586</v>
      </c>
      <c r="Q488">
        <v>1.0325599999999999</v>
      </c>
      <c r="R488" t="s">
        <v>3304</v>
      </c>
      <c r="S488">
        <v>3.02634035422312</v>
      </c>
    </row>
    <row r="489" spans="8:19">
      <c r="H489" t="s">
        <v>474</v>
      </c>
      <c r="I489">
        <v>13</v>
      </c>
      <c r="J489" t="s">
        <v>14</v>
      </c>
      <c r="K489">
        <v>220</v>
      </c>
      <c r="L489">
        <v>5.8817000000000001E-2</v>
      </c>
      <c r="M489">
        <v>6</v>
      </c>
      <c r="N489">
        <v>61.533000000000001</v>
      </c>
      <c r="O489" t="s">
        <v>6617</v>
      </c>
      <c r="P489" t="s">
        <v>6586</v>
      </c>
      <c r="Q489">
        <v>1.0325599999999999</v>
      </c>
      <c r="R489" t="s">
        <v>3304</v>
      </c>
      <c r="S489">
        <v>3.7370271721701598</v>
      </c>
    </row>
    <row r="490" spans="8:19">
      <c r="H490" t="s">
        <v>474</v>
      </c>
      <c r="I490">
        <v>13</v>
      </c>
      <c r="J490" t="s">
        <v>14</v>
      </c>
      <c r="K490">
        <v>220</v>
      </c>
      <c r="L490">
        <v>5.8817000000000001E-2</v>
      </c>
      <c r="M490">
        <v>1</v>
      </c>
      <c r="N490">
        <v>70.548000000000002</v>
      </c>
      <c r="O490" t="s">
        <v>6485</v>
      </c>
      <c r="P490" t="s">
        <v>6586</v>
      </c>
      <c r="Q490">
        <v>1.0325599999999999</v>
      </c>
      <c r="R490" t="s">
        <v>3304</v>
      </c>
      <c r="S490">
        <v>4.2845268870729596</v>
      </c>
    </row>
    <row r="491" spans="8:19">
      <c r="H491" t="s">
        <v>474</v>
      </c>
      <c r="I491">
        <v>13</v>
      </c>
      <c r="J491" t="s">
        <v>14</v>
      </c>
      <c r="K491">
        <v>220</v>
      </c>
      <c r="L491">
        <v>5.8817000000000001E-2</v>
      </c>
      <c r="M491">
        <v>2</v>
      </c>
      <c r="N491">
        <v>63.55</v>
      </c>
      <c r="O491" t="s">
        <v>6485</v>
      </c>
      <c r="P491" t="s">
        <v>6586</v>
      </c>
      <c r="Q491">
        <v>1.0325599999999999</v>
      </c>
      <c r="R491" t="s">
        <v>3304</v>
      </c>
      <c r="S491">
        <v>3.8595237805960001</v>
      </c>
    </row>
    <row r="492" spans="8:19">
      <c r="H492" t="s">
        <v>474</v>
      </c>
      <c r="I492">
        <v>13</v>
      </c>
      <c r="J492" t="s">
        <v>14</v>
      </c>
      <c r="K492">
        <v>220</v>
      </c>
      <c r="L492">
        <v>5.8817000000000001E-2</v>
      </c>
      <c r="M492">
        <v>3</v>
      </c>
      <c r="N492">
        <v>32.978000000000002</v>
      </c>
      <c r="O492" t="s">
        <v>6485</v>
      </c>
      <c r="P492" t="s">
        <v>6586</v>
      </c>
      <c r="Q492">
        <v>1.0325599999999999</v>
      </c>
      <c r="R492" t="s">
        <v>3304</v>
      </c>
      <c r="S492">
        <v>2.0028225843665601</v>
      </c>
    </row>
    <row r="493" spans="8:19">
      <c r="H493" t="s">
        <v>474</v>
      </c>
      <c r="I493">
        <v>13</v>
      </c>
      <c r="J493" t="s">
        <v>14</v>
      </c>
      <c r="K493">
        <v>220</v>
      </c>
      <c r="L493">
        <v>5.8817000000000001E-2</v>
      </c>
      <c r="M493">
        <v>4</v>
      </c>
      <c r="N493">
        <v>31.867000000000001</v>
      </c>
      <c r="O493" t="s">
        <v>6485</v>
      </c>
      <c r="P493" t="s">
        <v>6586</v>
      </c>
      <c r="Q493">
        <v>1.0325599999999999</v>
      </c>
      <c r="R493" t="s">
        <v>3304</v>
      </c>
      <c r="S493">
        <v>1.93534924179784</v>
      </c>
    </row>
    <row r="494" spans="8:19">
      <c r="H494" t="s">
        <v>474</v>
      </c>
      <c r="I494">
        <v>13</v>
      </c>
      <c r="J494" t="s">
        <v>14</v>
      </c>
      <c r="K494">
        <v>220</v>
      </c>
      <c r="L494">
        <v>5.8817000000000001E-2</v>
      </c>
      <c r="M494">
        <v>5</v>
      </c>
      <c r="N494">
        <v>51.658000000000001</v>
      </c>
      <c r="O494" t="s">
        <v>6485</v>
      </c>
      <c r="P494" t="s">
        <v>6586</v>
      </c>
      <c r="Q494">
        <v>1.0325599999999999</v>
      </c>
      <c r="R494" t="s">
        <v>3304</v>
      </c>
      <c r="S494">
        <v>3.1372978671601599</v>
      </c>
    </row>
    <row r="495" spans="8:19">
      <c r="H495" t="s">
        <v>474</v>
      </c>
      <c r="I495">
        <v>13</v>
      </c>
      <c r="J495" t="s">
        <v>14</v>
      </c>
      <c r="K495">
        <v>220</v>
      </c>
      <c r="L495">
        <v>5.8817000000000001E-2</v>
      </c>
      <c r="M495">
        <v>6</v>
      </c>
      <c r="N495">
        <v>88.040999999999997</v>
      </c>
      <c r="O495" t="s">
        <v>6485</v>
      </c>
      <c r="P495" t="s">
        <v>6586</v>
      </c>
      <c r="Q495">
        <v>1.0325599999999999</v>
      </c>
      <c r="R495" t="s">
        <v>3304</v>
      </c>
      <c r="S495">
        <v>5.3469131891023194</v>
      </c>
    </row>
    <row r="496" spans="8:19">
      <c r="H496" t="s">
        <v>474</v>
      </c>
      <c r="I496">
        <v>13</v>
      </c>
      <c r="J496" t="s">
        <v>248</v>
      </c>
      <c r="K496">
        <v>220</v>
      </c>
      <c r="L496">
        <v>3.8429999999999999E-2</v>
      </c>
      <c r="M496">
        <v>1</v>
      </c>
      <c r="N496">
        <v>54.328000000000003</v>
      </c>
      <c r="O496" t="s">
        <v>6617</v>
      </c>
      <c r="P496" t="s">
        <v>6586</v>
      </c>
      <c r="Q496">
        <v>1.0325599999999999</v>
      </c>
      <c r="R496" t="s">
        <v>3304</v>
      </c>
      <c r="S496">
        <v>2.1558046233024002</v>
      </c>
    </row>
    <row r="497" spans="8:19">
      <c r="H497" t="s">
        <v>474</v>
      </c>
      <c r="I497">
        <v>13</v>
      </c>
      <c r="J497" t="s">
        <v>248</v>
      </c>
      <c r="K497">
        <v>220</v>
      </c>
      <c r="L497">
        <v>3.8429999999999999E-2</v>
      </c>
      <c r="M497">
        <v>2</v>
      </c>
      <c r="N497">
        <v>54.436999999999998</v>
      </c>
      <c r="O497" t="s">
        <v>6617</v>
      </c>
      <c r="P497" t="s">
        <v>6586</v>
      </c>
      <c r="Q497">
        <v>1.0325599999999999</v>
      </c>
      <c r="R497" t="s">
        <v>3304</v>
      </c>
      <c r="S497">
        <v>2.1601298829096001</v>
      </c>
    </row>
    <row r="498" spans="8:19">
      <c r="H498" t="s">
        <v>474</v>
      </c>
      <c r="I498">
        <v>13</v>
      </c>
      <c r="J498" t="s">
        <v>248</v>
      </c>
      <c r="K498">
        <v>220</v>
      </c>
      <c r="L498">
        <v>3.8429999999999999E-2</v>
      </c>
      <c r="M498">
        <v>3</v>
      </c>
      <c r="N498">
        <v>39.161000000000001</v>
      </c>
      <c r="O498" t="s">
        <v>6617</v>
      </c>
      <c r="P498" t="s">
        <v>6586</v>
      </c>
      <c r="Q498">
        <v>1.0325599999999999</v>
      </c>
      <c r="R498" t="s">
        <v>3304</v>
      </c>
      <c r="S498">
        <v>1.5539586374087999</v>
      </c>
    </row>
    <row r="499" spans="8:19">
      <c r="H499" t="s">
        <v>474</v>
      </c>
      <c r="I499">
        <v>13</v>
      </c>
      <c r="J499" t="s">
        <v>248</v>
      </c>
      <c r="K499">
        <v>220</v>
      </c>
      <c r="L499">
        <v>3.8429999999999999E-2</v>
      </c>
      <c r="M499">
        <v>4</v>
      </c>
      <c r="N499">
        <v>38.674999999999997</v>
      </c>
      <c r="O499" t="s">
        <v>6617</v>
      </c>
      <c r="P499" t="s">
        <v>6586</v>
      </c>
      <c r="Q499">
        <v>1.0325599999999999</v>
      </c>
      <c r="R499" t="s">
        <v>3304</v>
      </c>
      <c r="S499">
        <v>1.53467353494</v>
      </c>
    </row>
    <row r="500" spans="8:19">
      <c r="H500" t="s">
        <v>474</v>
      </c>
      <c r="I500">
        <v>13</v>
      </c>
      <c r="J500" t="s">
        <v>248</v>
      </c>
      <c r="K500">
        <v>220</v>
      </c>
      <c r="L500">
        <v>3.8429999999999999E-2</v>
      </c>
      <c r="M500">
        <v>5</v>
      </c>
      <c r="N500">
        <v>49.055</v>
      </c>
      <c r="O500" t="s">
        <v>6617</v>
      </c>
      <c r="P500" t="s">
        <v>6586</v>
      </c>
      <c r="Q500">
        <v>1.0325599999999999</v>
      </c>
      <c r="R500" t="s">
        <v>3304</v>
      </c>
      <c r="S500">
        <v>1.9465652296439999</v>
      </c>
    </row>
    <row r="501" spans="8:19">
      <c r="H501" t="s">
        <v>474</v>
      </c>
      <c r="I501">
        <v>13</v>
      </c>
      <c r="J501" t="s">
        <v>248</v>
      </c>
      <c r="K501">
        <v>220</v>
      </c>
      <c r="L501">
        <v>3.8429999999999999E-2</v>
      </c>
      <c r="M501">
        <v>6</v>
      </c>
      <c r="N501">
        <v>58.87</v>
      </c>
      <c r="O501" t="s">
        <v>6617</v>
      </c>
      <c r="P501" t="s">
        <v>6586</v>
      </c>
      <c r="Q501">
        <v>1.0325599999999999</v>
      </c>
      <c r="R501" t="s">
        <v>3304</v>
      </c>
      <c r="S501">
        <v>2.336037000695999</v>
      </c>
    </row>
    <row r="502" spans="8:19">
      <c r="H502" t="s">
        <v>474</v>
      </c>
      <c r="I502">
        <v>13</v>
      </c>
      <c r="J502" t="s">
        <v>248</v>
      </c>
      <c r="K502">
        <v>220</v>
      </c>
      <c r="L502">
        <v>3.8429999999999999E-2</v>
      </c>
      <c r="M502">
        <v>1</v>
      </c>
      <c r="N502">
        <v>65.05</v>
      </c>
      <c r="O502" t="s">
        <v>6485</v>
      </c>
      <c r="P502" t="s">
        <v>6586</v>
      </c>
      <c r="Q502">
        <v>1.0325599999999999</v>
      </c>
      <c r="R502" t="s">
        <v>3304</v>
      </c>
      <c r="S502">
        <v>2.581267316039999</v>
      </c>
    </row>
    <row r="503" spans="8:19">
      <c r="H503" t="s">
        <v>474</v>
      </c>
      <c r="I503">
        <v>13</v>
      </c>
      <c r="J503" t="s">
        <v>248</v>
      </c>
      <c r="K503">
        <v>220</v>
      </c>
      <c r="L503">
        <v>3.8429999999999999E-2</v>
      </c>
      <c r="M503">
        <v>2</v>
      </c>
      <c r="N503">
        <v>60.055999999999997</v>
      </c>
      <c r="O503" t="s">
        <v>6485</v>
      </c>
      <c r="P503" t="s">
        <v>6586</v>
      </c>
      <c r="Q503">
        <v>1.0325599999999999</v>
      </c>
      <c r="R503" t="s">
        <v>3304</v>
      </c>
      <c r="S503">
        <v>2.3830989997248002</v>
      </c>
    </row>
    <row r="504" spans="8:19">
      <c r="H504" t="s">
        <v>474</v>
      </c>
      <c r="I504">
        <v>13</v>
      </c>
      <c r="J504" t="s">
        <v>248</v>
      </c>
      <c r="K504">
        <v>220</v>
      </c>
      <c r="L504">
        <v>3.8429999999999999E-2</v>
      </c>
      <c r="M504">
        <v>3</v>
      </c>
      <c r="N504">
        <v>33.075000000000003</v>
      </c>
      <c r="O504" t="s">
        <v>6485</v>
      </c>
      <c r="P504" t="s">
        <v>6586</v>
      </c>
      <c r="Q504">
        <v>1.0325599999999999</v>
      </c>
      <c r="R504" t="s">
        <v>3304</v>
      </c>
      <c r="S504">
        <v>1.3124583624599999</v>
      </c>
    </row>
    <row r="505" spans="8:19">
      <c r="H505" t="s">
        <v>474</v>
      </c>
      <c r="I505">
        <v>13</v>
      </c>
      <c r="J505" t="s">
        <v>248</v>
      </c>
      <c r="K505">
        <v>220</v>
      </c>
      <c r="L505">
        <v>3.8429999999999999E-2</v>
      </c>
      <c r="M505">
        <v>4</v>
      </c>
      <c r="N505">
        <v>32.075000000000003</v>
      </c>
      <c r="O505" t="s">
        <v>6485</v>
      </c>
      <c r="P505" t="s">
        <v>6586</v>
      </c>
      <c r="Q505">
        <v>1.0325599999999999</v>
      </c>
      <c r="R505" t="s">
        <v>3304</v>
      </c>
      <c r="S505">
        <v>1.2727770816599999</v>
      </c>
    </row>
    <row r="506" spans="8:19">
      <c r="H506" t="s">
        <v>474</v>
      </c>
      <c r="I506">
        <v>13</v>
      </c>
      <c r="J506" t="s">
        <v>248</v>
      </c>
      <c r="K506">
        <v>220</v>
      </c>
      <c r="L506">
        <v>3.8429999999999999E-2</v>
      </c>
      <c r="M506">
        <v>5</v>
      </c>
      <c r="N506">
        <v>50.77</v>
      </c>
      <c r="O506" t="s">
        <v>6485</v>
      </c>
      <c r="P506" t="s">
        <v>6586</v>
      </c>
      <c r="Q506">
        <v>1.0325599999999999</v>
      </c>
      <c r="R506" t="s">
        <v>3304</v>
      </c>
      <c r="S506">
        <v>2.014618626216</v>
      </c>
    </row>
    <row r="507" spans="8:19">
      <c r="H507" t="s">
        <v>474</v>
      </c>
      <c r="I507">
        <v>13</v>
      </c>
      <c r="J507" t="s">
        <v>248</v>
      </c>
      <c r="K507">
        <v>220</v>
      </c>
      <c r="L507">
        <v>3.8429999999999999E-2</v>
      </c>
      <c r="M507">
        <v>6</v>
      </c>
      <c r="N507">
        <v>78.662999999999997</v>
      </c>
      <c r="O507" t="s">
        <v>6485</v>
      </c>
      <c r="P507" t="s">
        <v>6586</v>
      </c>
      <c r="Q507">
        <v>1.0325599999999999</v>
      </c>
      <c r="R507" t="s">
        <v>3304</v>
      </c>
      <c r="S507">
        <v>3.1214485915703989</v>
      </c>
    </row>
    <row r="508" spans="8:19">
      <c r="H508" t="s">
        <v>474</v>
      </c>
      <c r="I508">
        <v>13</v>
      </c>
      <c r="J508" t="s">
        <v>548</v>
      </c>
      <c r="K508">
        <v>220</v>
      </c>
      <c r="L508">
        <v>0.41260599999999997</v>
      </c>
      <c r="M508">
        <v>1</v>
      </c>
      <c r="N508">
        <v>55.128</v>
      </c>
      <c r="O508" t="s">
        <v>6617</v>
      </c>
      <c r="P508" t="s">
        <v>6586</v>
      </c>
      <c r="Q508">
        <v>1.0325599999999999</v>
      </c>
      <c r="R508" t="s">
        <v>3304</v>
      </c>
      <c r="S508">
        <v>23.486758002574071</v>
      </c>
    </row>
    <row r="509" spans="8:19">
      <c r="H509" t="s">
        <v>474</v>
      </c>
      <c r="I509">
        <v>13</v>
      </c>
      <c r="J509" t="s">
        <v>548</v>
      </c>
      <c r="K509">
        <v>220</v>
      </c>
      <c r="L509">
        <v>0.41260599999999997</v>
      </c>
      <c r="M509">
        <v>2</v>
      </c>
      <c r="N509">
        <v>55.256999999999998</v>
      </c>
      <c r="O509" t="s">
        <v>6617</v>
      </c>
      <c r="P509" t="s">
        <v>6586</v>
      </c>
      <c r="Q509">
        <v>1.0325599999999999</v>
      </c>
      <c r="R509" t="s">
        <v>3304</v>
      </c>
      <c r="S509">
        <v>23.541717220799519</v>
      </c>
    </row>
    <row r="510" spans="8:19">
      <c r="H510" t="s">
        <v>474</v>
      </c>
      <c r="I510">
        <v>13</v>
      </c>
      <c r="J510" t="s">
        <v>548</v>
      </c>
      <c r="K510">
        <v>220</v>
      </c>
      <c r="L510">
        <v>0.41260599999999997</v>
      </c>
      <c r="M510">
        <v>3</v>
      </c>
      <c r="N510">
        <v>39.152000000000001</v>
      </c>
      <c r="O510" t="s">
        <v>6617</v>
      </c>
      <c r="P510" t="s">
        <v>6586</v>
      </c>
      <c r="Q510">
        <v>1.0325599999999999</v>
      </c>
      <c r="R510" t="s">
        <v>3304</v>
      </c>
      <c r="S510">
        <v>16.680335751646719</v>
      </c>
    </row>
    <row r="511" spans="8:19">
      <c r="H511" t="s">
        <v>474</v>
      </c>
      <c r="I511">
        <v>13</v>
      </c>
      <c r="J511" t="s">
        <v>548</v>
      </c>
      <c r="K511">
        <v>220</v>
      </c>
      <c r="L511">
        <v>0.41260599999999997</v>
      </c>
      <c r="M511">
        <v>4</v>
      </c>
      <c r="N511">
        <v>38.615000000000002</v>
      </c>
      <c r="O511" t="s">
        <v>6617</v>
      </c>
      <c r="P511" t="s">
        <v>6586</v>
      </c>
      <c r="Q511">
        <v>1.0325599999999999</v>
      </c>
      <c r="R511" t="s">
        <v>3304</v>
      </c>
      <c r="S511">
        <v>16.451552029266399</v>
      </c>
    </row>
    <row r="512" spans="8:19">
      <c r="H512" t="s">
        <v>474</v>
      </c>
      <c r="I512">
        <v>13</v>
      </c>
      <c r="J512" t="s">
        <v>548</v>
      </c>
      <c r="K512">
        <v>220</v>
      </c>
      <c r="L512">
        <v>0.41260599999999997</v>
      </c>
      <c r="M512">
        <v>5</v>
      </c>
      <c r="N512">
        <v>46.902000000000001</v>
      </c>
      <c r="O512" t="s">
        <v>6617</v>
      </c>
      <c r="P512" t="s">
        <v>6586</v>
      </c>
      <c r="Q512">
        <v>1.0325599999999999</v>
      </c>
      <c r="R512" t="s">
        <v>3304</v>
      </c>
      <c r="S512">
        <v>19.982149249686721</v>
      </c>
    </row>
    <row r="513" spans="8:19">
      <c r="H513" t="s">
        <v>474</v>
      </c>
      <c r="I513">
        <v>13</v>
      </c>
      <c r="J513" t="s">
        <v>548</v>
      </c>
      <c r="K513">
        <v>220</v>
      </c>
      <c r="L513">
        <v>0.41260599999999997</v>
      </c>
      <c r="M513">
        <v>6</v>
      </c>
      <c r="N513">
        <v>58.256</v>
      </c>
      <c r="O513" t="s">
        <v>6617</v>
      </c>
      <c r="P513" t="s">
        <v>6586</v>
      </c>
      <c r="Q513">
        <v>1.0325599999999999</v>
      </c>
      <c r="R513" t="s">
        <v>3304</v>
      </c>
      <c r="S513">
        <v>24.81941253442816</v>
      </c>
    </row>
    <row r="514" spans="8:19">
      <c r="H514" t="s">
        <v>474</v>
      </c>
      <c r="I514">
        <v>13</v>
      </c>
      <c r="J514" t="s">
        <v>548</v>
      </c>
      <c r="K514">
        <v>220</v>
      </c>
      <c r="L514">
        <v>0.41260599999999997</v>
      </c>
      <c r="M514">
        <v>1</v>
      </c>
      <c r="N514">
        <v>66.899000000000001</v>
      </c>
      <c r="O514" t="s">
        <v>6485</v>
      </c>
      <c r="P514" t="s">
        <v>6586</v>
      </c>
      <c r="Q514">
        <v>1.0325599999999999</v>
      </c>
      <c r="R514" t="s">
        <v>3304</v>
      </c>
      <c r="S514">
        <v>28.50168015553264</v>
      </c>
    </row>
    <row r="515" spans="8:19">
      <c r="H515" t="s">
        <v>474</v>
      </c>
      <c r="I515">
        <v>13</v>
      </c>
      <c r="J515" t="s">
        <v>548</v>
      </c>
      <c r="K515">
        <v>220</v>
      </c>
      <c r="L515">
        <v>0.41260599999999997</v>
      </c>
      <c r="M515">
        <v>2</v>
      </c>
      <c r="N515">
        <v>61.454000000000001</v>
      </c>
      <c r="O515" t="s">
        <v>6485</v>
      </c>
      <c r="P515" t="s">
        <v>6586</v>
      </c>
      <c r="Q515">
        <v>1.0325599999999999</v>
      </c>
      <c r="R515" t="s">
        <v>3304</v>
      </c>
      <c r="S515">
        <v>26.18188989787744</v>
      </c>
    </row>
    <row r="516" spans="8:19">
      <c r="H516" t="s">
        <v>474</v>
      </c>
      <c r="I516">
        <v>13</v>
      </c>
      <c r="J516" t="s">
        <v>548</v>
      </c>
      <c r="K516">
        <v>220</v>
      </c>
      <c r="L516">
        <v>0.41260599999999997</v>
      </c>
      <c r="M516">
        <v>3</v>
      </c>
      <c r="N516">
        <v>32.872</v>
      </c>
      <c r="O516" t="s">
        <v>6485</v>
      </c>
      <c r="P516" t="s">
        <v>6586</v>
      </c>
      <c r="Q516">
        <v>1.0325599999999999</v>
      </c>
      <c r="R516" t="s">
        <v>3304</v>
      </c>
      <c r="S516">
        <v>14.00480171710592</v>
      </c>
    </row>
    <row r="517" spans="8:19">
      <c r="H517" t="s">
        <v>474</v>
      </c>
      <c r="I517">
        <v>13</v>
      </c>
      <c r="J517" t="s">
        <v>548</v>
      </c>
      <c r="K517">
        <v>220</v>
      </c>
      <c r="L517">
        <v>0.41260599999999997</v>
      </c>
      <c r="M517">
        <v>4</v>
      </c>
      <c r="N517">
        <v>31.65</v>
      </c>
      <c r="O517" t="s">
        <v>6485</v>
      </c>
      <c r="P517" t="s">
        <v>6586</v>
      </c>
      <c r="Q517">
        <v>1.0325599999999999</v>
      </c>
      <c r="R517" t="s">
        <v>3304</v>
      </c>
      <c r="S517">
        <v>13.484180285543999</v>
      </c>
    </row>
    <row r="518" spans="8:19">
      <c r="H518" t="s">
        <v>474</v>
      </c>
      <c r="I518">
        <v>13</v>
      </c>
      <c r="J518" t="s">
        <v>548</v>
      </c>
      <c r="K518">
        <v>220</v>
      </c>
      <c r="L518">
        <v>0.41260599999999997</v>
      </c>
      <c r="M518">
        <v>5</v>
      </c>
      <c r="N518">
        <v>46.981999999999999</v>
      </c>
      <c r="O518" t="s">
        <v>6485</v>
      </c>
      <c r="P518" t="s">
        <v>6586</v>
      </c>
      <c r="Q518">
        <v>1.0325599999999999</v>
      </c>
      <c r="R518" t="s">
        <v>3304</v>
      </c>
      <c r="S518">
        <v>20.01623248579552</v>
      </c>
    </row>
    <row r="519" spans="8:19">
      <c r="H519" t="s">
        <v>474</v>
      </c>
      <c r="I519">
        <v>13</v>
      </c>
      <c r="J519" t="s">
        <v>548</v>
      </c>
      <c r="K519">
        <v>220</v>
      </c>
      <c r="L519">
        <v>0.41260599999999997</v>
      </c>
      <c r="M519">
        <v>6</v>
      </c>
      <c r="N519">
        <v>79.751999999999995</v>
      </c>
      <c r="O519" t="s">
        <v>6485</v>
      </c>
      <c r="P519" t="s">
        <v>6586</v>
      </c>
      <c r="Q519">
        <v>1.0325599999999999</v>
      </c>
      <c r="R519" t="s">
        <v>3304</v>
      </c>
      <c r="S519">
        <v>33.977578076862713</v>
      </c>
    </row>
    <row r="520" spans="8:19">
      <c r="H520" t="s">
        <v>474</v>
      </c>
      <c r="I520">
        <v>13</v>
      </c>
      <c r="J520" t="s">
        <v>1197</v>
      </c>
      <c r="K520">
        <v>220</v>
      </c>
      <c r="L520">
        <v>0.214833</v>
      </c>
      <c r="M520">
        <v>1</v>
      </c>
      <c r="N520">
        <v>55.825000000000003</v>
      </c>
      <c r="O520" t="s">
        <v>6617</v>
      </c>
      <c r="P520" t="s">
        <v>6586</v>
      </c>
      <c r="Q520">
        <v>1.0325599999999999</v>
      </c>
      <c r="R520" t="s">
        <v>3304</v>
      </c>
      <c r="S520">
        <v>12.383546005446</v>
      </c>
    </row>
    <row r="521" spans="8:19">
      <c r="H521" t="s">
        <v>474</v>
      </c>
      <c r="I521">
        <v>13</v>
      </c>
      <c r="J521" t="s">
        <v>1197</v>
      </c>
      <c r="K521">
        <v>220</v>
      </c>
      <c r="L521">
        <v>0.214833</v>
      </c>
      <c r="M521">
        <v>2</v>
      </c>
      <c r="N521">
        <v>56.061999999999998</v>
      </c>
      <c r="O521" t="s">
        <v>6617</v>
      </c>
      <c r="P521" t="s">
        <v>6586</v>
      </c>
      <c r="Q521">
        <v>1.0325599999999999</v>
      </c>
      <c r="R521" t="s">
        <v>3304</v>
      </c>
      <c r="S521">
        <v>12.436119232553761</v>
      </c>
    </row>
    <row r="522" spans="8:19">
      <c r="H522" t="s">
        <v>474</v>
      </c>
      <c r="I522">
        <v>13</v>
      </c>
      <c r="J522" t="s">
        <v>1197</v>
      </c>
      <c r="K522">
        <v>220</v>
      </c>
      <c r="L522">
        <v>0.214833</v>
      </c>
      <c r="M522">
        <v>3</v>
      </c>
      <c r="N522">
        <v>39.136000000000003</v>
      </c>
      <c r="O522" t="s">
        <v>6617</v>
      </c>
      <c r="P522" t="s">
        <v>6586</v>
      </c>
      <c r="Q522">
        <v>1.0325599999999999</v>
      </c>
      <c r="R522" t="s">
        <v>3304</v>
      </c>
      <c r="S522">
        <v>8.6814591396172798</v>
      </c>
    </row>
    <row r="523" spans="8:19">
      <c r="H523" t="s">
        <v>474</v>
      </c>
      <c r="I523">
        <v>13</v>
      </c>
      <c r="J523" t="s">
        <v>1197</v>
      </c>
      <c r="K523">
        <v>220</v>
      </c>
      <c r="L523">
        <v>0.214833</v>
      </c>
      <c r="M523">
        <v>4</v>
      </c>
      <c r="N523">
        <v>38.625</v>
      </c>
      <c r="O523" t="s">
        <v>6617</v>
      </c>
      <c r="P523" t="s">
        <v>6586</v>
      </c>
      <c r="Q523">
        <v>1.0325599999999999</v>
      </c>
      <c r="R523" t="s">
        <v>3304</v>
      </c>
      <c r="S523">
        <v>8.568105050789999</v>
      </c>
    </row>
    <row r="524" spans="8:19">
      <c r="H524" t="s">
        <v>474</v>
      </c>
      <c r="I524">
        <v>13</v>
      </c>
      <c r="J524" t="s">
        <v>1197</v>
      </c>
      <c r="K524">
        <v>220</v>
      </c>
      <c r="L524">
        <v>0.214833</v>
      </c>
      <c r="M524">
        <v>5</v>
      </c>
      <c r="N524">
        <v>49.764000000000003</v>
      </c>
      <c r="O524" t="s">
        <v>6617</v>
      </c>
      <c r="P524" t="s">
        <v>6586</v>
      </c>
      <c r="Q524">
        <v>1.0325599999999999</v>
      </c>
      <c r="R524" t="s">
        <v>3304</v>
      </c>
      <c r="S524">
        <v>11.039046724854719</v>
      </c>
    </row>
    <row r="525" spans="8:19">
      <c r="H525" t="s">
        <v>474</v>
      </c>
      <c r="I525">
        <v>13</v>
      </c>
      <c r="J525" t="s">
        <v>1197</v>
      </c>
      <c r="K525">
        <v>220</v>
      </c>
      <c r="L525">
        <v>0.214833</v>
      </c>
      <c r="M525">
        <v>6</v>
      </c>
      <c r="N525">
        <v>61.481999999999999</v>
      </c>
      <c r="O525" t="s">
        <v>6617</v>
      </c>
      <c r="P525" t="s">
        <v>6586</v>
      </c>
      <c r="Q525">
        <v>1.0325599999999999</v>
      </c>
      <c r="R525" t="s">
        <v>3304</v>
      </c>
      <c r="S525">
        <v>13.638426789195361</v>
      </c>
    </row>
    <row r="526" spans="8:19">
      <c r="H526" t="s">
        <v>474</v>
      </c>
      <c r="I526">
        <v>13</v>
      </c>
      <c r="J526" t="s">
        <v>1197</v>
      </c>
      <c r="K526">
        <v>220</v>
      </c>
      <c r="L526">
        <v>0.214833</v>
      </c>
      <c r="M526">
        <v>1</v>
      </c>
      <c r="N526">
        <v>70.069000000000003</v>
      </c>
      <c r="O526" t="s">
        <v>6485</v>
      </c>
      <c r="P526" t="s">
        <v>6586</v>
      </c>
      <c r="Q526">
        <v>1.0325599999999999</v>
      </c>
      <c r="R526" t="s">
        <v>3304</v>
      </c>
      <c r="S526">
        <v>15.54326350301112</v>
      </c>
    </row>
    <row r="527" spans="8:19">
      <c r="H527" t="s">
        <v>474</v>
      </c>
      <c r="I527">
        <v>13</v>
      </c>
      <c r="J527" t="s">
        <v>1197</v>
      </c>
      <c r="K527">
        <v>220</v>
      </c>
      <c r="L527">
        <v>0.214833</v>
      </c>
      <c r="M527">
        <v>2</v>
      </c>
      <c r="N527">
        <v>63.207000000000001</v>
      </c>
      <c r="O527" t="s">
        <v>6485</v>
      </c>
      <c r="P527" t="s">
        <v>6586</v>
      </c>
      <c r="Q527">
        <v>1.0325599999999999</v>
      </c>
      <c r="R527" t="s">
        <v>3304</v>
      </c>
      <c r="S527">
        <v>14.02108002447336</v>
      </c>
    </row>
    <row r="528" spans="8:19">
      <c r="H528" t="s">
        <v>474</v>
      </c>
      <c r="I528">
        <v>13</v>
      </c>
      <c r="J528" t="s">
        <v>1197</v>
      </c>
      <c r="K528">
        <v>220</v>
      </c>
      <c r="L528">
        <v>0.214833</v>
      </c>
      <c r="M528">
        <v>3</v>
      </c>
      <c r="N528">
        <v>32.453000000000003</v>
      </c>
      <c r="O528" t="s">
        <v>6485</v>
      </c>
      <c r="P528" t="s">
        <v>6586</v>
      </c>
      <c r="Q528">
        <v>1.0325599999999999</v>
      </c>
      <c r="R528" t="s">
        <v>3304</v>
      </c>
      <c r="S528">
        <v>7.1989828663634414</v>
      </c>
    </row>
    <row r="529" spans="8:19">
      <c r="H529" t="s">
        <v>474</v>
      </c>
      <c r="I529">
        <v>13</v>
      </c>
      <c r="J529" t="s">
        <v>1197</v>
      </c>
      <c r="K529">
        <v>220</v>
      </c>
      <c r="L529">
        <v>0.214833</v>
      </c>
      <c r="M529">
        <v>4</v>
      </c>
      <c r="N529">
        <v>30.672000000000001</v>
      </c>
      <c r="O529" t="s">
        <v>6485</v>
      </c>
      <c r="P529" t="s">
        <v>6586</v>
      </c>
      <c r="Q529">
        <v>1.0325599999999999</v>
      </c>
      <c r="R529" t="s">
        <v>3304</v>
      </c>
      <c r="S529">
        <v>6.8039072651865604</v>
      </c>
    </row>
    <row r="530" spans="8:19">
      <c r="H530" t="s">
        <v>474</v>
      </c>
      <c r="I530">
        <v>13</v>
      </c>
      <c r="J530" t="s">
        <v>1197</v>
      </c>
      <c r="K530">
        <v>220</v>
      </c>
      <c r="L530">
        <v>0.214833</v>
      </c>
      <c r="M530">
        <v>5</v>
      </c>
      <c r="N530">
        <v>51.459000000000003</v>
      </c>
      <c r="O530" t="s">
        <v>6485</v>
      </c>
      <c r="P530" t="s">
        <v>6586</v>
      </c>
      <c r="Q530">
        <v>1.0325599999999999</v>
      </c>
      <c r="R530" t="s">
        <v>3304</v>
      </c>
      <c r="S530">
        <v>11.41504512125832</v>
      </c>
    </row>
    <row r="531" spans="8:19">
      <c r="H531" t="s">
        <v>474</v>
      </c>
      <c r="I531">
        <v>13</v>
      </c>
      <c r="J531" t="s">
        <v>1197</v>
      </c>
      <c r="K531">
        <v>220</v>
      </c>
      <c r="L531">
        <v>0.214833</v>
      </c>
      <c r="M531">
        <v>6</v>
      </c>
      <c r="N531">
        <v>87.926000000000002</v>
      </c>
      <c r="O531" t="s">
        <v>6485</v>
      </c>
      <c r="P531" t="s">
        <v>6586</v>
      </c>
      <c r="Q531">
        <v>1.0325599999999999</v>
      </c>
      <c r="R531" t="s">
        <v>3304</v>
      </c>
      <c r="S531">
        <v>19.504445429016481</v>
      </c>
    </row>
    <row r="532" spans="8:19">
      <c r="H532" t="s">
        <v>545</v>
      </c>
      <c r="I532">
        <v>66</v>
      </c>
      <c r="J532" t="s">
        <v>9</v>
      </c>
      <c r="K532">
        <v>220</v>
      </c>
      <c r="L532">
        <v>0.74762399999999996</v>
      </c>
      <c r="M532">
        <v>1</v>
      </c>
      <c r="N532">
        <v>55.936</v>
      </c>
      <c r="O532" t="s">
        <v>6617</v>
      </c>
      <c r="P532" t="s">
        <v>6586</v>
      </c>
      <c r="Q532">
        <v>1.0325599999999999</v>
      </c>
      <c r="R532" t="s">
        <v>3304</v>
      </c>
      <c r="S532">
        <v>43.180725831843837</v>
      </c>
    </row>
    <row r="533" spans="8:19">
      <c r="H533" t="s">
        <v>545</v>
      </c>
      <c r="I533">
        <v>66</v>
      </c>
      <c r="J533" t="s">
        <v>9</v>
      </c>
      <c r="K533">
        <v>220</v>
      </c>
      <c r="L533">
        <v>0.74762399999999996</v>
      </c>
      <c r="M533">
        <v>2</v>
      </c>
      <c r="N533">
        <v>56.033999999999999</v>
      </c>
      <c r="O533" t="s">
        <v>6617</v>
      </c>
      <c r="P533" t="s">
        <v>6586</v>
      </c>
      <c r="Q533">
        <v>1.0325599999999999</v>
      </c>
      <c r="R533" t="s">
        <v>3304</v>
      </c>
      <c r="S533">
        <v>43.256378562312953</v>
      </c>
    </row>
    <row r="534" spans="8:19">
      <c r="H534" t="s">
        <v>545</v>
      </c>
      <c r="I534">
        <v>66</v>
      </c>
      <c r="J534" t="s">
        <v>9</v>
      </c>
      <c r="K534">
        <v>220</v>
      </c>
      <c r="L534">
        <v>0.74762399999999996</v>
      </c>
      <c r="M534">
        <v>3</v>
      </c>
      <c r="N534">
        <v>39.116999999999997</v>
      </c>
      <c r="O534" t="s">
        <v>6617</v>
      </c>
      <c r="P534" t="s">
        <v>6586</v>
      </c>
      <c r="Q534">
        <v>1.0325599999999999</v>
      </c>
      <c r="R534" t="s">
        <v>3304</v>
      </c>
      <c r="S534">
        <v>30.197018956740479</v>
      </c>
    </row>
    <row r="535" spans="8:19">
      <c r="H535" t="s">
        <v>545</v>
      </c>
      <c r="I535">
        <v>66</v>
      </c>
      <c r="J535" t="s">
        <v>9</v>
      </c>
      <c r="K535">
        <v>220</v>
      </c>
      <c r="L535">
        <v>0.74762399999999996</v>
      </c>
      <c r="M535">
        <v>4</v>
      </c>
      <c r="N535">
        <v>38.668999999999997</v>
      </c>
      <c r="O535" t="s">
        <v>6617</v>
      </c>
      <c r="P535" t="s">
        <v>6586</v>
      </c>
      <c r="Q535">
        <v>1.0325599999999999</v>
      </c>
      <c r="R535" t="s">
        <v>3304</v>
      </c>
      <c r="S535">
        <v>29.851177903167351</v>
      </c>
    </row>
    <row r="536" spans="8:19">
      <c r="H536" t="s">
        <v>545</v>
      </c>
      <c r="I536">
        <v>66</v>
      </c>
      <c r="J536" t="s">
        <v>9</v>
      </c>
      <c r="K536">
        <v>220</v>
      </c>
      <c r="L536">
        <v>0.74762399999999996</v>
      </c>
      <c r="M536">
        <v>5</v>
      </c>
      <c r="N536">
        <v>51.475999999999999</v>
      </c>
      <c r="O536" t="s">
        <v>6617</v>
      </c>
      <c r="P536" t="s">
        <v>6586</v>
      </c>
      <c r="Q536">
        <v>1.0325599999999999</v>
      </c>
      <c r="R536" t="s">
        <v>3304</v>
      </c>
      <c r="S536">
        <v>39.737754628861431</v>
      </c>
    </row>
    <row r="537" spans="8:19">
      <c r="H537" t="s">
        <v>545</v>
      </c>
      <c r="I537">
        <v>66</v>
      </c>
      <c r="J537" t="s">
        <v>9</v>
      </c>
      <c r="K537">
        <v>220</v>
      </c>
      <c r="L537">
        <v>0.74762399999999996</v>
      </c>
      <c r="M537">
        <v>6</v>
      </c>
      <c r="N537">
        <v>62.256999999999998</v>
      </c>
      <c r="O537" t="s">
        <v>6617</v>
      </c>
      <c r="P537" t="s">
        <v>6586</v>
      </c>
      <c r="Q537">
        <v>1.0325599999999999</v>
      </c>
      <c r="R537" t="s">
        <v>3304</v>
      </c>
      <c r="S537">
        <v>48.06032694710207</v>
      </c>
    </row>
    <row r="538" spans="8:19">
      <c r="H538" t="s">
        <v>545</v>
      </c>
      <c r="I538">
        <v>66</v>
      </c>
      <c r="J538" t="s">
        <v>9</v>
      </c>
      <c r="K538">
        <v>220</v>
      </c>
      <c r="L538">
        <v>0.74762399999999996</v>
      </c>
      <c r="M538">
        <v>1</v>
      </c>
      <c r="N538">
        <v>69.262</v>
      </c>
      <c r="O538" t="s">
        <v>6485</v>
      </c>
      <c r="P538" t="s">
        <v>6586</v>
      </c>
      <c r="Q538">
        <v>1.0325599999999999</v>
      </c>
      <c r="R538" t="s">
        <v>3304</v>
      </c>
      <c r="S538">
        <v>53.467953242369283</v>
      </c>
    </row>
    <row r="539" spans="8:19">
      <c r="H539" t="s">
        <v>545</v>
      </c>
      <c r="I539">
        <v>66</v>
      </c>
      <c r="J539" t="s">
        <v>9</v>
      </c>
      <c r="K539">
        <v>220</v>
      </c>
      <c r="L539">
        <v>0.74762399999999996</v>
      </c>
      <c r="M539">
        <v>2</v>
      </c>
      <c r="N539">
        <v>62.783000000000001</v>
      </c>
      <c r="O539" t="s">
        <v>6485</v>
      </c>
      <c r="P539" t="s">
        <v>6586</v>
      </c>
      <c r="Q539">
        <v>1.0325599999999999</v>
      </c>
      <c r="R539" t="s">
        <v>3304</v>
      </c>
      <c r="S539">
        <v>48.466381398395512</v>
      </c>
    </row>
    <row r="540" spans="8:19">
      <c r="H540" t="s">
        <v>545</v>
      </c>
      <c r="I540">
        <v>66</v>
      </c>
      <c r="J540" t="s">
        <v>9</v>
      </c>
      <c r="K540">
        <v>220</v>
      </c>
      <c r="L540">
        <v>0.74762399999999996</v>
      </c>
      <c r="M540">
        <v>3</v>
      </c>
      <c r="N540">
        <v>32.915999999999997</v>
      </c>
      <c r="O540" t="s">
        <v>6485</v>
      </c>
      <c r="P540" t="s">
        <v>6586</v>
      </c>
      <c r="Q540">
        <v>1.0325599999999999</v>
      </c>
      <c r="R540" t="s">
        <v>3304</v>
      </c>
      <c r="S540">
        <v>25.410053837975031</v>
      </c>
    </row>
    <row r="541" spans="8:19">
      <c r="H541" t="s">
        <v>545</v>
      </c>
      <c r="I541">
        <v>66</v>
      </c>
      <c r="J541" t="s">
        <v>9</v>
      </c>
      <c r="K541">
        <v>220</v>
      </c>
      <c r="L541">
        <v>0.74762399999999996</v>
      </c>
      <c r="M541">
        <v>4</v>
      </c>
      <c r="N541">
        <v>32.179000000000002</v>
      </c>
      <c r="O541" t="s">
        <v>6485</v>
      </c>
      <c r="P541" t="s">
        <v>6586</v>
      </c>
      <c r="Q541">
        <v>1.0325599999999999</v>
      </c>
      <c r="R541" t="s">
        <v>3304</v>
      </c>
      <c r="S541">
        <v>24.841114426181761</v>
      </c>
    </row>
    <row r="542" spans="8:19">
      <c r="H542" t="s">
        <v>545</v>
      </c>
      <c r="I542">
        <v>66</v>
      </c>
      <c r="J542" t="s">
        <v>9</v>
      </c>
      <c r="K542">
        <v>220</v>
      </c>
      <c r="L542">
        <v>0.74762399999999996</v>
      </c>
      <c r="M542">
        <v>5</v>
      </c>
      <c r="N542">
        <v>54.389000000000003</v>
      </c>
      <c r="O542" t="s">
        <v>6485</v>
      </c>
      <c r="P542" t="s">
        <v>6586</v>
      </c>
      <c r="Q542">
        <v>1.0325599999999999</v>
      </c>
      <c r="R542" t="s">
        <v>3304</v>
      </c>
      <c r="S542">
        <v>41.986493443724157</v>
      </c>
    </row>
    <row r="543" spans="8:19">
      <c r="H543" t="s">
        <v>545</v>
      </c>
      <c r="I543">
        <v>66</v>
      </c>
      <c r="J543" t="s">
        <v>9</v>
      </c>
      <c r="K543">
        <v>220</v>
      </c>
      <c r="L543">
        <v>0.74762399999999996</v>
      </c>
      <c r="M543">
        <v>6</v>
      </c>
      <c r="N543">
        <v>88.427000000000007</v>
      </c>
      <c r="O543" t="s">
        <v>6485</v>
      </c>
      <c r="P543" t="s">
        <v>6586</v>
      </c>
      <c r="Q543">
        <v>1.0325599999999999</v>
      </c>
      <c r="R543" t="s">
        <v>3304</v>
      </c>
      <c r="S543">
        <v>68.262693848906878</v>
      </c>
    </row>
    <row r="544" spans="8:19">
      <c r="H544" t="s">
        <v>545</v>
      </c>
      <c r="I544">
        <v>66</v>
      </c>
      <c r="J544" t="s">
        <v>14</v>
      </c>
      <c r="K544">
        <v>220</v>
      </c>
      <c r="L544">
        <v>7.9018000000000005E-2</v>
      </c>
      <c r="M544">
        <v>1</v>
      </c>
      <c r="N544">
        <v>56.027999999999999</v>
      </c>
      <c r="O544" t="s">
        <v>6617</v>
      </c>
      <c r="P544" t="s">
        <v>6586</v>
      </c>
      <c r="Q544">
        <v>1.0325599999999999</v>
      </c>
      <c r="R544" t="s">
        <v>3304</v>
      </c>
      <c r="S544">
        <v>4.5713708036102396</v>
      </c>
    </row>
    <row r="545" spans="8:19">
      <c r="H545" t="s">
        <v>545</v>
      </c>
      <c r="I545">
        <v>66</v>
      </c>
      <c r="J545" t="s">
        <v>14</v>
      </c>
      <c r="K545">
        <v>220</v>
      </c>
      <c r="L545">
        <v>7.9018000000000005E-2</v>
      </c>
      <c r="M545">
        <v>2</v>
      </c>
      <c r="N545">
        <v>56.122999999999998</v>
      </c>
      <c r="O545" t="s">
        <v>6617</v>
      </c>
      <c r="P545" t="s">
        <v>6586</v>
      </c>
      <c r="Q545">
        <v>1.0325599999999999</v>
      </c>
      <c r="R545" t="s">
        <v>3304</v>
      </c>
      <c r="S545">
        <v>4.5791219320878396</v>
      </c>
    </row>
    <row r="546" spans="8:19">
      <c r="H546" t="s">
        <v>545</v>
      </c>
      <c r="I546">
        <v>66</v>
      </c>
      <c r="J546" t="s">
        <v>14</v>
      </c>
      <c r="K546">
        <v>220</v>
      </c>
      <c r="L546">
        <v>7.9018000000000005E-2</v>
      </c>
      <c r="M546">
        <v>3</v>
      </c>
      <c r="N546">
        <v>39.145000000000003</v>
      </c>
      <c r="O546" t="s">
        <v>6617</v>
      </c>
      <c r="P546" t="s">
        <v>6586</v>
      </c>
      <c r="Q546">
        <v>1.0325599999999999</v>
      </c>
      <c r="R546" t="s">
        <v>3304</v>
      </c>
      <c r="S546">
        <v>3.1938728869016</v>
      </c>
    </row>
    <row r="547" spans="8:19">
      <c r="H547" t="s">
        <v>545</v>
      </c>
      <c r="I547">
        <v>66</v>
      </c>
      <c r="J547" t="s">
        <v>14</v>
      </c>
      <c r="K547">
        <v>220</v>
      </c>
      <c r="L547">
        <v>7.9018000000000005E-2</v>
      </c>
      <c r="M547">
        <v>4</v>
      </c>
      <c r="N547">
        <v>38.646999999999998</v>
      </c>
      <c r="O547" t="s">
        <v>6617</v>
      </c>
      <c r="P547" t="s">
        <v>6586</v>
      </c>
      <c r="Q547">
        <v>1.0325599999999999</v>
      </c>
      <c r="R547" t="s">
        <v>3304</v>
      </c>
      <c r="S547">
        <v>3.15324065551376</v>
      </c>
    </row>
    <row r="548" spans="8:19">
      <c r="H548" t="s">
        <v>545</v>
      </c>
      <c r="I548">
        <v>66</v>
      </c>
      <c r="J548" t="s">
        <v>14</v>
      </c>
      <c r="K548">
        <v>220</v>
      </c>
      <c r="L548">
        <v>7.9018000000000005E-2</v>
      </c>
      <c r="M548">
        <v>5</v>
      </c>
      <c r="N548">
        <v>49.831000000000003</v>
      </c>
      <c r="O548" t="s">
        <v>6617</v>
      </c>
      <c r="P548" t="s">
        <v>6586</v>
      </c>
      <c r="Q548">
        <v>1.0325599999999999</v>
      </c>
      <c r="R548" t="s">
        <v>3304</v>
      </c>
      <c r="S548">
        <v>4.0657524543924799</v>
      </c>
    </row>
    <row r="549" spans="8:19">
      <c r="H549" t="s">
        <v>545</v>
      </c>
      <c r="I549">
        <v>66</v>
      </c>
      <c r="J549" t="s">
        <v>14</v>
      </c>
      <c r="K549">
        <v>220</v>
      </c>
      <c r="L549">
        <v>7.9018000000000005E-2</v>
      </c>
      <c r="M549">
        <v>6</v>
      </c>
      <c r="N549">
        <v>61.533000000000001</v>
      </c>
      <c r="O549" t="s">
        <v>6617</v>
      </c>
      <c r="P549" t="s">
        <v>6586</v>
      </c>
      <c r="Q549">
        <v>1.0325599999999999</v>
      </c>
      <c r="R549" t="s">
        <v>3304</v>
      </c>
      <c r="S549">
        <v>5.0205283011806401</v>
      </c>
    </row>
    <row r="550" spans="8:19">
      <c r="H550" t="s">
        <v>545</v>
      </c>
      <c r="I550">
        <v>66</v>
      </c>
      <c r="J550" t="s">
        <v>14</v>
      </c>
      <c r="K550">
        <v>220</v>
      </c>
      <c r="L550">
        <v>7.9018000000000005E-2</v>
      </c>
      <c r="M550">
        <v>1</v>
      </c>
      <c r="N550">
        <v>70.548000000000002</v>
      </c>
      <c r="O550" t="s">
        <v>6485</v>
      </c>
      <c r="P550" t="s">
        <v>6586</v>
      </c>
      <c r="Q550">
        <v>1.0325599999999999</v>
      </c>
      <c r="R550" t="s">
        <v>3304</v>
      </c>
      <c r="S550">
        <v>5.7560695982918402</v>
      </c>
    </row>
    <row r="551" spans="8:19">
      <c r="H551" t="s">
        <v>545</v>
      </c>
      <c r="I551">
        <v>66</v>
      </c>
      <c r="J551" t="s">
        <v>14</v>
      </c>
      <c r="K551">
        <v>220</v>
      </c>
      <c r="L551">
        <v>7.9018000000000005E-2</v>
      </c>
      <c r="M551">
        <v>2</v>
      </c>
      <c r="N551">
        <v>63.55</v>
      </c>
      <c r="O551" t="s">
        <v>6485</v>
      </c>
      <c r="P551" t="s">
        <v>6586</v>
      </c>
      <c r="Q551">
        <v>1.0325599999999999</v>
      </c>
      <c r="R551" t="s">
        <v>3304</v>
      </c>
      <c r="S551">
        <v>5.185096997384</v>
      </c>
    </row>
    <row r="552" spans="8:19">
      <c r="H552" t="s">
        <v>545</v>
      </c>
      <c r="I552">
        <v>66</v>
      </c>
      <c r="J552" t="s">
        <v>14</v>
      </c>
      <c r="K552">
        <v>220</v>
      </c>
      <c r="L552">
        <v>7.9018000000000005E-2</v>
      </c>
      <c r="M552">
        <v>3</v>
      </c>
      <c r="N552">
        <v>32.978000000000002</v>
      </c>
      <c r="O552" t="s">
        <v>6485</v>
      </c>
      <c r="P552" t="s">
        <v>6586</v>
      </c>
      <c r="Q552">
        <v>1.0325599999999999</v>
      </c>
      <c r="R552" t="s">
        <v>3304</v>
      </c>
      <c r="S552">
        <v>2.6907022624662398</v>
      </c>
    </row>
    <row r="553" spans="8:19">
      <c r="H553" t="s">
        <v>545</v>
      </c>
      <c r="I553">
        <v>66</v>
      </c>
      <c r="J553" t="s">
        <v>14</v>
      </c>
      <c r="K553">
        <v>220</v>
      </c>
      <c r="L553">
        <v>7.9018000000000005E-2</v>
      </c>
      <c r="M553">
        <v>4</v>
      </c>
      <c r="N553">
        <v>31.867000000000001</v>
      </c>
      <c r="O553" t="s">
        <v>6485</v>
      </c>
      <c r="P553" t="s">
        <v>6586</v>
      </c>
      <c r="Q553">
        <v>1.0325599999999999</v>
      </c>
      <c r="R553" t="s">
        <v>3304</v>
      </c>
      <c r="S553">
        <v>2.60005485469136</v>
      </c>
    </row>
    <row r="554" spans="8:19">
      <c r="H554" t="s">
        <v>545</v>
      </c>
      <c r="I554">
        <v>66</v>
      </c>
      <c r="J554" t="s">
        <v>14</v>
      </c>
      <c r="K554">
        <v>220</v>
      </c>
      <c r="L554">
        <v>7.9018000000000005E-2</v>
      </c>
      <c r="M554">
        <v>5</v>
      </c>
      <c r="N554">
        <v>51.658000000000001</v>
      </c>
      <c r="O554" t="s">
        <v>6485</v>
      </c>
      <c r="P554" t="s">
        <v>6586</v>
      </c>
      <c r="Q554">
        <v>1.0325599999999999</v>
      </c>
      <c r="R554" t="s">
        <v>3304</v>
      </c>
      <c r="S554">
        <v>4.2148188936406399</v>
      </c>
    </row>
    <row r="555" spans="8:19">
      <c r="H555" t="s">
        <v>545</v>
      </c>
      <c r="I555">
        <v>66</v>
      </c>
      <c r="J555" t="s">
        <v>14</v>
      </c>
      <c r="K555">
        <v>220</v>
      </c>
      <c r="L555">
        <v>7.9018000000000005E-2</v>
      </c>
      <c r="M555">
        <v>6</v>
      </c>
      <c r="N555">
        <v>88.040999999999997</v>
      </c>
      <c r="O555" t="s">
        <v>6485</v>
      </c>
      <c r="P555" t="s">
        <v>6586</v>
      </c>
      <c r="Q555">
        <v>1.0325599999999999</v>
      </c>
      <c r="R555" t="s">
        <v>3304</v>
      </c>
      <c r="S555">
        <v>7.1833379189092792</v>
      </c>
    </row>
    <row r="556" spans="8:19">
      <c r="H556" t="s">
        <v>545</v>
      </c>
      <c r="I556">
        <v>66</v>
      </c>
      <c r="J556" t="s">
        <v>248</v>
      </c>
      <c r="K556">
        <v>220</v>
      </c>
      <c r="L556">
        <v>5.025E-3</v>
      </c>
      <c r="M556">
        <v>1</v>
      </c>
      <c r="N556">
        <v>54.328000000000003</v>
      </c>
      <c r="O556" t="s">
        <v>6617</v>
      </c>
      <c r="P556" t="s">
        <v>6586</v>
      </c>
      <c r="Q556">
        <v>1.0325599999999999</v>
      </c>
      <c r="R556" t="s">
        <v>3304</v>
      </c>
      <c r="S556">
        <v>0.281887021392</v>
      </c>
    </row>
    <row r="557" spans="8:19">
      <c r="H557" t="s">
        <v>545</v>
      </c>
      <c r="I557">
        <v>66</v>
      </c>
      <c r="J557" t="s">
        <v>248</v>
      </c>
      <c r="K557">
        <v>220</v>
      </c>
      <c r="L557">
        <v>5.025E-3</v>
      </c>
      <c r="M557">
        <v>2</v>
      </c>
      <c r="N557">
        <v>54.436999999999998</v>
      </c>
      <c r="O557" t="s">
        <v>6617</v>
      </c>
      <c r="P557" t="s">
        <v>6586</v>
      </c>
      <c r="Q557">
        <v>1.0325599999999999</v>
      </c>
      <c r="R557" t="s">
        <v>3304</v>
      </c>
      <c r="S557">
        <v>0.28245258031800002</v>
      </c>
    </row>
    <row r="558" spans="8:19">
      <c r="H558" t="s">
        <v>545</v>
      </c>
      <c r="I558">
        <v>66</v>
      </c>
      <c r="J558" t="s">
        <v>248</v>
      </c>
      <c r="K558">
        <v>220</v>
      </c>
      <c r="L558">
        <v>5.025E-3</v>
      </c>
      <c r="M558">
        <v>3</v>
      </c>
      <c r="N558">
        <v>39.161000000000001</v>
      </c>
      <c r="O558" t="s">
        <v>6617</v>
      </c>
      <c r="P558" t="s">
        <v>6586</v>
      </c>
      <c r="Q558">
        <v>1.0325599999999999</v>
      </c>
      <c r="R558" t="s">
        <v>3304</v>
      </c>
      <c r="S558">
        <v>0.20319131285399999</v>
      </c>
    </row>
    <row r="559" spans="8:19">
      <c r="H559" t="s">
        <v>545</v>
      </c>
      <c r="I559">
        <v>66</v>
      </c>
      <c r="J559" t="s">
        <v>248</v>
      </c>
      <c r="K559">
        <v>220</v>
      </c>
      <c r="L559">
        <v>5.025E-3</v>
      </c>
      <c r="M559">
        <v>4</v>
      </c>
      <c r="N559">
        <v>38.674999999999997</v>
      </c>
      <c r="O559" t="s">
        <v>6617</v>
      </c>
      <c r="P559" t="s">
        <v>6586</v>
      </c>
      <c r="Q559">
        <v>1.0325599999999999</v>
      </c>
      <c r="R559" t="s">
        <v>3304</v>
      </c>
      <c r="S559">
        <v>0.20066964644999999</v>
      </c>
    </row>
    <row r="560" spans="8:19">
      <c r="H560" t="s">
        <v>545</v>
      </c>
      <c r="I560">
        <v>66</v>
      </c>
      <c r="J560" t="s">
        <v>248</v>
      </c>
      <c r="K560">
        <v>220</v>
      </c>
      <c r="L560">
        <v>5.025E-3</v>
      </c>
      <c r="M560">
        <v>5</v>
      </c>
      <c r="N560">
        <v>49.055</v>
      </c>
      <c r="O560" t="s">
        <v>6617</v>
      </c>
      <c r="P560" t="s">
        <v>6586</v>
      </c>
      <c r="Q560">
        <v>1.0325599999999999</v>
      </c>
      <c r="R560" t="s">
        <v>3304</v>
      </c>
      <c r="S560">
        <v>0.25452745977000002</v>
      </c>
    </row>
    <row r="561" spans="8:19">
      <c r="H561" t="s">
        <v>545</v>
      </c>
      <c r="I561">
        <v>66</v>
      </c>
      <c r="J561" t="s">
        <v>248</v>
      </c>
      <c r="K561">
        <v>220</v>
      </c>
      <c r="L561">
        <v>5.025E-3</v>
      </c>
      <c r="M561">
        <v>6</v>
      </c>
      <c r="N561">
        <v>58.87</v>
      </c>
      <c r="O561" t="s">
        <v>6617</v>
      </c>
      <c r="P561" t="s">
        <v>6586</v>
      </c>
      <c r="Q561">
        <v>1.0325599999999999</v>
      </c>
      <c r="R561" t="s">
        <v>3304</v>
      </c>
      <c r="S561">
        <v>0.30545370618000001</v>
      </c>
    </row>
    <row r="562" spans="8:19">
      <c r="H562" t="s">
        <v>545</v>
      </c>
      <c r="I562">
        <v>66</v>
      </c>
      <c r="J562" t="s">
        <v>248</v>
      </c>
      <c r="K562">
        <v>220</v>
      </c>
      <c r="L562">
        <v>5.025E-3</v>
      </c>
      <c r="M562">
        <v>1</v>
      </c>
      <c r="N562">
        <v>65.05</v>
      </c>
      <c r="O562" t="s">
        <v>6485</v>
      </c>
      <c r="P562" t="s">
        <v>6586</v>
      </c>
      <c r="Q562">
        <v>1.0325599999999999</v>
      </c>
      <c r="R562" t="s">
        <v>3304</v>
      </c>
      <c r="S562">
        <v>0.33751934069999989</v>
      </c>
    </row>
    <row r="563" spans="8:19">
      <c r="H563" t="s">
        <v>545</v>
      </c>
      <c r="I563">
        <v>66</v>
      </c>
      <c r="J563" t="s">
        <v>248</v>
      </c>
      <c r="K563">
        <v>220</v>
      </c>
      <c r="L563">
        <v>5.025E-3</v>
      </c>
      <c r="M563">
        <v>2</v>
      </c>
      <c r="N563">
        <v>60.055999999999997</v>
      </c>
      <c r="O563" t="s">
        <v>6485</v>
      </c>
      <c r="P563" t="s">
        <v>6586</v>
      </c>
      <c r="Q563">
        <v>1.0325599999999999</v>
      </c>
      <c r="R563" t="s">
        <v>3304</v>
      </c>
      <c r="S563">
        <v>0.31160740238399998</v>
      </c>
    </row>
    <row r="564" spans="8:19">
      <c r="H564" t="s">
        <v>545</v>
      </c>
      <c r="I564">
        <v>66</v>
      </c>
      <c r="J564" t="s">
        <v>248</v>
      </c>
      <c r="K564">
        <v>220</v>
      </c>
      <c r="L564">
        <v>5.025E-3</v>
      </c>
      <c r="M564">
        <v>3</v>
      </c>
      <c r="N564">
        <v>33.075000000000003</v>
      </c>
      <c r="O564" t="s">
        <v>6485</v>
      </c>
      <c r="P564" t="s">
        <v>6586</v>
      </c>
      <c r="Q564">
        <v>1.0325599999999999</v>
      </c>
      <c r="R564" t="s">
        <v>3304</v>
      </c>
      <c r="S564">
        <v>0.17161340805</v>
      </c>
    </row>
    <row r="565" spans="8:19">
      <c r="H565" t="s">
        <v>545</v>
      </c>
      <c r="I565">
        <v>66</v>
      </c>
      <c r="J565" t="s">
        <v>248</v>
      </c>
      <c r="K565">
        <v>220</v>
      </c>
      <c r="L565">
        <v>5.025E-3</v>
      </c>
      <c r="M565">
        <v>4</v>
      </c>
      <c r="N565">
        <v>32.075000000000003</v>
      </c>
      <c r="O565" t="s">
        <v>6485</v>
      </c>
      <c r="P565" t="s">
        <v>6586</v>
      </c>
      <c r="Q565">
        <v>1.0325599999999999</v>
      </c>
      <c r="R565" t="s">
        <v>3304</v>
      </c>
      <c r="S565">
        <v>0.16642479404999999</v>
      </c>
    </row>
    <row r="566" spans="8:19">
      <c r="H566" t="s">
        <v>545</v>
      </c>
      <c r="I566">
        <v>66</v>
      </c>
      <c r="J566" t="s">
        <v>248</v>
      </c>
      <c r="K566">
        <v>220</v>
      </c>
      <c r="L566">
        <v>5.025E-3</v>
      </c>
      <c r="M566">
        <v>5</v>
      </c>
      <c r="N566">
        <v>50.77</v>
      </c>
      <c r="O566" t="s">
        <v>6485</v>
      </c>
      <c r="P566" t="s">
        <v>6586</v>
      </c>
      <c r="Q566">
        <v>1.0325599999999999</v>
      </c>
      <c r="R566" t="s">
        <v>3304</v>
      </c>
      <c r="S566">
        <v>0.26342593277999998</v>
      </c>
    </row>
    <row r="567" spans="8:19">
      <c r="H567" t="s">
        <v>545</v>
      </c>
      <c r="I567">
        <v>66</v>
      </c>
      <c r="J567" t="s">
        <v>248</v>
      </c>
      <c r="K567">
        <v>220</v>
      </c>
      <c r="L567">
        <v>5.025E-3</v>
      </c>
      <c r="M567">
        <v>6</v>
      </c>
      <c r="N567">
        <v>78.662999999999997</v>
      </c>
      <c r="O567" t="s">
        <v>6485</v>
      </c>
      <c r="P567" t="s">
        <v>6586</v>
      </c>
      <c r="Q567">
        <v>1.0325599999999999</v>
      </c>
      <c r="R567" t="s">
        <v>3304</v>
      </c>
      <c r="S567">
        <v>0.40815194308199998</v>
      </c>
    </row>
    <row r="568" spans="8:19">
      <c r="H568" t="s">
        <v>545</v>
      </c>
      <c r="I568">
        <v>66</v>
      </c>
      <c r="J568" t="s">
        <v>548</v>
      </c>
      <c r="K568">
        <v>220</v>
      </c>
      <c r="L568">
        <v>0.15648999999999999</v>
      </c>
      <c r="M568">
        <v>1</v>
      </c>
      <c r="N568">
        <v>55.128</v>
      </c>
      <c r="O568" t="s">
        <v>6617</v>
      </c>
      <c r="P568" t="s">
        <v>6586</v>
      </c>
      <c r="Q568">
        <v>1.0325599999999999</v>
      </c>
      <c r="R568" t="s">
        <v>3304</v>
      </c>
      <c r="S568">
        <v>8.9078752122431979</v>
      </c>
    </row>
    <row r="569" spans="8:19">
      <c r="H569" t="s">
        <v>545</v>
      </c>
      <c r="I569">
        <v>66</v>
      </c>
      <c r="J569" t="s">
        <v>548</v>
      </c>
      <c r="K569">
        <v>220</v>
      </c>
      <c r="L569">
        <v>0.15648999999999999</v>
      </c>
      <c r="M569">
        <v>2</v>
      </c>
      <c r="N569">
        <v>55.256999999999998</v>
      </c>
      <c r="O569" t="s">
        <v>6617</v>
      </c>
      <c r="P569" t="s">
        <v>6586</v>
      </c>
      <c r="Q569">
        <v>1.0325599999999999</v>
      </c>
      <c r="R569" t="s">
        <v>3304</v>
      </c>
      <c r="S569">
        <v>8.9287197178007975</v>
      </c>
    </row>
    <row r="570" spans="8:19">
      <c r="H570" t="s">
        <v>545</v>
      </c>
      <c r="I570">
        <v>66</v>
      </c>
      <c r="J570" t="s">
        <v>548</v>
      </c>
      <c r="K570">
        <v>220</v>
      </c>
      <c r="L570">
        <v>0.15648999999999999</v>
      </c>
      <c r="M570">
        <v>3</v>
      </c>
      <c r="N570">
        <v>39.152000000000001</v>
      </c>
      <c r="O570" t="s">
        <v>6617</v>
      </c>
      <c r="P570" t="s">
        <v>6586</v>
      </c>
      <c r="Q570">
        <v>1.0325599999999999</v>
      </c>
      <c r="R570" t="s">
        <v>3304</v>
      </c>
      <c r="S570">
        <v>6.3263882293887992</v>
      </c>
    </row>
    <row r="571" spans="8:19">
      <c r="H571" t="s">
        <v>545</v>
      </c>
      <c r="I571">
        <v>66</v>
      </c>
      <c r="J571" t="s">
        <v>548</v>
      </c>
      <c r="K571">
        <v>220</v>
      </c>
      <c r="L571">
        <v>0.15648999999999999</v>
      </c>
      <c r="M571">
        <v>4</v>
      </c>
      <c r="N571">
        <v>38.615000000000002</v>
      </c>
      <c r="O571" t="s">
        <v>6617</v>
      </c>
      <c r="P571" t="s">
        <v>6586</v>
      </c>
      <c r="Q571">
        <v>1.0325599999999999</v>
      </c>
      <c r="R571" t="s">
        <v>3304</v>
      </c>
      <c r="S571">
        <v>6.2396169155559997</v>
      </c>
    </row>
    <row r="572" spans="8:19">
      <c r="H572" t="s">
        <v>545</v>
      </c>
      <c r="I572">
        <v>66</v>
      </c>
      <c r="J572" t="s">
        <v>548</v>
      </c>
      <c r="K572">
        <v>220</v>
      </c>
      <c r="L572">
        <v>0.15648999999999999</v>
      </c>
      <c r="M572">
        <v>5</v>
      </c>
      <c r="N572">
        <v>46.902000000000001</v>
      </c>
      <c r="O572" t="s">
        <v>6617</v>
      </c>
      <c r="P572" t="s">
        <v>6586</v>
      </c>
      <c r="Q572">
        <v>1.0325599999999999</v>
      </c>
      <c r="R572" t="s">
        <v>3304</v>
      </c>
      <c r="S572">
        <v>7.5786744159887993</v>
      </c>
    </row>
    <row r="573" spans="8:19">
      <c r="H573" t="s">
        <v>545</v>
      </c>
      <c r="I573">
        <v>66</v>
      </c>
      <c r="J573" t="s">
        <v>548</v>
      </c>
      <c r="K573">
        <v>220</v>
      </c>
      <c r="L573">
        <v>0.15648999999999999</v>
      </c>
      <c r="M573">
        <v>6</v>
      </c>
      <c r="N573">
        <v>58.256</v>
      </c>
      <c r="O573" t="s">
        <v>6617</v>
      </c>
      <c r="P573" t="s">
        <v>6586</v>
      </c>
      <c r="Q573">
        <v>1.0325599999999999</v>
      </c>
      <c r="R573" t="s">
        <v>3304</v>
      </c>
      <c r="S573">
        <v>9.4133140756863991</v>
      </c>
    </row>
    <row r="574" spans="8:19">
      <c r="H574" t="s">
        <v>545</v>
      </c>
      <c r="I574">
        <v>66</v>
      </c>
      <c r="J574" t="s">
        <v>548</v>
      </c>
      <c r="K574">
        <v>220</v>
      </c>
      <c r="L574">
        <v>0.15648999999999999</v>
      </c>
      <c r="M574">
        <v>1</v>
      </c>
      <c r="N574">
        <v>66.899000000000001</v>
      </c>
      <c r="O574" t="s">
        <v>6485</v>
      </c>
      <c r="P574" t="s">
        <v>6586</v>
      </c>
      <c r="Q574">
        <v>1.0325599999999999</v>
      </c>
      <c r="R574" t="s">
        <v>3304</v>
      </c>
      <c r="S574">
        <v>10.8098959480456</v>
      </c>
    </row>
    <row r="575" spans="8:19">
      <c r="H575" t="s">
        <v>545</v>
      </c>
      <c r="I575">
        <v>66</v>
      </c>
      <c r="J575" t="s">
        <v>548</v>
      </c>
      <c r="K575">
        <v>220</v>
      </c>
      <c r="L575">
        <v>0.15648999999999999</v>
      </c>
      <c r="M575">
        <v>2</v>
      </c>
      <c r="N575">
        <v>61.454000000000001</v>
      </c>
      <c r="O575" t="s">
        <v>6485</v>
      </c>
      <c r="P575" t="s">
        <v>6586</v>
      </c>
      <c r="Q575">
        <v>1.0325599999999999</v>
      </c>
      <c r="R575" t="s">
        <v>3304</v>
      </c>
      <c r="S575">
        <v>9.9300639111375997</v>
      </c>
    </row>
    <row r="576" spans="8:19">
      <c r="H576" t="s">
        <v>545</v>
      </c>
      <c r="I576">
        <v>66</v>
      </c>
      <c r="J576" t="s">
        <v>548</v>
      </c>
      <c r="K576">
        <v>220</v>
      </c>
      <c r="L576">
        <v>0.15648999999999999</v>
      </c>
      <c r="M576">
        <v>3</v>
      </c>
      <c r="N576">
        <v>32.872</v>
      </c>
      <c r="O576" t="s">
        <v>6485</v>
      </c>
      <c r="P576" t="s">
        <v>6586</v>
      </c>
      <c r="Q576">
        <v>1.0325599999999999</v>
      </c>
      <c r="R576" t="s">
        <v>3304</v>
      </c>
      <c r="S576">
        <v>5.3116324549567997</v>
      </c>
    </row>
    <row r="577" spans="8:19">
      <c r="H577" t="s">
        <v>545</v>
      </c>
      <c r="I577">
        <v>66</v>
      </c>
      <c r="J577" t="s">
        <v>548</v>
      </c>
      <c r="K577">
        <v>220</v>
      </c>
      <c r="L577">
        <v>0.15648999999999999</v>
      </c>
      <c r="M577">
        <v>4</v>
      </c>
      <c r="N577">
        <v>31.65</v>
      </c>
      <c r="O577" t="s">
        <v>6485</v>
      </c>
      <c r="P577" t="s">
        <v>6586</v>
      </c>
      <c r="Q577">
        <v>1.0325599999999999</v>
      </c>
      <c r="R577" t="s">
        <v>3304</v>
      </c>
      <c r="S577">
        <v>5.1141752007599992</v>
      </c>
    </row>
    <row r="578" spans="8:19">
      <c r="H578" t="s">
        <v>545</v>
      </c>
      <c r="I578">
        <v>66</v>
      </c>
      <c r="J578" t="s">
        <v>548</v>
      </c>
      <c r="K578">
        <v>220</v>
      </c>
      <c r="L578">
        <v>0.15648999999999999</v>
      </c>
      <c r="M578">
        <v>5</v>
      </c>
      <c r="N578">
        <v>46.981999999999999</v>
      </c>
      <c r="O578" t="s">
        <v>6485</v>
      </c>
      <c r="P578" t="s">
        <v>6586</v>
      </c>
      <c r="Q578">
        <v>1.0325599999999999</v>
      </c>
      <c r="R578" t="s">
        <v>3304</v>
      </c>
      <c r="S578">
        <v>7.5916012411407987</v>
      </c>
    </row>
    <row r="579" spans="8:19">
      <c r="H579" t="s">
        <v>545</v>
      </c>
      <c r="I579">
        <v>66</v>
      </c>
      <c r="J579" t="s">
        <v>548</v>
      </c>
      <c r="K579">
        <v>220</v>
      </c>
      <c r="L579">
        <v>0.15648999999999999</v>
      </c>
      <c r="M579">
        <v>6</v>
      </c>
      <c r="N579">
        <v>79.751999999999995</v>
      </c>
      <c r="O579" t="s">
        <v>6485</v>
      </c>
      <c r="P579" t="s">
        <v>6586</v>
      </c>
      <c r="Q579">
        <v>1.0325599999999999</v>
      </c>
      <c r="R579" t="s">
        <v>3304</v>
      </c>
      <c r="S579">
        <v>12.886751994028799</v>
      </c>
    </row>
    <row r="580" spans="8:19">
      <c r="H580" t="s">
        <v>545</v>
      </c>
      <c r="I580">
        <v>66</v>
      </c>
      <c r="J580" t="s">
        <v>1197</v>
      </c>
      <c r="K580">
        <v>220</v>
      </c>
      <c r="L580">
        <v>1.1842E-2</v>
      </c>
      <c r="M580">
        <v>1</v>
      </c>
      <c r="N580">
        <v>55.825000000000003</v>
      </c>
      <c r="O580" t="s">
        <v>6617</v>
      </c>
      <c r="P580" t="s">
        <v>6586</v>
      </c>
      <c r="Q580">
        <v>1.0325599999999999</v>
      </c>
      <c r="R580" t="s">
        <v>3304</v>
      </c>
      <c r="S580">
        <v>0.68260440340399997</v>
      </c>
    </row>
    <row r="581" spans="8:19">
      <c r="H581" t="s">
        <v>545</v>
      </c>
      <c r="I581">
        <v>66</v>
      </c>
      <c r="J581" t="s">
        <v>1197</v>
      </c>
      <c r="K581">
        <v>220</v>
      </c>
      <c r="L581">
        <v>1.1842E-2</v>
      </c>
      <c r="M581">
        <v>2</v>
      </c>
      <c r="N581">
        <v>56.061999999999998</v>
      </c>
      <c r="O581" t="s">
        <v>6617</v>
      </c>
      <c r="P581" t="s">
        <v>6586</v>
      </c>
      <c r="Q581">
        <v>1.0325599999999999</v>
      </c>
      <c r="R581" t="s">
        <v>3304</v>
      </c>
      <c r="S581">
        <v>0.68550233880223987</v>
      </c>
    </row>
    <row r="582" spans="8:19">
      <c r="H582" t="s">
        <v>545</v>
      </c>
      <c r="I582">
        <v>66</v>
      </c>
      <c r="J582" t="s">
        <v>1197</v>
      </c>
      <c r="K582">
        <v>220</v>
      </c>
      <c r="L582">
        <v>1.1842E-2</v>
      </c>
      <c r="M582">
        <v>3</v>
      </c>
      <c r="N582">
        <v>39.136000000000003</v>
      </c>
      <c r="O582" t="s">
        <v>6617</v>
      </c>
      <c r="P582" t="s">
        <v>6586</v>
      </c>
      <c r="Q582">
        <v>1.0325599999999999</v>
      </c>
      <c r="R582" t="s">
        <v>3304</v>
      </c>
      <c r="S582">
        <v>0.47853839555071997</v>
      </c>
    </row>
    <row r="583" spans="8:19">
      <c r="H583" t="s">
        <v>545</v>
      </c>
      <c r="I583">
        <v>66</v>
      </c>
      <c r="J583" t="s">
        <v>1197</v>
      </c>
      <c r="K583">
        <v>220</v>
      </c>
      <c r="L583">
        <v>1.1842E-2</v>
      </c>
      <c r="M583">
        <v>4</v>
      </c>
      <c r="N583">
        <v>38.625</v>
      </c>
      <c r="O583" t="s">
        <v>6617</v>
      </c>
      <c r="P583" t="s">
        <v>6586</v>
      </c>
      <c r="Q583">
        <v>1.0325599999999999</v>
      </c>
      <c r="R583" t="s">
        <v>3304</v>
      </c>
      <c r="S583">
        <v>0.47229010445999992</v>
      </c>
    </row>
    <row r="584" spans="8:19">
      <c r="H584" t="s">
        <v>545</v>
      </c>
      <c r="I584">
        <v>66</v>
      </c>
      <c r="J584" t="s">
        <v>1197</v>
      </c>
      <c r="K584">
        <v>220</v>
      </c>
      <c r="L584">
        <v>1.1842E-2</v>
      </c>
      <c r="M584">
        <v>5</v>
      </c>
      <c r="N584">
        <v>49.764000000000003</v>
      </c>
      <c r="O584" t="s">
        <v>6617</v>
      </c>
      <c r="P584" t="s">
        <v>6586</v>
      </c>
      <c r="Q584">
        <v>1.0325599999999999</v>
      </c>
      <c r="R584" t="s">
        <v>3304</v>
      </c>
      <c r="S584">
        <v>0.60849306817727999</v>
      </c>
    </row>
    <row r="585" spans="8:19">
      <c r="H585" t="s">
        <v>545</v>
      </c>
      <c r="I585">
        <v>66</v>
      </c>
      <c r="J585" t="s">
        <v>1197</v>
      </c>
      <c r="K585">
        <v>220</v>
      </c>
      <c r="L585">
        <v>1.1842E-2</v>
      </c>
      <c r="M585">
        <v>6</v>
      </c>
      <c r="N585">
        <v>61.481999999999999</v>
      </c>
      <c r="O585" t="s">
        <v>6617</v>
      </c>
      <c r="P585" t="s">
        <v>6586</v>
      </c>
      <c r="Q585">
        <v>1.0325599999999999</v>
      </c>
      <c r="R585" t="s">
        <v>3304</v>
      </c>
      <c r="S585">
        <v>0.75177579812063988</v>
      </c>
    </row>
    <row r="586" spans="8:19">
      <c r="H586" t="s">
        <v>545</v>
      </c>
      <c r="I586">
        <v>66</v>
      </c>
      <c r="J586" t="s">
        <v>1197</v>
      </c>
      <c r="K586">
        <v>220</v>
      </c>
      <c r="L586">
        <v>1.1842E-2</v>
      </c>
      <c r="M586">
        <v>1</v>
      </c>
      <c r="N586">
        <v>70.069000000000003</v>
      </c>
      <c r="O586" t="s">
        <v>6485</v>
      </c>
      <c r="P586" t="s">
        <v>6586</v>
      </c>
      <c r="Q586">
        <v>1.0325599999999999</v>
      </c>
      <c r="R586" t="s">
        <v>3304</v>
      </c>
      <c r="S586">
        <v>0.85677398911087999</v>
      </c>
    </row>
    <row r="587" spans="8:19">
      <c r="H587" t="s">
        <v>545</v>
      </c>
      <c r="I587">
        <v>66</v>
      </c>
      <c r="J587" t="s">
        <v>1197</v>
      </c>
      <c r="K587">
        <v>220</v>
      </c>
      <c r="L587">
        <v>1.1842E-2</v>
      </c>
      <c r="M587">
        <v>2</v>
      </c>
      <c r="N587">
        <v>63.207000000000001</v>
      </c>
      <c r="O587" t="s">
        <v>6485</v>
      </c>
      <c r="P587" t="s">
        <v>6586</v>
      </c>
      <c r="Q587">
        <v>1.0325599999999999</v>
      </c>
      <c r="R587" t="s">
        <v>3304</v>
      </c>
      <c r="S587">
        <v>0.77286836589263996</v>
      </c>
    </row>
    <row r="588" spans="8:19">
      <c r="H588" t="s">
        <v>545</v>
      </c>
      <c r="I588">
        <v>66</v>
      </c>
      <c r="J588" t="s">
        <v>1197</v>
      </c>
      <c r="K588">
        <v>220</v>
      </c>
      <c r="L588">
        <v>1.1842E-2</v>
      </c>
      <c r="M588">
        <v>3</v>
      </c>
      <c r="N588">
        <v>32.453000000000003</v>
      </c>
      <c r="O588" t="s">
        <v>6485</v>
      </c>
      <c r="P588" t="s">
        <v>6586</v>
      </c>
      <c r="Q588">
        <v>1.0325599999999999</v>
      </c>
      <c r="R588" t="s">
        <v>3304</v>
      </c>
      <c r="S588">
        <v>0.39682150835056001</v>
      </c>
    </row>
    <row r="589" spans="8:19">
      <c r="H589" t="s">
        <v>545</v>
      </c>
      <c r="I589">
        <v>66</v>
      </c>
      <c r="J589" t="s">
        <v>1197</v>
      </c>
      <c r="K589">
        <v>220</v>
      </c>
      <c r="L589">
        <v>1.1842E-2</v>
      </c>
      <c r="M589">
        <v>4</v>
      </c>
      <c r="N589">
        <v>30.672000000000001</v>
      </c>
      <c r="O589" t="s">
        <v>6485</v>
      </c>
      <c r="P589" t="s">
        <v>6586</v>
      </c>
      <c r="Q589">
        <v>1.0325599999999999</v>
      </c>
      <c r="R589" t="s">
        <v>3304</v>
      </c>
      <c r="S589">
        <v>0.37504419634943997</v>
      </c>
    </row>
    <row r="590" spans="8:19">
      <c r="H590" t="s">
        <v>545</v>
      </c>
      <c r="I590">
        <v>66</v>
      </c>
      <c r="J590" t="s">
        <v>1197</v>
      </c>
      <c r="K590">
        <v>220</v>
      </c>
      <c r="L590">
        <v>1.1842E-2</v>
      </c>
      <c r="M590">
        <v>5</v>
      </c>
      <c r="N590">
        <v>51.459000000000003</v>
      </c>
      <c r="O590" t="s">
        <v>6485</v>
      </c>
      <c r="P590" t="s">
        <v>6586</v>
      </c>
      <c r="Q590">
        <v>1.0325599999999999</v>
      </c>
      <c r="R590" t="s">
        <v>3304</v>
      </c>
      <c r="S590">
        <v>0.62921880868368008</v>
      </c>
    </row>
    <row r="591" spans="8:19">
      <c r="H591" t="s">
        <v>545</v>
      </c>
      <c r="I591">
        <v>66</v>
      </c>
      <c r="J591" t="s">
        <v>1197</v>
      </c>
      <c r="K591">
        <v>220</v>
      </c>
      <c r="L591">
        <v>1.1842E-2</v>
      </c>
      <c r="M591">
        <v>6</v>
      </c>
      <c r="N591">
        <v>87.926000000000002</v>
      </c>
      <c r="O591" t="s">
        <v>6485</v>
      </c>
      <c r="P591" t="s">
        <v>6586</v>
      </c>
      <c r="Q591">
        <v>1.0325599999999999</v>
      </c>
      <c r="R591" t="s">
        <v>3304</v>
      </c>
      <c r="S591">
        <v>1.0751218051715199</v>
      </c>
    </row>
    <row r="592" spans="8:19">
      <c r="H592" t="s">
        <v>858</v>
      </c>
      <c r="I592">
        <v>13</v>
      </c>
      <c r="J592" t="s">
        <v>14</v>
      </c>
      <c r="K592">
        <v>220</v>
      </c>
      <c r="L592">
        <v>5.0431999999999998E-2</v>
      </c>
      <c r="M592">
        <v>1</v>
      </c>
      <c r="N592">
        <v>56.027999999999999</v>
      </c>
      <c r="O592" t="s">
        <v>6617</v>
      </c>
      <c r="P592" t="s">
        <v>6586</v>
      </c>
      <c r="Q592">
        <v>1.0163</v>
      </c>
      <c r="R592" t="s">
        <v>3302</v>
      </c>
      <c r="S592">
        <v>2.8716614427648</v>
      </c>
    </row>
    <row r="593" spans="8:19">
      <c r="H593" t="s">
        <v>858</v>
      </c>
      <c r="I593">
        <v>13</v>
      </c>
      <c r="J593" t="s">
        <v>14</v>
      </c>
      <c r="K593">
        <v>220</v>
      </c>
      <c r="L593">
        <v>5.0431999999999998E-2</v>
      </c>
      <c r="M593">
        <v>2</v>
      </c>
      <c r="N593">
        <v>56.122999999999998</v>
      </c>
      <c r="O593" t="s">
        <v>6617</v>
      </c>
      <c r="P593" t="s">
        <v>6586</v>
      </c>
      <c r="Q593">
        <v>1.0163</v>
      </c>
      <c r="R593" t="s">
        <v>3302</v>
      </c>
      <c r="S593">
        <v>2.8765305767167999</v>
      </c>
    </row>
    <row r="594" spans="8:19">
      <c r="H594" t="s">
        <v>858</v>
      </c>
      <c r="I594">
        <v>13</v>
      </c>
      <c r="J594" t="s">
        <v>14</v>
      </c>
      <c r="K594">
        <v>220</v>
      </c>
      <c r="L594">
        <v>5.0431999999999998E-2</v>
      </c>
      <c r="M594">
        <v>3</v>
      </c>
      <c r="N594">
        <v>39.145000000000003</v>
      </c>
      <c r="O594" t="s">
        <v>6617</v>
      </c>
      <c r="P594" t="s">
        <v>6586</v>
      </c>
      <c r="Q594">
        <v>1.0163</v>
      </c>
      <c r="R594" t="s">
        <v>3302</v>
      </c>
      <c r="S594">
        <v>2.006339458432</v>
      </c>
    </row>
    <row r="595" spans="8:19">
      <c r="H595" t="s">
        <v>858</v>
      </c>
      <c r="I595">
        <v>13</v>
      </c>
      <c r="J595" t="s">
        <v>14</v>
      </c>
      <c r="K595">
        <v>220</v>
      </c>
      <c r="L595">
        <v>5.0431999999999998E-2</v>
      </c>
      <c r="M595">
        <v>4</v>
      </c>
      <c r="N595">
        <v>38.646999999999998</v>
      </c>
      <c r="O595" t="s">
        <v>6617</v>
      </c>
      <c r="P595" t="s">
        <v>6586</v>
      </c>
      <c r="Q595">
        <v>1.0163</v>
      </c>
      <c r="R595" t="s">
        <v>3302</v>
      </c>
      <c r="S595">
        <v>1.9808149457152</v>
      </c>
    </row>
    <row r="596" spans="8:19">
      <c r="H596" t="s">
        <v>858</v>
      </c>
      <c r="I596">
        <v>13</v>
      </c>
      <c r="J596" t="s">
        <v>14</v>
      </c>
      <c r="K596">
        <v>220</v>
      </c>
      <c r="L596">
        <v>5.0431999999999998E-2</v>
      </c>
      <c r="M596">
        <v>5</v>
      </c>
      <c r="N596">
        <v>49.831000000000003</v>
      </c>
      <c r="O596" t="s">
        <v>6617</v>
      </c>
      <c r="P596" t="s">
        <v>6586</v>
      </c>
      <c r="Q596">
        <v>1.0163</v>
      </c>
      <c r="R596" t="s">
        <v>3302</v>
      </c>
      <c r="S596">
        <v>2.5540401469696001</v>
      </c>
    </row>
    <row r="597" spans="8:19">
      <c r="H597" t="s">
        <v>858</v>
      </c>
      <c r="I597">
        <v>13</v>
      </c>
      <c r="J597" t="s">
        <v>14</v>
      </c>
      <c r="K597">
        <v>220</v>
      </c>
      <c r="L597">
        <v>5.0431999999999998E-2</v>
      </c>
      <c r="M597">
        <v>6</v>
      </c>
      <c r="N597">
        <v>61.533000000000001</v>
      </c>
      <c r="O597" t="s">
        <v>6617</v>
      </c>
      <c r="P597" t="s">
        <v>6586</v>
      </c>
      <c r="Q597">
        <v>1.0163</v>
      </c>
      <c r="R597" t="s">
        <v>3302</v>
      </c>
      <c r="S597">
        <v>3.1538149417727999</v>
      </c>
    </row>
    <row r="598" spans="8:19">
      <c r="H598" t="s">
        <v>858</v>
      </c>
      <c r="I598">
        <v>13</v>
      </c>
      <c r="J598" t="s">
        <v>14</v>
      </c>
      <c r="K598">
        <v>220</v>
      </c>
      <c r="L598">
        <v>5.0431999999999998E-2</v>
      </c>
      <c r="M598">
        <v>1</v>
      </c>
      <c r="N598">
        <v>70.548000000000002</v>
      </c>
      <c r="O598" t="s">
        <v>6485</v>
      </c>
      <c r="P598" t="s">
        <v>6586</v>
      </c>
      <c r="Q598">
        <v>1.0163</v>
      </c>
      <c r="R598" t="s">
        <v>3302</v>
      </c>
      <c r="S598">
        <v>3.6158701267967999</v>
      </c>
    </row>
    <row r="599" spans="8:19">
      <c r="H599" t="s">
        <v>858</v>
      </c>
      <c r="I599">
        <v>13</v>
      </c>
      <c r="J599" t="s">
        <v>14</v>
      </c>
      <c r="K599">
        <v>220</v>
      </c>
      <c r="L599">
        <v>5.0431999999999998E-2</v>
      </c>
      <c r="M599">
        <v>2</v>
      </c>
      <c r="N599">
        <v>63.55</v>
      </c>
      <c r="O599" t="s">
        <v>6485</v>
      </c>
      <c r="P599" t="s">
        <v>6586</v>
      </c>
      <c r="Q599">
        <v>1.0163</v>
      </c>
      <c r="R599" t="s">
        <v>3302</v>
      </c>
      <c r="S599">
        <v>3.2571943436800002</v>
      </c>
    </row>
    <row r="600" spans="8:19">
      <c r="H600" t="s">
        <v>858</v>
      </c>
      <c r="I600">
        <v>13</v>
      </c>
      <c r="J600" t="s">
        <v>14</v>
      </c>
      <c r="K600">
        <v>220</v>
      </c>
      <c r="L600">
        <v>5.0431999999999998E-2</v>
      </c>
      <c r="M600">
        <v>3</v>
      </c>
      <c r="N600">
        <v>32.978000000000002</v>
      </c>
      <c r="O600" t="s">
        <v>6485</v>
      </c>
      <c r="P600" t="s">
        <v>6586</v>
      </c>
      <c r="Q600">
        <v>1.0163</v>
      </c>
      <c r="R600" t="s">
        <v>3302</v>
      </c>
      <c r="S600">
        <v>1.6902557838848</v>
      </c>
    </row>
    <row r="601" spans="8:19">
      <c r="H601" t="s">
        <v>858</v>
      </c>
      <c r="I601">
        <v>13</v>
      </c>
      <c r="J601" t="s">
        <v>14</v>
      </c>
      <c r="K601">
        <v>220</v>
      </c>
      <c r="L601">
        <v>5.0431999999999998E-2</v>
      </c>
      <c r="M601">
        <v>4</v>
      </c>
      <c r="N601">
        <v>31.867000000000001</v>
      </c>
      <c r="O601" t="s">
        <v>6485</v>
      </c>
      <c r="P601" t="s">
        <v>6586</v>
      </c>
      <c r="Q601">
        <v>1.0163</v>
      </c>
      <c r="R601" t="s">
        <v>3302</v>
      </c>
      <c r="S601">
        <v>1.6333125436672</v>
      </c>
    </row>
    <row r="602" spans="8:19">
      <c r="H602" t="s">
        <v>858</v>
      </c>
      <c r="I602">
        <v>13</v>
      </c>
      <c r="J602" t="s">
        <v>14</v>
      </c>
      <c r="K602">
        <v>220</v>
      </c>
      <c r="L602">
        <v>5.0431999999999998E-2</v>
      </c>
      <c r="M602">
        <v>5</v>
      </c>
      <c r="N602">
        <v>51.658000000000001</v>
      </c>
      <c r="O602" t="s">
        <v>6485</v>
      </c>
      <c r="P602" t="s">
        <v>6586</v>
      </c>
      <c r="Q602">
        <v>1.0163</v>
      </c>
      <c r="R602" t="s">
        <v>3302</v>
      </c>
      <c r="S602">
        <v>2.6476812809728001</v>
      </c>
    </row>
    <row r="603" spans="8:19">
      <c r="H603" t="s">
        <v>858</v>
      </c>
      <c r="I603">
        <v>13</v>
      </c>
      <c r="J603" t="s">
        <v>14</v>
      </c>
      <c r="K603">
        <v>220</v>
      </c>
      <c r="L603">
        <v>5.0431999999999998E-2</v>
      </c>
      <c r="M603">
        <v>6</v>
      </c>
      <c r="N603">
        <v>88.040999999999997</v>
      </c>
      <c r="O603" t="s">
        <v>6485</v>
      </c>
      <c r="P603" t="s">
        <v>6586</v>
      </c>
      <c r="Q603">
        <v>1.0163</v>
      </c>
      <c r="R603" t="s">
        <v>3302</v>
      </c>
      <c r="S603">
        <v>4.5124570765055996</v>
      </c>
    </row>
    <row r="604" spans="8:19">
      <c r="H604" t="s">
        <v>858</v>
      </c>
      <c r="I604">
        <v>13</v>
      </c>
      <c r="J604" t="s">
        <v>589</v>
      </c>
      <c r="K604">
        <v>220</v>
      </c>
      <c r="L604">
        <v>9.6518000000000007E-2</v>
      </c>
      <c r="M604">
        <v>1</v>
      </c>
      <c r="N604">
        <v>57.201999999999998</v>
      </c>
      <c r="O604" t="s">
        <v>6617</v>
      </c>
      <c r="P604" t="s">
        <v>6586</v>
      </c>
      <c r="Q604">
        <v>1.0163</v>
      </c>
      <c r="R604" t="s">
        <v>3302</v>
      </c>
      <c r="S604">
        <v>5.6110153049668003</v>
      </c>
    </row>
    <row r="605" spans="8:19">
      <c r="H605" t="s">
        <v>858</v>
      </c>
      <c r="I605">
        <v>13</v>
      </c>
      <c r="J605" t="s">
        <v>589</v>
      </c>
      <c r="K605">
        <v>220</v>
      </c>
      <c r="L605">
        <v>9.6518000000000007E-2</v>
      </c>
      <c r="M605">
        <v>2</v>
      </c>
      <c r="N605">
        <v>57.142000000000003</v>
      </c>
      <c r="O605" t="s">
        <v>6617</v>
      </c>
      <c r="P605" t="s">
        <v>6586</v>
      </c>
      <c r="Q605">
        <v>1.0163</v>
      </c>
      <c r="R605" t="s">
        <v>3302</v>
      </c>
      <c r="S605">
        <v>5.6051298303628014</v>
      </c>
    </row>
    <row r="606" spans="8:19">
      <c r="H606" t="s">
        <v>858</v>
      </c>
      <c r="I606">
        <v>13</v>
      </c>
      <c r="J606" t="s">
        <v>589</v>
      </c>
      <c r="K606">
        <v>220</v>
      </c>
      <c r="L606">
        <v>9.6518000000000007E-2</v>
      </c>
      <c r="M606">
        <v>3</v>
      </c>
      <c r="N606">
        <v>39.238</v>
      </c>
      <c r="O606" t="s">
        <v>6617</v>
      </c>
      <c r="P606" t="s">
        <v>6586</v>
      </c>
      <c r="Q606">
        <v>1.0163</v>
      </c>
      <c r="R606" t="s">
        <v>3302</v>
      </c>
      <c r="S606">
        <v>3.8489042085291998</v>
      </c>
    </row>
    <row r="607" spans="8:19">
      <c r="H607" t="s">
        <v>858</v>
      </c>
      <c r="I607">
        <v>13</v>
      </c>
      <c r="J607" t="s">
        <v>589</v>
      </c>
      <c r="K607">
        <v>220</v>
      </c>
      <c r="L607">
        <v>9.6518000000000007E-2</v>
      </c>
      <c r="M607">
        <v>4</v>
      </c>
      <c r="N607">
        <v>38.674999999999997</v>
      </c>
      <c r="O607" t="s">
        <v>6617</v>
      </c>
      <c r="P607" t="s">
        <v>6586</v>
      </c>
      <c r="Q607">
        <v>1.0163</v>
      </c>
      <c r="R607" t="s">
        <v>3302</v>
      </c>
      <c r="S607">
        <v>3.793678838495</v>
      </c>
    </row>
    <row r="608" spans="8:19">
      <c r="H608" t="s">
        <v>858</v>
      </c>
      <c r="I608">
        <v>13</v>
      </c>
      <c r="J608" t="s">
        <v>589</v>
      </c>
      <c r="K608">
        <v>220</v>
      </c>
      <c r="L608">
        <v>9.6518000000000007E-2</v>
      </c>
      <c r="M608">
        <v>5</v>
      </c>
      <c r="N608">
        <v>51.384999999999998</v>
      </c>
      <c r="O608" t="s">
        <v>6617</v>
      </c>
      <c r="P608" t="s">
        <v>6586</v>
      </c>
      <c r="Q608">
        <v>1.0163</v>
      </c>
      <c r="R608" t="s">
        <v>3302</v>
      </c>
      <c r="S608">
        <v>5.0404185421090002</v>
      </c>
    </row>
    <row r="609" spans="8:19">
      <c r="H609" t="s">
        <v>858</v>
      </c>
      <c r="I609">
        <v>13</v>
      </c>
      <c r="J609" t="s">
        <v>589</v>
      </c>
      <c r="K609">
        <v>220</v>
      </c>
      <c r="L609">
        <v>9.6518000000000007E-2</v>
      </c>
      <c r="M609">
        <v>6</v>
      </c>
      <c r="N609">
        <v>63.296999999999997</v>
      </c>
      <c r="O609" t="s">
        <v>6617</v>
      </c>
      <c r="P609" t="s">
        <v>6586</v>
      </c>
      <c r="Q609">
        <v>1.0163</v>
      </c>
      <c r="R609" t="s">
        <v>3302</v>
      </c>
      <c r="S609">
        <v>6.2088814334897986</v>
      </c>
    </row>
    <row r="610" spans="8:19">
      <c r="H610" t="s">
        <v>858</v>
      </c>
      <c r="I610">
        <v>13</v>
      </c>
      <c r="J610" t="s">
        <v>589</v>
      </c>
      <c r="K610">
        <v>220</v>
      </c>
      <c r="L610">
        <v>9.6518000000000007E-2</v>
      </c>
      <c r="M610">
        <v>1</v>
      </c>
      <c r="N610">
        <v>72.432000000000002</v>
      </c>
      <c r="O610" t="s">
        <v>6485</v>
      </c>
      <c r="P610" t="s">
        <v>6586</v>
      </c>
      <c r="Q610">
        <v>1.0163</v>
      </c>
      <c r="R610" t="s">
        <v>3302</v>
      </c>
      <c r="S610">
        <v>7.1049449419488004</v>
      </c>
    </row>
    <row r="611" spans="8:19">
      <c r="H611" t="s">
        <v>858</v>
      </c>
      <c r="I611">
        <v>13</v>
      </c>
      <c r="J611" t="s">
        <v>589</v>
      </c>
      <c r="K611">
        <v>220</v>
      </c>
      <c r="L611">
        <v>9.6518000000000007E-2</v>
      </c>
      <c r="M611">
        <v>2</v>
      </c>
      <c r="N611">
        <v>65.381</v>
      </c>
      <c r="O611" t="s">
        <v>6485</v>
      </c>
      <c r="P611" t="s">
        <v>6586</v>
      </c>
      <c r="Q611">
        <v>1.0163</v>
      </c>
      <c r="R611" t="s">
        <v>3302</v>
      </c>
      <c r="S611">
        <v>6.4133035847354014</v>
      </c>
    </row>
    <row r="612" spans="8:19">
      <c r="H612" t="s">
        <v>858</v>
      </c>
      <c r="I612">
        <v>13</v>
      </c>
      <c r="J612" t="s">
        <v>589</v>
      </c>
      <c r="K612">
        <v>220</v>
      </c>
      <c r="L612">
        <v>9.6518000000000007E-2</v>
      </c>
      <c r="M612">
        <v>3</v>
      </c>
      <c r="N612">
        <v>33.338000000000001</v>
      </c>
      <c r="O612" t="s">
        <v>6485</v>
      </c>
      <c r="P612" t="s">
        <v>6586</v>
      </c>
      <c r="Q612">
        <v>1.0163</v>
      </c>
      <c r="R612" t="s">
        <v>3302</v>
      </c>
      <c r="S612">
        <v>3.2701658724692</v>
      </c>
    </row>
    <row r="613" spans="8:19">
      <c r="H613" t="s">
        <v>858</v>
      </c>
      <c r="I613">
        <v>13</v>
      </c>
      <c r="J613" t="s">
        <v>589</v>
      </c>
      <c r="K613">
        <v>220</v>
      </c>
      <c r="L613">
        <v>9.6518000000000007E-2</v>
      </c>
      <c r="M613">
        <v>4</v>
      </c>
      <c r="N613">
        <v>32.270000000000003</v>
      </c>
      <c r="O613" t="s">
        <v>6485</v>
      </c>
      <c r="P613" t="s">
        <v>6586</v>
      </c>
      <c r="Q613">
        <v>1.0163</v>
      </c>
      <c r="R613" t="s">
        <v>3302</v>
      </c>
      <c r="S613">
        <v>3.165404424518</v>
      </c>
    </row>
    <row r="614" spans="8:19">
      <c r="H614" t="s">
        <v>858</v>
      </c>
      <c r="I614">
        <v>13</v>
      </c>
      <c r="J614" t="s">
        <v>589</v>
      </c>
      <c r="K614">
        <v>220</v>
      </c>
      <c r="L614">
        <v>9.6518000000000007E-2</v>
      </c>
      <c r="M614">
        <v>5</v>
      </c>
      <c r="N614">
        <v>54.567999999999998</v>
      </c>
      <c r="O614" t="s">
        <v>6485</v>
      </c>
      <c r="P614" t="s">
        <v>6586</v>
      </c>
      <c r="Q614">
        <v>1.0163</v>
      </c>
      <c r="R614" t="s">
        <v>3302</v>
      </c>
      <c r="S614">
        <v>5.3526429698511997</v>
      </c>
    </row>
    <row r="615" spans="8:19">
      <c r="H615" t="s">
        <v>858</v>
      </c>
      <c r="I615">
        <v>13</v>
      </c>
      <c r="J615" t="s">
        <v>589</v>
      </c>
      <c r="K615">
        <v>220</v>
      </c>
      <c r="L615">
        <v>9.6518000000000007E-2</v>
      </c>
      <c r="M615">
        <v>6</v>
      </c>
      <c r="N615">
        <v>91.134</v>
      </c>
      <c r="O615" t="s">
        <v>6485</v>
      </c>
      <c r="P615" t="s">
        <v>6586</v>
      </c>
      <c r="Q615">
        <v>1.0163</v>
      </c>
      <c r="R615" t="s">
        <v>3302</v>
      </c>
      <c r="S615">
        <v>8.9394473760156004</v>
      </c>
    </row>
    <row r="616" spans="8:19">
      <c r="H616" t="s">
        <v>858</v>
      </c>
      <c r="I616">
        <v>13</v>
      </c>
      <c r="J616" t="s">
        <v>911</v>
      </c>
      <c r="K616">
        <v>220</v>
      </c>
      <c r="L616">
        <v>0.16386300000000001</v>
      </c>
      <c r="M616">
        <v>1</v>
      </c>
      <c r="N616">
        <v>55.404000000000003</v>
      </c>
      <c r="O616" t="s">
        <v>6617</v>
      </c>
      <c r="P616" t="s">
        <v>6586</v>
      </c>
      <c r="Q616">
        <v>1.0163</v>
      </c>
      <c r="R616" t="s">
        <v>3302</v>
      </c>
      <c r="S616">
        <v>9.2266479021276009</v>
      </c>
    </row>
    <row r="617" spans="8:19">
      <c r="H617" t="s">
        <v>858</v>
      </c>
      <c r="I617">
        <v>13</v>
      </c>
      <c r="J617" t="s">
        <v>911</v>
      </c>
      <c r="K617">
        <v>220</v>
      </c>
      <c r="L617">
        <v>0.16386300000000001</v>
      </c>
      <c r="M617">
        <v>2</v>
      </c>
      <c r="N617">
        <v>55.06</v>
      </c>
      <c r="O617" t="s">
        <v>6617</v>
      </c>
      <c r="P617" t="s">
        <v>6586</v>
      </c>
      <c r="Q617">
        <v>1.0163</v>
      </c>
      <c r="R617" t="s">
        <v>3302</v>
      </c>
      <c r="S617">
        <v>9.1693602175140008</v>
      </c>
    </row>
    <row r="618" spans="8:19">
      <c r="H618" t="s">
        <v>858</v>
      </c>
      <c r="I618">
        <v>13</v>
      </c>
      <c r="J618" t="s">
        <v>911</v>
      </c>
      <c r="K618">
        <v>220</v>
      </c>
      <c r="L618">
        <v>0.16386300000000001</v>
      </c>
      <c r="M618">
        <v>3</v>
      </c>
      <c r="N618">
        <v>39.090000000000003</v>
      </c>
      <c r="O618" t="s">
        <v>6617</v>
      </c>
      <c r="P618" t="s">
        <v>6586</v>
      </c>
      <c r="Q618">
        <v>1.0163</v>
      </c>
      <c r="R618" t="s">
        <v>3302</v>
      </c>
      <c r="S618">
        <v>6.5098127661210006</v>
      </c>
    </row>
    <row r="619" spans="8:19">
      <c r="H619" t="s">
        <v>858</v>
      </c>
      <c r="I619">
        <v>13</v>
      </c>
      <c r="J619" t="s">
        <v>911</v>
      </c>
      <c r="K619">
        <v>220</v>
      </c>
      <c r="L619">
        <v>0.16386300000000001</v>
      </c>
      <c r="M619">
        <v>4</v>
      </c>
      <c r="N619">
        <v>38.667999999999999</v>
      </c>
      <c r="O619" t="s">
        <v>6617</v>
      </c>
      <c r="P619" t="s">
        <v>6586</v>
      </c>
      <c r="Q619">
        <v>1.0163</v>
      </c>
      <c r="R619" t="s">
        <v>3302</v>
      </c>
      <c r="S619">
        <v>6.4395354320892002</v>
      </c>
    </row>
    <row r="620" spans="8:19">
      <c r="H620" t="s">
        <v>858</v>
      </c>
      <c r="I620">
        <v>13</v>
      </c>
      <c r="J620" t="s">
        <v>911</v>
      </c>
      <c r="K620">
        <v>220</v>
      </c>
      <c r="L620">
        <v>0.16386300000000001</v>
      </c>
      <c r="M620">
        <v>5</v>
      </c>
      <c r="N620">
        <v>50.594000000000001</v>
      </c>
      <c r="O620" t="s">
        <v>6617</v>
      </c>
      <c r="P620" t="s">
        <v>6586</v>
      </c>
      <c r="Q620">
        <v>1.0163</v>
      </c>
      <c r="R620" t="s">
        <v>3302</v>
      </c>
      <c r="S620">
        <v>8.4256195213386</v>
      </c>
    </row>
    <row r="621" spans="8:19">
      <c r="H621" t="s">
        <v>858</v>
      </c>
      <c r="I621">
        <v>13</v>
      </c>
      <c r="J621" t="s">
        <v>911</v>
      </c>
      <c r="K621">
        <v>220</v>
      </c>
      <c r="L621">
        <v>0.16386300000000001</v>
      </c>
      <c r="M621">
        <v>6</v>
      </c>
      <c r="N621">
        <v>61.845999999999997</v>
      </c>
      <c r="O621" t="s">
        <v>6617</v>
      </c>
      <c r="P621" t="s">
        <v>6586</v>
      </c>
      <c r="Q621">
        <v>1.0163</v>
      </c>
      <c r="R621" t="s">
        <v>3302</v>
      </c>
      <c r="S621">
        <v>10.299459716897401</v>
      </c>
    </row>
    <row r="622" spans="8:19">
      <c r="H622" t="s">
        <v>858</v>
      </c>
      <c r="I622">
        <v>13</v>
      </c>
      <c r="J622" t="s">
        <v>911</v>
      </c>
      <c r="K622">
        <v>220</v>
      </c>
      <c r="L622">
        <v>0.16386300000000001</v>
      </c>
      <c r="M622">
        <v>1</v>
      </c>
      <c r="N622">
        <v>70.549000000000007</v>
      </c>
      <c r="O622" t="s">
        <v>6485</v>
      </c>
      <c r="P622" t="s">
        <v>6586</v>
      </c>
      <c r="Q622">
        <v>1.0163</v>
      </c>
      <c r="R622" t="s">
        <v>3302</v>
      </c>
      <c r="S622">
        <v>11.748804830828099</v>
      </c>
    </row>
    <row r="623" spans="8:19">
      <c r="H623" t="s">
        <v>858</v>
      </c>
      <c r="I623">
        <v>13</v>
      </c>
      <c r="J623" t="s">
        <v>911</v>
      </c>
      <c r="K623">
        <v>220</v>
      </c>
      <c r="L623">
        <v>0.16386300000000001</v>
      </c>
      <c r="M623">
        <v>2</v>
      </c>
      <c r="N623">
        <v>62.8</v>
      </c>
      <c r="O623" t="s">
        <v>6485</v>
      </c>
      <c r="P623" t="s">
        <v>6586</v>
      </c>
      <c r="Q623">
        <v>1.0163</v>
      </c>
      <c r="R623" t="s">
        <v>3302</v>
      </c>
      <c r="S623">
        <v>10.458333121320001</v>
      </c>
    </row>
    <row r="624" spans="8:19">
      <c r="H624" t="s">
        <v>858</v>
      </c>
      <c r="I624">
        <v>13</v>
      </c>
      <c r="J624" t="s">
        <v>911</v>
      </c>
      <c r="K624">
        <v>220</v>
      </c>
      <c r="L624">
        <v>0.16386300000000001</v>
      </c>
      <c r="M624">
        <v>3</v>
      </c>
      <c r="N624">
        <v>32.857999999999997</v>
      </c>
      <c r="O624" t="s">
        <v>6485</v>
      </c>
      <c r="P624" t="s">
        <v>6586</v>
      </c>
      <c r="Q624">
        <v>1.0163</v>
      </c>
      <c r="R624" t="s">
        <v>3302</v>
      </c>
      <c r="S624">
        <v>5.4719730844001999</v>
      </c>
    </row>
    <row r="625" spans="8:19">
      <c r="H625" t="s">
        <v>858</v>
      </c>
      <c r="I625">
        <v>13</v>
      </c>
      <c r="J625" t="s">
        <v>911</v>
      </c>
      <c r="K625">
        <v>220</v>
      </c>
      <c r="L625">
        <v>0.16386300000000001</v>
      </c>
      <c r="M625">
        <v>4</v>
      </c>
      <c r="N625">
        <v>32.343000000000004</v>
      </c>
      <c r="O625" t="s">
        <v>6485</v>
      </c>
      <c r="P625" t="s">
        <v>6586</v>
      </c>
      <c r="Q625">
        <v>1.0163</v>
      </c>
      <c r="R625" t="s">
        <v>3302</v>
      </c>
      <c r="S625">
        <v>5.3862080914467008</v>
      </c>
    </row>
    <row r="626" spans="8:19">
      <c r="H626" t="s">
        <v>858</v>
      </c>
      <c r="I626">
        <v>13</v>
      </c>
      <c r="J626" t="s">
        <v>911</v>
      </c>
      <c r="K626">
        <v>220</v>
      </c>
      <c r="L626">
        <v>0.16386300000000001</v>
      </c>
      <c r="M626">
        <v>5</v>
      </c>
      <c r="N626">
        <v>54.238999999999997</v>
      </c>
      <c r="O626" t="s">
        <v>6485</v>
      </c>
      <c r="P626" t="s">
        <v>6586</v>
      </c>
      <c r="Q626">
        <v>1.0163</v>
      </c>
      <c r="R626" t="s">
        <v>3302</v>
      </c>
      <c r="S626">
        <v>9.0326358306890988</v>
      </c>
    </row>
    <row r="627" spans="8:19">
      <c r="H627" t="s">
        <v>858</v>
      </c>
      <c r="I627">
        <v>13</v>
      </c>
      <c r="J627" t="s">
        <v>911</v>
      </c>
      <c r="K627">
        <v>220</v>
      </c>
      <c r="L627">
        <v>0.16386300000000001</v>
      </c>
      <c r="M627">
        <v>6</v>
      </c>
      <c r="N627">
        <v>90.197999999999993</v>
      </c>
      <c r="O627" t="s">
        <v>6485</v>
      </c>
      <c r="P627" t="s">
        <v>6586</v>
      </c>
      <c r="Q627">
        <v>1.0163</v>
      </c>
      <c r="R627" t="s">
        <v>3302</v>
      </c>
      <c r="S627">
        <v>15.021030746446201</v>
      </c>
    </row>
    <row r="628" spans="8:19">
      <c r="H628" t="s">
        <v>858</v>
      </c>
      <c r="I628">
        <v>13</v>
      </c>
      <c r="J628" t="s">
        <v>1151</v>
      </c>
      <c r="K628">
        <v>220</v>
      </c>
      <c r="L628">
        <v>0.68918800000000002</v>
      </c>
      <c r="M628">
        <v>1</v>
      </c>
      <c r="N628">
        <v>55.87</v>
      </c>
      <c r="O628" t="s">
        <v>6617</v>
      </c>
      <c r="P628" t="s">
        <v>6586</v>
      </c>
      <c r="Q628">
        <v>1.0163</v>
      </c>
      <c r="R628" t="s">
        <v>3302</v>
      </c>
      <c r="S628">
        <v>39.132563977027999</v>
      </c>
    </row>
    <row r="629" spans="8:19">
      <c r="H629" t="s">
        <v>858</v>
      </c>
      <c r="I629">
        <v>13</v>
      </c>
      <c r="J629" t="s">
        <v>1151</v>
      </c>
      <c r="K629">
        <v>220</v>
      </c>
      <c r="L629">
        <v>0.68918800000000002</v>
      </c>
      <c r="M629">
        <v>2</v>
      </c>
      <c r="N629">
        <v>55.997999999999998</v>
      </c>
      <c r="O629" t="s">
        <v>6617</v>
      </c>
      <c r="P629" t="s">
        <v>6586</v>
      </c>
      <c r="Q629">
        <v>1.0163</v>
      </c>
      <c r="R629" t="s">
        <v>3302</v>
      </c>
      <c r="S629">
        <v>39.222217962871198</v>
      </c>
    </row>
    <row r="630" spans="8:19">
      <c r="H630" t="s">
        <v>858</v>
      </c>
      <c r="I630">
        <v>13</v>
      </c>
      <c r="J630" t="s">
        <v>1151</v>
      </c>
      <c r="K630">
        <v>220</v>
      </c>
      <c r="L630">
        <v>0.68918800000000002</v>
      </c>
      <c r="M630">
        <v>3</v>
      </c>
      <c r="N630">
        <v>39.122999999999998</v>
      </c>
      <c r="O630" t="s">
        <v>6617</v>
      </c>
      <c r="P630" t="s">
        <v>6586</v>
      </c>
      <c r="Q630">
        <v>1.0163</v>
      </c>
      <c r="R630" t="s">
        <v>3302</v>
      </c>
      <c r="S630">
        <v>27.402600688621199</v>
      </c>
    </row>
    <row r="631" spans="8:19">
      <c r="H631" t="s">
        <v>858</v>
      </c>
      <c r="I631">
        <v>13</v>
      </c>
      <c r="J631" t="s">
        <v>1151</v>
      </c>
      <c r="K631">
        <v>220</v>
      </c>
      <c r="L631">
        <v>0.68918800000000002</v>
      </c>
      <c r="M631">
        <v>4</v>
      </c>
      <c r="N631">
        <v>38.651000000000003</v>
      </c>
      <c r="O631" t="s">
        <v>6617</v>
      </c>
      <c r="P631" t="s">
        <v>6586</v>
      </c>
      <c r="Q631">
        <v>1.0163</v>
      </c>
      <c r="R631" t="s">
        <v>3302</v>
      </c>
      <c r="S631">
        <v>27.072001615824409</v>
      </c>
    </row>
    <row r="632" spans="8:19">
      <c r="H632" t="s">
        <v>858</v>
      </c>
      <c r="I632">
        <v>13</v>
      </c>
      <c r="J632" t="s">
        <v>1151</v>
      </c>
      <c r="K632">
        <v>220</v>
      </c>
      <c r="L632">
        <v>0.68918800000000002</v>
      </c>
      <c r="M632">
        <v>5</v>
      </c>
      <c r="N632">
        <v>50.674999999999997</v>
      </c>
      <c r="O632" t="s">
        <v>6617</v>
      </c>
      <c r="P632" t="s">
        <v>6586</v>
      </c>
      <c r="Q632">
        <v>1.0163</v>
      </c>
      <c r="R632" t="s">
        <v>3302</v>
      </c>
      <c r="S632">
        <v>35.493872910969998</v>
      </c>
    </row>
    <row r="633" spans="8:19">
      <c r="H633" t="s">
        <v>858</v>
      </c>
      <c r="I633">
        <v>13</v>
      </c>
      <c r="J633" t="s">
        <v>1151</v>
      </c>
      <c r="K633">
        <v>220</v>
      </c>
      <c r="L633">
        <v>0.68918800000000002</v>
      </c>
      <c r="M633">
        <v>6</v>
      </c>
      <c r="N633">
        <v>61.944000000000003</v>
      </c>
      <c r="O633" t="s">
        <v>6617</v>
      </c>
      <c r="P633" t="s">
        <v>6586</v>
      </c>
      <c r="Q633">
        <v>1.0163</v>
      </c>
      <c r="R633" t="s">
        <v>3302</v>
      </c>
      <c r="S633">
        <v>43.386925773993603</v>
      </c>
    </row>
    <row r="634" spans="8:19">
      <c r="H634" t="s">
        <v>858</v>
      </c>
      <c r="I634">
        <v>13</v>
      </c>
      <c r="J634" t="s">
        <v>1151</v>
      </c>
      <c r="K634">
        <v>220</v>
      </c>
      <c r="L634">
        <v>0.68918800000000002</v>
      </c>
      <c r="M634">
        <v>1</v>
      </c>
      <c r="N634">
        <v>70.893000000000001</v>
      </c>
      <c r="O634" t="s">
        <v>6485</v>
      </c>
      <c r="P634" t="s">
        <v>6586</v>
      </c>
      <c r="Q634">
        <v>1.0163</v>
      </c>
      <c r="R634" t="s">
        <v>3302</v>
      </c>
      <c r="S634">
        <v>49.6550001436092</v>
      </c>
    </row>
    <row r="635" spans="8:19">
      <c r="H635" t="s">
        <v>858</v>
      </c>
      <c r="I635">
        <v>13</v>
      </c>
      <c r="J635" t="s">
        <v>1151</v>
      </c>
      <c r="K635">
        <v>220</v>
      </c>
      <c r="L635">
        <v>0.68918800000000002</v>
      </c>
      <c r="M635">
        <v>2</v>
      </c>
      <c r="N635">
        <v>63.523000000000003</v>
      </c>
      <c r="O635" t="s">
        <v>6485</v>
      </c>
      <c r="P635" t="s">
        <v>6586</v>
      </c>
      <c r="Q635">
        <v>1.0163</v>
      </c>
      <c r="R635" t="s">
        <v>3302</v>
      </c>
      <c r="S635">
        <v>44.492891739981197</v>
      </c>
    </row>
    <row r="636" spans="8:19">
      <c r="H636" t="s">
        <v>858</v>
      </c>
      <c r="I636">
        <v>13</v>
      </c>
      <c r="J636" t="s">
        <v>1151</v>
      </c>
      <c r="K636">
        <v>220</v>
      </c>
      <c r="L636">
        <v>0.68918800000000002</v>
      </c>
      <c r="M636">
        <v>3</v>
      </c>
      <c r="N636">
        <v>32.936</v>
      </c>
      <c r="O636" t="s">
        <v>6485</v>
      </c>
      <c r="P636" t="s">
        <v>6586</v>
      </c>
      <c r="Q636">
        <v>1.0163</v>
      </c>
      <c r="R636" t="s">
        <v>3302</v>
      </c>
      <c r="S636">
        <v>23.069091232278399</v>
      </c>
    </row>
    <row r="637" spans="8:19">
      <c r="H637" t="s">
        <v>858</v>
      </c>
      <c r="I637">
        <v>13</v>
      </c>
      <c r="J637" t="s">
        <v>1151</v>
      </c>
      <c r="K637">
        <v>220</v>
      </c>
      <c r="L637">
        <v>0.68918800000000002</v>
      </c>
      <c r="M637">
        <v>4</v>
      </c>
      <c r="N637">
        <v>31.954999999999998</v>
      </c>
      <c r="O637" t="s">
        <v>6485</v>
      </c>
      <c r="P637" t="s">
        <v>6586</v>
      </c>
      <c r="Q637">
        <v>1.0163</v>
      </c>
      <c r="R637" t="s">
        <v>3302</v>
      </c>
      <c r="S637">
        <v>22.381977481402</v>
      </c>
    </row>
    <row r="638" spans="8:19">
      <c r="H638" t="s">
        <v>858</v>
      </c>
      <c r="I638">
        <v>13</v>
      </c>
      <c r="J638" t="s">
        <v>1151</v>
      </c>
      <c r="K638">
        <v>220</v>
      </c>
      <c r="L638">
        <v>0.68918800000000002</v>
      </c>
      <c r="M638">
        <v>5</v>
      </c>
      <c r="N638">
        <v>53.051000000000002</v>
      </c>
      <c r="O638" t="s">
        <v>6485</v>
      </c>
      <c r="P638" t="s">
        <v>6586</v>
      </c>
      <c r="Q638">
        <v>1.0163</v>
      </c>
      <c r="R638" t="s">
        <v>3302</v>
      </c>
      <c r="S638">
        <v>37.158075023184402</v>
      </c>
    </row>
    <row r="639" spans="8:19">
      <c r="H639" t="s">
        <v>858</v>
      </c>
      <c r="I639">
        <v>13</v>
      </c>
      <c r="J639" t="s">
        <v>1151</v>
      </c>
      <c r="K639">
        <v>220</v>
      </c>
      <c r="L639">
        <v>0.68918800000000002</v>
      </c>
      <c r="M639">
        <v>6</v>
      </c>
      <c r="N639">
        <v>88.747</v>
      </c>
      <c r="O639" t="s">
        <v>6485</v>
      </c>
      <c r="P639" t="s">
        <v>6586</v>
      </c>
      <c r="Q639">
        <v>1.0163</v>
      </c>
      <c r="R639" t="s">
        <v>3302</v>
      </c>
      <c r="S639">
        <v>62.1603303252068</v>
      </c>
    </row>
    <row r="640" spans="8:19">
      <c r="H640" t="s">
        <v>903</v>
      </c>
      <c r="I640">
        <v>23</v>
      </c>
      <c r="J640" t="s">
        <v>248</v>
      </c>
      <c r="K640">
        <v>220</v>
      </c>
      <c r="L640">
        <v>1</v>
      </c>
      <c r="M640">
        <v>1</v>
      </c>
      <c r="N640">
        <v>54.328000000000003</v>
      </c>
      <c r="O640" t="s">
        <v>6617</v>
      </c>
      <c r="P640" t="s">
        <v>6586</v>
      </c>
      <c r="Q640">
        <v>1.0325599999999999</v>
      </c>
      <c r="R640" t="s">
        <v>3304</v>
      </c>
      <c r="S640">
        <v>56.096919679999999</v>
      </c>
    </row>
    <row r="641" spans="8:19">
      <c r="H641" t="s">
        <v>903</v>
      </c>
      <c r="I641">
        <v>23</v>
      </c>
      <c r="J641" t="s">
        <v>248</v>
      </c>
      <c r="K641">
        <v>220</v>
      </c>
      <c r="L641">
        <v>1</v>
      </c>
      <c r="M641">
        <v>2</v>
      </c>
      <c r="N641">
        <v>54.436999999999998</v>
      </c>
      <c r="O641" t="s">
        <v>6617</v>
      </c>
      <c r="P641" t="s">
        <v>6586</v>
      </c>
      <c r="Q641">
        <v>1.0325599999999999</v>
      </c>
      <c r="R641" t="s">
        <v>3304</v>
      </c>
      <c r="S641">
        <v>56.209468719999997</v>
      </c>
    </row>
    <row r="642" spans="8:19">
      <c r="H642" t="s">
        <v>903</v>
      </c>
      <c r="I642">
        <v>23</v>
      </c>
      <c r="J642" t="s">
        <v>248</v>
      </c>
      <c r="K642">
        <v>220</v>
      </c>
      <c r="L642">
        <v>1</v>
      </c>
      <c r="M642">
        <v>3</v>
      </c>
      <c r="N642">
        <v>39.161000000000001</v>
      </c>
      <c r="O642" t="s">
        <v>6617</v>
      </c>
      <c r="P642" t="s">
        <v>6586</v>
      </c>
      <c r="Q642">
        <v>1.0325599999999999</v>
      </c>
      <c r="R642" t="s">
        <v>3304</v>
      </c>
      <c r="S642">
        <v>40.436082159999998</v>
      </c>
    </row>
    <row r="643" spans="8:19">
      <c r="H643" t="s">
        <v>903</v>
      </c>
      <c r="I643">
        <v>23</v>
      </c>
      <c r="J643" t="s">
        <v>248</v>
      </c>
      <c r="K643">
        <v>220</v>
      </c>
      <c r="L643">
        <v>1</v>
      </c>
      <c r="M643">
        <v>4</v>
      </c>
      <c r="N643">
        <v>38.674999999999997</v>
      </c>
      <c r="O643" t="s">
        <v>6617</v>
      </c>
      <c r="P643" t="s">
        <v>6586</v>
      </c>
      <c r="Q643">
        <v>1.0325599999999999</v>
      </c>
      <c r="R643" t="s">
        <v>3304</v>
      </c>
      <c r="S643">
        <v>39.934257999999993</v>
      </c>
    </row>
    <row r="644" spans="8:19">
      <c r="H644" t="s">
        <v>903</v>
      </c>
      <c r="I644">
        <v>23</v>
      </c>
      <c r="J644" t="s">
        <v>248</v>
      </c>
      <c r="K644">
        <v>220</v>
      </c>
      <c r="L644">
        <v>1</v>
      </c>
      <c r="M644">
        <v>5</v>
      </c>
      <c r="N644">
        <v>49.055</v>
      </c>
      <c r="O644" t="s">
        <v>6617</v>
      </c>
      <c r="P644" t="s">
        <v>6586</v>
      </c>
      <c r="Q644">
        <v>1.0325599999999999</v>
      </c>
      <c r="R644" t="s">
        <v>3304</v>
      </c>
      <c r="S644">
        <v>50.652230799999998</v>
      </c>
    </row>
    <row r="645" spans="8:19">
      <c r="H645" t="s">
        <v>903</v>
      </c>
      <c r="I645">
        <v>23</v>
      </c>
      <c r="J645" t="s">
        <v>248</v>
      </c>
      <c r="K645">
        <v>220</v>
      </c>
      <c r="L645">
        <v>1</v>
      </c>
      <c r="M645">
        <v>6</v>
      </c>
      <c r="N645">
        <v>58.87</v>
      </c>
      <c r="O645" t="s">
        <v>6617</v>
      </c>
      <c r="P645" t="s">
        <v>6586</v>
      </c>
      <c r="Q645">
        <v>1.0325599999999999</v>
      </c>
      <c r="R645" t="s">
        <v>3304</v>
      </c>
      <c r="S645">
        <v>60.786807199999991</v>
      </c>
    </row>
    <row r="646" spans="8:19">
      <c r="H646" t="s">
        <v>903</v>
      </c>
      <c r="I646">
        <v>23</v>
      </c>
      <c r="J646" t="s">
        <v>248</v>
      </c>
      <c r="K646">
        <v>220</v>
      </c>
      <c r="L646">
        <v>1</v>
      </c>
      <c r="M646">
        <v>1</v>
      </c>
      <c r="N646">
        <v>65.05</v>
      </c>
      <c r="O646" t="s">
        <v>6485</v>
      </c>
      <c r="P646" t="s">
        <v>6586</v>
      </c>
      <c r="Q646">
        <v>1.0325599999999999</v>
      </c>
      <c r="R646" t="s">
        <v>3304</v>
      </c>
      <c r="S646">
        <v>67.168027999999993</v>
      </c>
    </row>
    <row r="647" spans="8:19">
      <c r="H647" t="s">
        <v>903</v>
      </c>
      <c r="I647">
        <v>23</v>
      </c>
      <c r="J647" t="s">
        <v>248</v>
      </c>
      <c r="K647">
        <v>220</v>
      </c>
      <c r="L647">
        <v>1</v>
      </c>
      <c r="M647">
        <v>2</v>
      </c>
      <c r="N647">
        <v>60.055999999999997</v>
      </c>
      <c r="O647" t="s">
        <v>6485</v>
      </c>
      <c r="P647" t="s">
        <v>6586</v>
      </c>
      <c r="Q647">
        <v>1.0325599999999999</v>
      </c>
      <c r="R647" t="s">
        <v>3304</v>
      </c>
      <c r="S647">
        <v>62.011423359999988</v>
      </c>
    </row>
    <row r="648" spans="8:19">
      <c r="H648" t="s">
        <v>903</v>
      </c>
      <c r="I648">
        <v>23</v>
      </c>
      <c r="J648" t="s">
        <v>248</v>
      </c>
      <c r="K648">
        <v>220</v>
      </c>
      <c r="L648">
        <v>1</v>
      </c>
      <c r="M648">
        <v>3</v>
      </c>
      <c r="N648">
        <v>33.075000000000003</v>
      </c>
      <c r="O648" t="s">
        <v>6485</v>
      </c>
      <c r="P648" t="s">
        <v>6586</v>
      </c>
      <c r="Q648">
        <v>1.0325599999999999</v>
      </c>
      <c r="R648" t="s">
        <v>3304</v>
      </c>
      <c r="S648">
        <v>34.151921999999999</v>
      </c>
    </row>
    <row r="649" spans="8:19">
      <c r="H649" t="s">
        <v>903</v>
      </c>
      <c r="I649">
        <v>23</v>
      </c>
      <c r="J649" t="s">
        <v>248</v>
      </c>
      <c r="K649">
        <v>220</v>
      </c>
      <c r="L649">
        <v>1</v>
      </c>
      <c r="M649">
        <v>4</v>
      </c>
      <c r="N649">
        <v>32.075000000000003</v>
      </c>
      <c r="O649" t="s">
        <v>6485</v>
      </c>
      <c r="P649" t="s">
        <v>6586</v>
      </c>
      <c r="Q649">
        <v>1.0325599999999999</v>
      </c>
      <c r="R649" t="s">
        <v>3304</v>
      </c>
      <c r="S649">
        <v>33.119362000000002</v>
      </c>
    </row>
    <row r="650" spans="8:19">
      <c r="H650" t="s">
        <v>903</v>
      </c>
      <c r="I650">
        <v>23</v>
      </c>
      <c r="J650" t="s">
        <v>248</v>
      </c>
      <c r="K650">
        <v>220</v>
      </c>
      <c r="L650">
        <v>1</v>
      </c>
      <c r="M650">
        <v>5</v>
      </c>
      <c r="N650">
        <v>50.77</v>
      </c>
      <c r="O650" t="s">
        <v>6485</v>
      </c>
      <c r="P650" t="s">
        <v>6586</v>
      </c>
      <c r="Q650">
        <v>1.0325599999999999</v>
      </c>
      <c r="R650" t="s">
        <v>3304</v>
      </c>
      <c r="S650">
        <v>52.423071200000003</v>
      </c>
    </row>
    <row r="651" spans="8:19">
      <c r="H651" t="s">
        <v>903</v>
      </c>
      <c r="I651">
        <v>23</v>
      </c>
      <c r="J651" t="s">
        <v>248</v>
      </c>
      <c r="K651">
        <v>220</v>
      </c>
      <c r="L651">
        <v>1</v>
      </c>
      <c r="M651">
        <v>6</v>
      </c>
      <c r="N651">
        <v>78.662999999999997</v>
      </c>
      <c r="O651" t="s">
        <v>6485</v>
      </c>
      <c r="P651" t="s">
        <v>6586</v>
      </c>
      <c r="Q651">
        <v>1.0325599999999999</v>
      </c>
      <c r="R651" t="s">
        <v>3304</v>
      </c>
      <c r="S651">
        <v>81.224267279999992</v>
      </c>
    </row>
    <row r="652" spans="8:19">
      <c r="H652" t="s">
        <v>1056</v>
      </c>
      <c r="I652">
        <v>23</v>
      </c>
      <c r="J652" t="s">
        <v>218</v>
      </c>
      <c r="K652">
        <v>220</v>
      </c>
      <c r="L652">
        <v>0.17054</v>
      </c>
      <c r="M652">
        <v>1</v>
      </c>
      <c r="N652">
        <v>53.277000000000001</v>
      </c>
      <c r="O652" t="s">
        <v>6617</v>
      </c>
      <c r="P652" t="s">
        <v>6586</v>
      </c>
      <c r="Q652">
        <v>1.0325599999999999</v>
      </c>
      <c r="R652" t="s">
        <v>3304</v>
      </c>
      <c r="S652">
        <v>9.3816951679247982</v>
      </c>
    </row>
    <row r="653" spans="8:19">
      <c r="H653" t="s">
        <v>1056</v>
      </c>
      <c r="I653">
        <v>23</v>
      </c>
      <c r="J653" t="s">
        <v>218</v>
      </c>
      <c r="K653">
        <v>220</v>
      </c>
      <c r="L653">
        <v>0.17054</v>
      </c>
      <c r="M653">
        <v>2</v>
      </c>
      <c r="N653">
        <v>53.445999999999998</v>
      </c>
      <c r="O653" t="s">
        <v>6617</v>
      </c>
      <c r="P653" t="s">
        <v>6586</v>
      </c>
      <c r="Q653">
        <v>1.0325599999999999</v>
      </c>
      <c r="R653" t="s">
        <v>3304</v>
      </c>
      <c r="S653">
        <v>9.4114548481503988</v>
      </c>
    </row>
    <row r="654" spans="8:19">
      <c r="H654" t="s">
        <v>1056</v>
      </c>
      <c r="I654">
        <v>23</v>
      </c>
      <c r="J654" t="s">
        <v>218</v>
      </c>
      <c r="K654">
        <v>220</v>
      </c>
      <c r="L654">
        <v>0.17054</v>
      </c>
      <c r="M654">
        <v>3</v>
      </c>
      <c r="N654">
        <v>39.104999999999997</v>
      </c>
      <c r="O654" t="s">
        <v>6617</v>
      </c>
      <c r="P654" t="s">
        <v>6586</v>
      </c>
      <c r="Q654">
        <v>1.0325599999999999</v>
      </c>
      <c r="R654" t="s">
        <v>3304</v>
      </c>
      <c r="S654">
        <v>6.8861082557519993</v>
      </c>
    </row>
    <row r="655" spans="8:19">
      <c r="H655" t="s">
        <v>1056</v>
      </c>
      <c r="I655">
        <v>23</v>
      </c>
      <c r="J655" t="s">
        <v>218</v>
      </c>
      <c r="K655">
        <v>220</v>
      </c>
      <c r="L655">
        <v>0.17054</v>
      </c>
      <c r="M655">
        <v>4</v>
      </c>
      <c r="N655">
        <v>38.667000000000002</v>
      </c>
      <c r="O655" t="s">
        <v>6617</v>
      </c>
      <c r="P655" t="s">
        <v>6586</v>
      </c>
      <c r="Q655">
        <v>1.0325599999999999</v>
      </c>
      <c r="R655" t="s">
        <v>3304</v>
      </c>
      <c r="S655">
        <v>6.8089796170607997</v>
      </c>
    </row>
    <row r="656" spans="8:19">
      <c r="H656" t="s">
        <v>1056</v>
      </c>
      <c r="I656">
        <v>23</v>
      </c>
      <c r="J656" t="s">
        <v>218</v>
      </c>
      <c r="K656">
        <v>220</v>
      </c>
      <c r="L656">
        <v>0.17054</v>
      </c>
      <c r="M656">
        <v>5</v>
      </c>
      <c r="N656">
        <v>49.026000000000003</v>
      </c>
      <c r="O656" t="s">
        <v>6617</v>
      </c>
      <c r="P656" t="s">
        <v>6586</v>
      </c>
      <c r="Q656">
        <v>1.0325599999999999</v>
      </c>
      <c r="R656" t="s">
        <v>3304</v>
      </c>
      <c r="S656">
        <v>8.6331247499423984</v>
      </c>
    </row>
    <row r="657" spans="8:19">
      <c r="H657" t="s">
        <v>1056</v>
      </c>
      <c r="I657">
        <v>23</v>
      </c>
      <c r="J657" t="s">
        <v>218</v>
      </c>
      <c r="K657">
        <v>220</v>
      </c>
      <c r="L657">
        <v>0.17054</v>
      </c>
      <c r="M657">
        <v>6</v>
      </c>
      <c r="N657">
        <v>57.997</v>
      </c>
      <c r="O657" t="s">
        <v>6617</v>
      </c>
      <c r="P657" t="s">
        <v>6586</v>
      </c>
      <c r="Q657">
        <v>1.0325599999999999</v>
      </c>
      <c r="R657" t="s">
        <v>3304</v>
      </c>
      <c r="S657">
        <v>10.212853100852801</v>
      </c>
    </row>
    <row r="658" spans="8:19">
      <c r="H658" t="s">
        <v>1056</v>
      </c>
      <c r="I658">
        <v>23</v>
      </c>
      <c r="J658" t="s">
        <v>218</v>
      </c>
      <c r="K658">
        <v>220</v>
      </c>
      <c r="L658">
        <v>0.17054</v>
      </c>
      <c r="M658">
        <v>1</v>
      </c>
      <c r="N658">
        <v>63.264000000000003</v>
      </c>
      <c r="O658" t="s">
        <v>6485</v>
      </c>
      <c r="P658" t="s">
        <v>6586</v>
      </c>
      <c r="Q658">
        <v>1.0325599999999999</v>
      </c>
      <c r="R658" t="s">
        <v>3304</v>
      </c>
      <c r="S658">
        <v>11.140333785753599</v>
      </c>
    </row>
    <row r="659" spans="8:19">
      <c r="H659" t="s">
        <v>1056</v>
      </c>
      <c r="I659">
        <v>23</v>
      </c>
      <c r="J659" t="s">
        <v>218</v>
      </c>
      <c r="K659">
        <v>220</v>
      </c>
      <c r="L659">
        <v>0.17054</v>
      </c>
      <c r="M659">
        <v>2</v>
      </c>
      <c r="N659">
        <v>58.51</v>
      </c>
      <c r="O659" t="s">
        <v>6485</v>
      </c>
      <c r="P659" t="s">
        <v>6586</v>
      </c>
      <c r="Q659">
        <v>1.0325599999999999</v>
      </c>
      <c r="R659" t="s">
        <v>3304</v>
      </c>
      <c r="S659">
        <v>10.303188698224</v>
      </c>
    </row>
    <row r="660" spans="8:19">
      <c r="H660" t="s">
        <v>1056</v>
      </c>
      <c r="I660">
        <v>23</v>
      </c>
      <c r="J660" t="s">
        <v>218</v>
      </c>
      <c r="K660">
        <v>220</v>
      </c>
      <c r="L660">
        <v>0.17054</v>
      </c>
      <c r="M660">
        <v>3</v>
      </c>
      <c r="N660">
        <v>32.847999999999999</v>
      </c>
      <c r="O660" t="s">
        <v>6485</v>
      </c>
      <c r="P660" t="s">
        <v>6586</v>
      </c>
      <c r="Q660">
        <v>1.0325599999999999</v>
      </c>
      <c r="R660" t="s">
        <v>3304</v>
      </c>
      <c r="S660">
        <v>5.7842957162751993</v>
      </c>
    </row>
    <row r="661" spans="8:19">
      <c r="H661" t="s">
        <v>1056</v>
      </c>
      <c r="I661">
        <v>23</v>
      </c>
      <c r="J661" t="s">
        <v>218</v>
      </c>
      <c r="K661">
        <v>220</v>
      </c>
      <c r="L661">
        <v>0.17054</v>
      </c>
      <c r="M661">
        <v>4</v>
      </c>
      <c r="N661">
        <v>32.058</v>
      </c>
      <c r="O661" t="s">
        <v>6485</v>
      </c>
      <c r="P661" t="s">
        <v>6586</v>
      </c>
      <c r="Q661">
        <v>1.0325599999999999</v>
      </c>
      <c r="R661" t="s">
        <v>3304</v>
      </c>
      <c r="S661">
        <v>5.6451824181791999</v>
      </c>
    </row>
    <row r="662" spans="8:19">
      <c r="H662" t="s">
        <v>1056</v>
      </c>
      <c r="I662">
        <v>23</v>
      </c>
      <c r="J662" t="s">
        <v>218</v>
      </c>
      <c r="K662">
        <v>220</v>
      </c>
      <c r="L662">
        <v>0.17054</v>
      </c>
      <c r="M662">
        <v>5</v>
      </c>
      <c r="N662">
        <v>50.432000000000002</v>
      </c>
      <c r="O662" t="s">
        <v>6485</v>
      </c>
      <c r="P662" t="s">
        <v>6586</v>
      </c>
      <c r="Q662">
        <v>1.0325599999999999</v>
      </c>
      <c r="R662" t="s">
        <v>3304</v>
      </c>
      <c r="S662">
        <v>8.8807112019967995</v>
      </c>
    </row>
    <row r="663" spans="8:19">
      <c r="H663" t="s">
        <v>1056</v>
      </c>
      <c r="I663">
        <v>23</v>
      </c>
      <c r="J663" t="s">
        <v>218</v>
      </c>
      <c r="K663">
        <v>220</v>
      </c>
      <c r="L663">
        <v>0.17054</v>
      </c>
      <c r="M663">
        <v>6</v>
      </c>
      <c r="N663">
        <v>76.081000000000003</v>
      </c>
      <c r="O663" t="s">
        <v>6485</v>
      </c>
      <c r="P663" t="s">
        <v>6586</v>
      </c>
      <c r="Q663">
        <v>1.0325599999999999</v>
      </c>
      <c r="R663" t="s">
        <v>3304</v>
      </c>
      <c r="S663">
        <v>13.3973149777744</v>
      </c>
    </row>
    <row r="664" spans="8:19">
      <c r="H664" t="s">
        <v>1056</v>
      </c>
      <c r="I664">
        <v>23</v>
      </c>
      <c r="J664" t="s">
        <v>248</v>
      </c>
      <c r="K664">
        <v>220</v>
      </c>
      <c r="L664">
        <v>0.82945999999999998</v>
      </c>
      <c r="M664">
        <v>1</v>
      </c>
      <c r="N664">
        <v>54.328000000000003</v>
      </c>
      <c r="O664" t="s">
        <v>6617</v>
      </c>
      <c r="P664" t="s">
        <v>6586</v>
      </c>
      <c r="Q664">
        <v>1.0325599999999999</v>
      </c>
      <c r="R664" t="s">
        <v>3304</v>
      </c>
      <c r="S664">
        <v>46.5301509977728</v>
      </c>
    </row>
    <row r="665" spans="8:19">
      <c r="H665" t="s">
        <v>1056</v>
      </c>
      <c r="I665">
        <v>23</v>
      </c>
      <c r="J665" t="s">
        <v>248</v>
      </c>
      <c r="K665">
        <v>220</v>
      </c>
      <c r="L665">
        <v>0.82945999999999998</v>
      </c>
      <c r="M665">
        <v>2</v>
      </c>
      <c r="N665">
        <v>54.436999999999998</v>
      </c>
      <c r="O665" t="s">
        <v>6617</v>
      </c>
      <c r="P665" t="s">
        <v>6586</v>
      </c>
      <c r="Q665">
        <v>1.0325599999999999</v>
      </c>
      <c r="R665" t="s">
        <v>3304</v>
      </c>
      <c r="S665">
        <v>46.623505924491191</v>
      </c>
    </row>
    <row r="666" spans="8:19">
      <c r="H666" t="s">
        <v>1056</v>
      </c>
      <c r="I666">
        <v>23</v>
      </c>
      <c r="J666" t="s">
        <v>248</v>
      </c>
      <c r="K666">
        <v>220</v>
      </c>
      <c r="L666">
        <v>0.82945999999999998</v>
      </c>
      <c r="M666">
        <v>3</v>
      </c>
      <c r="N666">
        <v>39.161000000000001</v>
      </c>
      <c r="O666" t="s">
        <v>6617</v>
      </c>
      <c r="P666" t="s">
        <v>6586</v>
      </c>
      <c r="Q666">
        <v>1.0325599999999999</v>
      </c>
      <c r="R666" t="s">
        <v>3304</v>
      </c>
      <c r="S666">
        <v>33.540112708433597</v>
      </c>
    </row>
    <row r="667" spans="8:19">
      <c r="H667" t="s">
        <v>1056</v>
      </c>
      <c r="I667">
        <v>23</v>
      </c>
      <c r="J667" t="s">
        <v>248</v>
      </c>
      <c r="K667">
        <v>220</v>
      </c>
      <c r="L667">
        <v>0.82945999999999998</v>
      </c>
      <c r="M667">
        <v>4</v>
      </c>
      <c r="N667">
        <v>38.674999999999997</v>
      </c>
      <c r="O667" t="s">
        <v>6617</v>
      </c>
      <c r="P667" t="s">
        <v>6586</v>
      </c>
      <c r="Q667">
        <v>1.0325599999999999</v>
      </c>
      <c r="R667" t="s">
        <v>3304</v>
      </c>
      <c r="S667">
        <v>33.123869640679992</v>
      </c>
    </row>
    <row r="668" spans="8:19">
      <c r="H668" t="s">
        <v>1056</v>
      </c>
      <c r="I668">
        <v>23</v>
      </c>
      <c r="J668" t="s">
        <v>248</v>
      </c>
      <c r="K668">
        <v>220</v>
      </c>
      <c r="L668">
        <v>0.82945999999999998</v>
      </c>
      <c r="M668">
        <v>5</v>
      </c>
      <c r="N668">
        <v>49.055</v>
      </c>
      <c r="O668" t="s">
        <v>6617</v>
      </c>
      <c r="P668" t="s">
        <v>6586</v>
      </c>
      <c r="Q668">
        <v>1.0325599999999999</v>
      </c>
      <c r="R668" t="s">
        <v>3304</v>
      </c>
      <c r="S668">
        <v>42.013999359367993</v>
      </c>
    </row>
    <row r="669" spans="8:19">
      <c r="H669" t="s">
        <v>1056</v>
      </c>
      <c r="I669">
        <v>23</v>
      </c>
      <c r="J669" t="s">
        <v>248</v>
      </c>
      <c r="K669">
        <v>220</v>
      </c>
      <c r="L669">
        <v>0.82945999999999998</v>
      </c>
      <c r="M669">
        <v>6</v>
      </c>
      <c r="N669">
        <v>58.87</v>
      </c>
      <c r="O669" t="s">
        <v>6617</v>
      </c>
      <c r="P669" t="s">
        <v>6586</v>
      </c>
      <c r="Q669">
        <v>1.0325599999999999</v>
      </c>
      <c r="R669" t="s">
        <v>3304</v>
      </c>
      <c r="S669">
        <v>50.420225100111999</v>
      </c>
    </row>
    <row r="670" spans="8:19">
      <c r="H670" t="s">
        <v>1056</v>
      </c>
      <c r="I670">
        <v>23</v>
      </c>
      <c r="J670" t="s">
        <v>248</v>
      </c>
      <c r="K670">
        <v>220</v>
      </c>
      <c r="L670">
        <v>0.82945999999999998</v>
      </c>
      <c r="M670">
        <v>1</v>
      </c>
      <c r="N670">
        <v>65.05</v>
      </c>
      <c r="O670" t="s">
        <v>6485</v>
      </c>
      <c r="P670" t="s">
        <v>6586</v>
      </c>
      <c r="Q670">
        <v>1.0325599999999999</v>
      </c>
      <c r="R670" t="s">
        <v>3304</v>
      </c>
      <c r="S670">
        <v>55.713192504879999</v>
      </c>
    </row>
    <row r="671" spans="8:19">
      <c r="H671" t="s">
        <v>1056</v>
      </c>
      <c r="I671">
        <v>23</v>
      </c>
      <c r="J671" t="s">
        <v>248</v>
      </c>
      <c r="K671">
        <v>220</v>
      </c>
      <c r="L671">
        <v>0.82945999999999998</v>
      </c>
      <c r="M671">
        <v>2</v>
      </c>
      <c r="N671">
        <v>60.055999999999997</v>
      </c>
      <c r="O671" t="s">
        <v>6485</v>
      </c>
      <c r="P671" t="s">
        <v>6586</v>
      </c>
      <c r="Q671">
        <v>1.0325599999999999</v>
      </c>
      <c r="R671" t="s">
        <v>3304</v>
      </c>
      <c r="S671">
        <v>51.435995220185589</v>
      </c>
    </row>
    <row r="672" spans="8:19">
      <c r="H672" t="s">
        <v>1056</v>
      </c>
      <c r="I672">
        <v>23</v>
      </c>
      <c r="J672" t="s">
        <v>248</v>
      </c>
      <c r="K672">
        <v>220</v>
      </c>
      <c r="L672">
        <v>0.82945999999999998</v>
      </c>
      <c r="M672">
        <v>3</v>
      </c>
      <c r="N672">
        <v>33.075000000000003</v>
      </c>
      <c r="O672" t="s">
        <v>6485</v>
      </c>
      <c r="P672" t="s">
        <v>6586</v>
      </c>
      <c r="Q672">
        <v>1.0325599999999999</v>
      </c>
      <c r="R672" t="s">
        <v>3304</v>
      </c>
      <c r="S672">
        <v>28.327653222119999</v>
      </c>
    </row>
    <row r="673" spans="8:19">
      <c r="H673" t="s">
        <v>1056</v>
      </c>
      <c r="I673">
        <v>23</v>
      </c>
      <c r="J673" t="s">
        <v>248</v>
      </c>
      <c r="K673">
        <v>220</v>
      </c>
      <c r="L673">
        <v>0.82945999999999998</v>
      </c>
      <c r="M673">
        <v>4</v>
      </c>
      <c r="N673">
        <v>32.075000000000003</v>
      </c>
      <c r="O673" t="s">
        <v>6485</v>
      </c>
      <c r="P673" t="s">
        <v>6586</v>
      </c>
      <c r="Q673">
        <v>1.0325599999999999</v>
      </c>
      <c r="R673" t="s">
        <v>3304</v>
      </c>
      <c r="S673">
        <v>27.47118600452</v>
      </c>
    </row>
    <row r="674" spans="8:19">
      <c r="H674" t="s">
        <v>1056</v>
      </c>
      <c r="I674">
        <v>23</v>
      </c>
      <c r="J674" t="s">
        <v>248</v>
      </c>
      <c r="K674">
        <v>220</v>
      </c>
      <c r="L674">
        <v>0.82945999999999998</v>
      </c>
      <c r="M674">
        <v>5</v>
      </c>
      <c r="N674">
        <v>50.77</v>
      </c>
      <c r="O674" t="s">
        <v>6485</v>
      </c>
      <c r="P674" t="s">
        <v>6586</v>
      </c>
      <c r="Q674">
        <v>1.0325599999999999</v>
      </c>
      <c r="R674" t="s">
        <v>3304</v>
      </c>
      <c r="S674">
        <v>43.482840637551988</v>
      </c>
    </row>
    <row r="675" spans="8:19">
      <c r="H675" t="s">
        <v>1056</v>
      </c>
      <c r="I675">
        <v>23</v>
      </c>
      <c r="J675" t="s">
        <v>248</v>
      </c>
      <c r="K675">
        <v>220</v>
      </c>
      <c r="L675">
        <v>0.82945999999999998</v>
      </c>
      <c r="M675">
        <v>6</v>
      </c>
      <c r="N675">
        <v>78.662999999999997</v>
      </c>
      <c r="O675" t="s">
        <v>6485</v>
      </c>
      <c r="P675" t="s">
        <v>6586</v>
      </c>
      <c r="Q675">
        <v>1.0325599999999999</v>
      </c>
      <c r="R675" t="s">
        <v>3304</v>
      </c>
      <c r="S675">
        <v>67.372280738068795</v>
      </c>
    </row>
    <row r="676" spans="8:19">
      <c r="H676" t="s">
        <v>1077</v>
      </c>
      <c r="I676">
        <v>13</v>
      </c>
      <c r="J676" t="s">
        <v>14</v>
      </c>
      <c r="K676">
        <v>220</v>
      </c>
      <c r="L676">
        <v>0.10741199999999999</v>
      </c>
      <c r="M676">
        <v>1</v>
      </c>
      <c r="N676">
        <v>56.027999999999999</v>
      </c>
      <c r="O676" t="s">
        <v>6617</v>
      </c>
      <c r="P676" t="s">
        <v>6586</v>
      </c>
      <c r="Q676">
        <v>1.0163</v>
      </c>
      <c r="R676" t="s">
        <v>3302</v>
      </c>
      <c r="S676">
        <v>6.1161742324367987</v>
      </c>
    </row>
    <row r="677" spans="8:19">
      <c r="H677" t="s">
        <v>1077</v>
      </c>
      <c r="I677">
        <v>13</v>
      </c>
      <c r="J677" t="s">
        <v>14</v>
      </c>
      <c r="K677">
        <v>220</v>
      </c>
      <c r="L677">
        <v>0.10741199999999999</v>
      </c>
      <c r="M677">
        <v>2</v>
      </c>
      <c r="N677">
        <v>56.122999999999998</v>
      </c>
      <c r="O677" t="s">
        <v>6617</v>
      </c>
      <c r="P677" t="s">
        <v>6586</v>
      </c>
      <c r="Q677">
        <v>1.0163</v>
      </c>
      <c r="R677" t="s">
        <v>3302</v>
      </c>
      <c r="S677">
        <v>6.1265446999187994</v>
      </c>
    </row>
    <row r="678" spans="8:19">
      <c r="H678" t="s">
        <v>1077</v>
      </c>
      <c r="I678">
        <v>13</v>
      </c>
      <c r="J678" t="s">
        <v>14</v>
      </c>
      <c r="K678">
        <v>220</v>
      </c>
      <c r="L678">
        <v>0.10741199999999999</v>
      </c>
      <c r="M678">
        <v>3</v>
      </c>
      <c r="N678">
        <v>39.145000000000003</v>
      </c>
      <c r="O678" t="s">
        <v>6617</v>
      </c>
      <c r="P678" t="s">
        <v>6586</v>
      </c>
      <c r="Q678">
        <v>1.0163</v>
      </c>
      <c r="R678" t="s">
        <v>3302</v>
      </c>
      <c r="S678">
        <v>4.2731784166619997</v>
      </c>
    </row>
    <row r="679" spans="8:19">
      <c r="H679" t="s">
        <v>1077</v>
      </c>
      <c r="I679">
        <v>13</v>
      </c>
      <c r="J679" t="s">
        <v>14</v>
      </c>
      <c r="K679">
        <v>220</v>
      </c>
      <c r="L679">
        <v>0.10741199999999999</v>
      </c>
      <c r="M679">
        <v>4</v>
      </c>
      <c r="N679">
        <v>38.646999999999998</v>
      </c>
      <c r="O679" t="s">
        <v>6617</v>
      </c>
      <c r="P679" t="s">
        <v>6586</v>
      </c>
      <c r="Q679">
        <v>1.0163</v>
      </c>
      <c r="R679" t="s">
        <v>3302</v>
      </c>
      <c r="S679">
        <v>4.2188153344931987</v>
      </c>
    </row>
    <row r="680" spans="8:19">
      <c r="H680" t="s">
        <v>1077</v>
      </c>
      <c r="I680">
        <v>13</v>
      </c>
      <c r="J680" t="s">
        <v>14</v>
      </c>
      <c r="K680">
        <v>220</v>
      </c>
      <c r="L680">
        <v>0.10741199999999999</v>
      </c>
      <c r="M680">
        <v>5</v>
      </c>
      <c r="N680">
        <v>49.831000000000003</v>
      </c>
      <c r="O680" t="s">
        <v>6617</v>
      </c>
      <c r="P680" t="s">
        <v>6586</v>
      </c>
      <c r="Q680">
        <v>1.0163</v>
      </c>
      <c r="R680" t="s">
        <v>3302</v>
      </c>
      <c r="S680">
        <v>5.4396922641636003</v>
      </c>
    </row>
    <row r="681" spans="8:19">
      <c r="H681" t="s">
        <v>1077</v>
      </c>
      <c r="I681">
        <v>13</v>
      </c>
      <c r="J681" t="s">
        <v>14</v>
      </c>
      <c r="K681">
        <v>220</v>
      </c>
      <c r="L681">
        <v>0.10741199999999999</v>
      </c>
      <c r="M681">
        <v>6</v>
      </c>
      <c r="N681">
        <v>61.533000000000001</v>
      </c>
      <c r="O681" t="s">
        <v>6617</v>
      </c>
      <c r="P681" t="s">
        <v>6586</v>
      </c>
      <c r="Q681">
        <v>1.0163</v>
      </c>
      <c r="R681" t="s">
        <v>3302</v>
      </c>
      <c r="S681">
        <v>6.7171155323148</v>
      </c>
    </row>
    <row r="682" spans="8:19">
      <c r="H682" t="s">
        <v>1077</v>
      </c>
      <c r="I682">
        <v>13</v>
      </c>
      <c r="J682" t="s">
        <v>14</v>
      </c>
      <c r="K682">
        <v>220</v>
      </c>
      <c r="L682">
        <v>0.10741199999999999</v>
      </c>
      <c r="M682">
        <v>1</v>
      </c>
      <c r="N682">
        <v>70.548000000000002</v>
      </c>
      <c r="O682" t="s">
        <v>6485</v>
      </c>
      <c r="P682" t="s">
        <v>6586</v>
      </c>
      <c r="Q682">
        <v>1.0163</v>
      </c>
      <c r="R682" t="s">
        <v>3302</v>
      </c>
      <c r="S682">
        <v>7.7012183149487994</v>
      </c>
    </row>
    <row r="683" spans="8:19">
      <c r="H683" t="s">
        <v>1077</v>
      </c>
      <c r="I683">
        <v>13</v>
      </c>
      <c r="J683" t="s">
        <v>14</v>
      </c>
      <c r="K683">
        <v>220</v>
      </c>
      <c r="L683">
        <v>0.10741199999999999</v>
      </c>
      <c r="M683">
        <v>2</v>
      </c>
      <c r="N683">
        <v>63.55</v>
      </c>
      <c r="O683" t="s">
        <v>6485</v>
      </c>
      <c r="P683" t="s">
        <v>6586</v>
      </c>
      <c r="Q683">
        <v>1.0163</v>
      </c>
      <c r="R683" t="s">
        <v>3302</v>
      </c>
      <c r="S683">
        <v>6.9372969313799997</v>
      </c>
    </row>
    <row r="684" spans="8:19">
      <c r="H684" t="s">
        <v>1077</v>
      </c>
      <c r="I684">
        <v>13</v>
      </c>
      <c r="J684" t="s">
        <v>14</v>
      </c>
      <c r="K684">
        <v>220</v>
      </c>
      <c r="L684">
        <v>0.10741199999999999</v>
      </c>
      <c r="M684">
        <v>3</v>
      </c>
      <c r="N684">
        <v>32.978000000000002</v>
      </c>
      <c r="O684" t="s">
        <v>6485</v>
      </c>
      <c r="P684" t="s">
        <v>6586</v>
      </c>
      <c r="Q684">
        <v>1.0163</v>
      </c>
      <c r="R684" t="s">
        <v>3302</v>
      </c>
      <c r="S684">
        <v>3.5999713328567999</v>
      </c>
    </row>
    <row r="685" spans="8:19">
      <c r="H685" t="s">
        <v>1077</v>
      </c>
      <c r="I685">
        <v>13</v>
      </c>
      <c r="J685" t="s">
        <v>14</v>
      </c>
      <c r="K685">
        <v>220</v>
      </c>
      <c r="L685">
        <v>0.10741199999999999</v>
      </c>
      <c r="M685">
        <v>4</v>
      </c>
      <c r="N685">
        <v>31.867000000000001</v>
      </c>
      <c r="O685" t="s">
        <v>6485</v>
      </c>
      <c r="P685" t="s">
        <v>6586</v>
      </c>
      <c r="Q685">
        <v>1.0163</v>
      </c>
      <c r="R685" t="s">
        <v>3302</v>
      </c>
      <c r="S685">
        <v>3.4786914447252002</v>
      </c>
    </row>
    <row r="686" spans="8:19">
      <c r="H686" t="s">
        <v>1077</v>
      </c>
      <c r="I686">
        <v>13</v>
      </c>
      <c r="J686" t="s">
        <v>14</v>
      </c>
      <c r="K686">
        <v>220</v>
      </c>
      <c r="L686">
        <v>0.10741199999999999</v>
      </c>
      <c r="M686">
        <v>5</v>
      </c>
      <c r="N686">
        <v>51.658000000000001</v>
      </c>
      <c r="O686" t="s">
        <v>6485</v>
      </c>
      <c r="P686" t="s">
        <v>6586</v>
      </c>
      <c r="Q686">
        <v>1.0163</v>
      </c>
      <c r="R686" t="s">
        <v>3302</v>
      </c>
      <c r="S686">
        <v>5.6391327282647996</v>
      </c>
    </row>
    <row r="687" spans="8:19">
      <c r="H687" t="s">
        <v>1077</v>
      </c>
      <c r="I687">
        <v>13</v>
      </c>
      <c r="J687" t="s">
        <v>14</v>
      </c>
      <c r="K687">
        <v>220</v>
      </c>
      <c r="L687">
        <v>0.10741199999999999</v>
      </c>
      <c r="M687">
        <v>6</v>
      </c>
      <c r="N687">
        <v>88.040999999999997</v>
      </c>
      <c r="O687" t="s">
        <v>6485</v>
      </c>
      <c r="P687" t="s">
        <v>6586</v>
      </c>
      <c r="Q687">
        <v>1.0163</v>
      </c>
      <c r="R687" t="s">
        <v>3302</v>
      </c>
      <c r="S687">
        <v>9.610803448239599</v>
      </c>
    </row>
    <row r="688" spans="8:19">
      <c r="H688" t="s">
        <v>1077</v>
      </c>
      <c r="I688">
        <v>13</v>
      </c>
      <c r="J688" t="s">
        <v>589</v>
      </c>
      <c r="K688">
        <v>220</v>
      </c>
      <c r="L688">
        <v>0.10273400000000001</v>
      </c>
      <c r="M688">
        <v>1</v>
      </c>
      <c r="N688">
        <v>57.201999999999998</v>
      </c>
      <c r="O688" t="s">
        <v>6617</v>
      </c>
      <c r="P688" t="s">
        <v>6586</v>
      </c>
      <c r="Q688">
        <v>1.0163</v>
      </c>
      <c r="R688" t="s">
        <v>3302</v>
      </c>
      <c r="S688">
        <v>5.9723786893683997</v>
      </c>
    </row>
    <row r="689" spans="8:19">
      <c r="H689" t="s">
        <v>1077</v>
      </c>
      <c r="I689">
        <v>13</v>
      </c>
      <c r="J689" t="s">
        <v>589</v>
      </c>
      <c r="K689">
        <v>220</v>
      </c>
      <c r="L689">
        <v>0.10273400000000001</v>
      </c>
      <c r="M689">
        <v>2</v>
      </c>
      <c r="N689">
        <v>57.142000000000003</v>
      </c>
      <c r="O689" t="s">
        <v>6617</v>
      </c>
      <c r="P689" t="s">
        <v>6586</v>
      </c>
      <c r="Q689">
        <v>1.0163</v>
      </c>
      <c r="R689" t="s">
        <v>3302</v>
      </c>
      <c r="S689">
        <v>5.9661141755164007</v>
      </c>
    </row>
    <row r="690" spans="8:19">
      <c r="H690" t="s">
        <v>1077</v>
      </c>
      <c r="I690">
        <v>13</v>
      </c>
      <c r="J690" t="s">
        <v>589</v>
      </c>
      <c r="K690">
        <v>220</v>
      </c>
      <c r="L690">
        <v>0.10273400000000001</v>
      </c>
      <c r="M690">
        <v>3</v>
      </c>
      <c r="N690">
        <v>39.238</v>
      </c>
      <c r="O690" t="s">
        <v>6617</v>
      </c>
      <c r="P690" t="s">
        <v>6586</v>
      </c>
      <c r="Q690">
        <v>1.0163</v>
      </c>
      <c r="R690" t="s">
        <v>3302</v>
      </c>
      <c r="S690">
        <v>4.0967832420796002</v>
      </c>
    </row>
    <row r="691" spans="8:19">
      <c r="H691" t="s">
        <v>1077</v>
      </c>
      <c r="I691">
        <v>13</v>
      </c>
      <c r="J691" t="s">
        <v>589</v>
      </c>
      <c r="K691">
        <v>220</v>
      </c>
      <c r="L691">
        <v>0.10273400000000001</v>
      </c>
      <c r="M691">
        <v>4</v>
      </c>
      <c r="N691">
        <v>38.674999999999997</v>
      </c>
      <c r="O691" t="s">
        <v>6617</v>
      </c>
      <c r="P691" t="s">
        <v>6586</v>
      </c>
      <c r="Q691">
        <v>1.0163</v>
      </c>
      <c r="R691" t="s">
        <v>3302</v>
      </c>
      <c r="S691">
        <v>4.0380012204350004</v>
      </c>
    </row>
    <row r="692" spans="8:19">
      <c r="H692" t="s">
        <v>1077</v>
      </c>
      <c r="I692">
        <v>13</v>
      </c>
      <c r="J692" t="s">
        <v>589</v>
      </c>
      <c r="K692">
        <v>220</v>
      </c>
      <c r="L692">
        <v>0.10273400000000001</v>
      </c>
      <c r="M692">
        <v>5</v>
      </c>
      <c r="N692">
        <v>51.384999999999998</v>
      </c>
      <c r="O692" t="s">
        <v>6617</v>
      </c>
      <c r="P692" t="s">
        <v>6586</v>
      </c>
      <c r="Q692">
        <v>1.0163</v>
      </c>
      <c r="R692" t="s">
        <v>3302</v>
      </c>
      <c r="S692">
        <v>5.365034071417</v>
      </c>
    </row>
    <row r="693" spans="8:19">
      <c r="H693" t="s">
        <v>1077</v>
      </c>
      <c r="I693">
        <v>13</v>
      </c>
      <c r="J693" t="s">
        <v>589</v>
      </c>
      <c r="K693">
        <v>220</v>
      </c>
      <c r="L693">
        <v>0.10273400000000001</v>
      </c>
      <c r="M693">
        <v>6</v>
      </c>
      <c r="N693">
        <v>63.296999999999997</v>
      </c>
      <c r="O693" t="s">
        <v>6617</v>
      </c>
      <c r="P693" t="s">
        <v>6586</v>
      </c>
      <c r="Q693">
        <v>1.0163</v>
      </c>
      <c r="R693" t="s">
        <v>3302</v>
      </c>
      <c r="S693">
        <v>6.6087488881674004</v>
      </c>
    </row>
    <row r="694" spans="8:19">
      <c r="H694" t="s">
        <v>1077</v>
      </c>
      <c r="I694">
        <v>13</v>
      </c>
      <c r="J694" t="s">
        <v>589</v>
      </c>
      <c r="K694">
        <v>220</v>
      </c>
      <c r="L694">
        <v>0.10273400000000001</v>
      </c>
      <c r="M694">
        <v>1</v>
      </c>
      <c r="N694">
        <v>72.432000000000002</v>
      </c>
      <c r="O694" t="s">
        <v>6485</v>
      </c>
      <c r="P694" t="s">
        <v>6586</v>
      </c>
      <c r="Q694">
        <v>1.0163</v>
      </c>
      <c r="R694" t="s">
        <v>3302</v>
      </c>
      <c r="S694">
        <v>7.5625211221344006</v>
      </c>
    </row>
    <row r="695" spans="8:19">
      <c r="H695" t="s">
        <v>1077</v>
      </c>
      <c r="I695">
        <v>13</v>
      </c>
      <c r="J695" t="s">
        <v>589</v>
      </c>
      <c r="K695">
        <v>220</v>
      </c>
      <c r="L695">
        <v>0.10273400000000001</v>
      </c>
      <c r="M695">
        <v>2</v>
      </c>
      <c r="N695">
        <v>65.381</v>
      </c>
      <c r="O695" t="s">
        <v>6485</v>
      </c>
      <c r="P695" t="s">
        <v>6586</v>
      </c>
      <c r="Q695">
        <v>1.0163</v>
      </c>
      <c r="R695" t="s">
        <v>3302</v>
      </c>
      <c r="S695">
        <v>6.8263363359601996</v>
      </c>
    </row>
    <row r="696" spans="8:19">
      <c r="H696" t="s">
        <v>1077</v>
      </c>
      <c r="I696">
        <v>13</v>
      </c>
      <c r="J696" t="s">
        <v>589</v>
      </c>
      <c r="K696">
        <v>220</v>
      </c>
      <c r="L696">
        <v>0.10273400000000001</v>
      </c>
      <c r="M696">
        <v>3</v>
      </c>
      <c r="N696">
        <v>33.338000000000001</v>
      </c>
      <c r="O696" t="s">
        <v>6485</v>
      </c>
      <c r="P696" t="s">
        <v>6586</v>
      </c>
      <c r="Q696">
        <v>1.0163</v>
      </c>
      <c r="R696" t="s">
        <v>3302</v>
      </c>
      <c r="S696">
        <v>3.4807727132995998</v>
      </c>
    </row>
    <row r="697" spans="8:19">
      <c r="H697" t="s">
        <v>1077</v>
      </c>
      <c r="I697">
        <v>13</v>
      </c>
      <c r="J697" t="s">
        <v>589</v>
      </c>
      <c r="K697">
        <v>220</v>
      </c>
      <c r="L697">
        <v>0.10273400000000001</v>
      </c>
      <c r="M697">
        <v>4</v>
      </c>
      <c r="N697">
        <v>32.270000000000003</v>
      </c>
      <c r="O697" t="s">
        <v>6485</v>
      </c>
      <c r="P697" t="s">
        <v>6586</v>
      </c>
      <c r="Q697">
        <v>1.0163</v>
      </c>
      <c r="R697" t="s">
        <v>3302</v>
      </c>
      <c r="S697">
        <v>3.3692643667340012</v>
      </c>
    </row>
    <row r="698" spans="8:19">
      <c r="H698" t="s">
        <v>1077</v>
      </c>
      <c r="I698">
        <v>13</v>
      </c>
      <c r="J698" t="s">
        <v>589</v>
      </c>
      <c r="K698">
        <v>220</v>
      </c>
      <c r="L698">
        <v>0.10273400000000001</v>
      </c>
      <c r="M698">
        <v>5</v>
      </c>
      <c r="N698">
        <v>54.567999999999998</v>
      </c>
      <c r="O698" t="s">
        <v>6485</v>
      </c>
      <c r="P698" t="s">
        <v>6586</v>
      </c>
      <c r="Q698">
        <v>1.0163</v>
      </c>
      <c r="R698" t="s">
        <v>3302</v>
      </c>
      <c r="S698">
        <v>5.6973665312656001</v>
      </c>
    </row>
    <row r="699" spans="8:19">
      <c r="H699" t="s">
        <v>1077</v>
      </c>
      <c r="I699">
        <v>13</v>
      </c>
      <c r="J699" t="s">
        <v>589</v>
      </c>
      <c r="K699">
        <v>220</v>
      </c>
      <c r="L699">
        <v>0.10273400000000001</v>
      </c>
      <c r="M699">
        <v>6</v>
      </c>
      <c r="N699">
        <v>91.134</v>
      </c>
      <c r="O699" t="s">
        <v>6485</v>
      </c>
      <c r="P699" t="s">
        <v>6586</v>
      </c>
      <c r="Q699">
        <v>1.0163</v>
      </c>
      <c r="R699" t="s">
        <v>3302</v>
      </c>
      <c r="S699">
        <v>9.5151700898028011</v>
      </c>
    </row>
    <row r="700" spans="8:19">
      <c r="H700" t="s">
        <v>1077</v>
      </c>
      <c r="I700">
        <v>13</v>
      </c>
      <c r="J700" t="s">
        <v>911</v>
      </c>
      <c r="K700">
        <v>220</v>
      </c>
      <c r="L700">
        <v>0.144209</v>
      </c>
      <c r="M700">
        <v>1</v>
      </c>
      <c r="N700">
        <v>55.404000000000003</v>
      </c>
      <c r="O700" t="s">
        <v>6617</v>
      </c>
      <c r="P700" t="s">
        <v>6586</v>
      </c>
      <c r="Q700">
        <v>1.0163</v>
      </c>
      <c r="R700" t="s">
        <v>3302</v>
      </c>
      <c r="S700">
        <v>8.1199884496068009</v>
      </c>
    </row>
    <row r="701" spans="8:19">
      <c r="H701" t="s">
        <v>1077</v>
      </c>
      <c r="I701">
        <v>13</v>
      </c>
      <c r="J701" t="s">
        <v>911</v>
      </c>
      <c r="K701">
        <v>220</v>
      </c>
      <c r="L701">
        <v>0.144209</v>
      </c>
      <c r="M701">
        <v>2</v>
      </c>
      <c r="N701">
        <v>55.06</v>
      </c>
      <c r="O701" t="s">
        <v>6617</v>
      </c>
      <c r="P701" t="s">
        <v>6586</v>
      </c>
      <c r="Q701">
        <v>1.0163</v>
      </c>
      <c r="R701" t="s">
        <v>3302</v>
      </c>
      <c r="S701">
        <v>8.069571944902</v>
      </c>
    </row>
    <row r="702" spans="8:19">
      <c r="H702" t="s">
        <v>1077</v>
      </c>
      <c r="I702">
        <v>13</v>
      </c>
      <c r="J702" t="s">
        <v>911</v>
      </c>
      <c r="K702">
        <v>220</v>
      </c>
      <c r="L702">
        <v>0.144209</v>
      </c>
      <c r="M702">
        <v>3</v>
      </c>
      <c r="N702">
        <v>39.090000000000003</v>
      </c>
      <c r="O702" t="s">
        <v>6617</v>
      </c>
      <c r="P702" t="s">
        <v>6586</v>
      </c>
      <c r="Q702">
        <v>1.0163</v>
      </c>
      <c r="R702" t="s">
        <v>3302</v>
      </c>
      <c r="S702">
        <v>5.7290150259030002</v>
      </c>
    </row>
    <row r="703" spans="8:19">
      <c r="H703" t="s">
        <v>1077</v>
      </c>
      <c r="I703">
        <v>13</v>
      </c>
      <c r="J703" t="s">
        <v>911</v>
      </c>
      <c r="K703">
        <v>220</v>
      </c>
      <c r="L703">
        <v>0.144209</v>
      </c>
      <c r="M703">
        <v>4</v>
      </c>
      <c r="N703">
        <v>38.667999999999999</v>
      </c>
      <c r="O703" t="s">
        <v>6617</v>
      </c>
      <c r="P703" t="s">
        <v>6586</v>
      </c>
      <c r="Q703">
        <v>1.0163</v>
      </c>
      <c r="R703" t="s">
        <v>3302</v>
      </c>
      <c r="S703">
        <v>5.6671668718755992</v>
      </c>
    </row>
    <row r="704" spans="8:19">
      <c r="H704" t="s">
        <v>1077</v>
      </c>
      <c r="I704">
        <v>13</v>
      </c>
      <c r="J704" t="s">
        <v>911</v>
      </c>
      <c r="K704">
        <v>220</v>
      </c>
      <c r="L704">
        <v>0.144209</v>
      </c>
      <c r="M704">
        <v>5</v>
      </c>
      <c r="N704">
        <v>50.594000000000001</v>
      </c>
      <c r="O704" t="s">
        <v>6617</v>
      </c>
      <c r="P704" t="s">
        <v>6586</v>
      </c>
      <c r="Q704">
        <v>1.0163</v>
      </c>
      <c r="R704" t="s">
        <v>3302</v>
      </c>
      <c r="S704">
        <v>7.4150367413798</v>
      </c>
    </row>
    <row r="705" spans="8:19">
      <c r="H705" t="s">
        <v>1077</v>
      </c>
      <c r="I705">
        <v>13</v>
      </c>
      <c r="J705" t="s">
        <v>911</v>
      </c>
      <c r="K705">
        <v>220</v>
      </c>
      <c r="L705">
        <v>0.144209</v>
      </c>
      <c r="M705">
        <v>6</v>
      </c>
      <c r="N705">
        <v>61.845999999999997</v>
      </c>
      <c r="O705" t="s">
        <v>6617</v>
      </c>
      <c r="P705" t="s">
        <v>6586</v>
      </c>
      <c r="Q705">
        <v>1.0163</v>
      </c>
      <c r="R705" t="s">
        <v>3302</v>
      </c>
      <c r="S705">
        <v>9.0641254359681991</v>
      </c>
    </row>
    <row r="706" spans="8:19">
      <c r="H706" t="s">
        <v>1077</v>
      </c>
      <c r="I706">
        <v>13</v>
      </c>
      <c r="J706" t="s">
        <v>911</v>
      </c>
      <c r="K706">
        <v>220</v>
      </c>
      <c r="L706">
        <v>0.144209</v>
      </c>
      <c r="M706">
        <v>1</v>
      </c>
      <c r="N706">
        <v>70.549000000000007</v>
      </c>
      <c r="O706" t="s">
        <v>6485</v>
      </c>
      <c r="P706" t="s">
        <v>6586</v>
      </c>
      <c r="Q706">
        <v>1.0163</v>
      </c>
      <c r="R706" t="s">
        <v>3302</v>
      </c>
      <c r="S706">
        <v>10.3396336930783</v>
      </c>
    </row>
    <row r="707" spans="8:19">
      <c r="H707" t="s">
        <v>1077</v>
      </c>
      <c r="I707">
        <v>13</v>
      </c>
      <c r="J707" t="s">
        <v>911</v>
      </c>
      <c r="K707">
        <v>220</v>
      </c>
      <c r="L707">
        <v>0.144209</v>
      </c>
      <c r="M707">
        <v>2</v>
      </c>
      <c r="N707">
        <v>62.8</v>
      </c>
      <c r="O707" t="s">
        <v>6485</v>
      </c>
      <c r="P707" t="s">
        <v>6586</v>
      </c>
      <c r="Q707">
        <v>1.0163</v>
      </c>
      <c r="R707" t="s">
        <v>3302</v>
      </c>
      <c r="S707">
        <v>9.2039433007599989</v>
      </c>
    </row>
    <row r="708" spans="8:19">
      <c r="H708" t="s">
        <v>1077</v>
      </c>
      <c r="I708">
        <v>13</v>
      </c>
      <c r="J708" t="s">
        <v>911</v>
      </c>
      <c r="K708">
        <v>220</v>
      </c>
      <c r="L708">
        <v>0.144209</v>
      </c>
      <c r="M708">
        <v>3</v>
      </c>
      <c r="N708">
        <v>32.857999999999997</v>
      </c>
      <c r="O708" t="s">
        <v>6485</v>
      </c>
      <c r="P708" t="s">
        <v>6586</v>
      </c>
      <c r="Q708">
        <v>1.0163</v>
      </c>
      <c r="R708" t="s">
        <v>3302</v>
      </c>
      <c r="S708">
        <v>4.8156555569485997</v>
      </c>
    </row>
    <row r="709" spans="8:19">
      <c r="H709" t="s">
        <v>1077</v>
      </c>
      <c r="I709">
        <v>13</v>
      </c>
      <c r="J709" t="s">
        <v>911</v>
      </c>
      <c r="K709">
        <v>220</v>
      </c>
      <c r="L709">
        <v>0.144209</v>
      </c>
      <c r="M709">
        <v>4</v>
      </c>
      <c r="N709">
        <v>32.343000000000004</v>
      </c>
      <c r="O709" t="s">
        <v>6485</v>
      </c>
      <c r="P709" t="s">
        <v>6586</v>
      </c>
      <c r="Q709">
        <v>1.0163</v>
      </c>
      <c r="R709" t="s">
        <v>3302</v>
      </c>
      <c r="S709">
        <v>4.7401773594981007</v>
      </c>
    </row>
    <row r="710" spans="8:19">
      <c r="H710" t="s">
        <v>1077</v>
      </c>
      <c r="I710">
        <v>13</v>
      </c>
      <c r="J710" t="s">
        <v>911</v>
      </c>
      <c r="K710">
        <v>220</v>
      </c>
      <c r="L710">
        <v>0.144209</v>
      </c>
      <c r="M710">
        <v>5</v>
      </c>
      <c r="N710">
        <v>54.238999999999997</v>
      </c>
      <c r="O710" t="s">
        <v>6485</v>
      </c>
      <c r="P710" t="s">
        <v>6586</v>
      </c>
      <c r="Q710">
        <v>1.0163</v>
      </c>
      <c r="R710" t="s">
        <v>3302</v>
      </c>
      <c r="S710">
        <v>7.9492465078012993</v>
      </c>
    </row>
    <row r="711" spans="8:19">
      <c r="H711" t="s">
        <v>1077</v>
      </c>
      <c r="I711">
        <v>13</v>
      </c>
      <c r="J711" t="s">
        <v>911</v>
      </c>
      <c r="K711">
        <v>220</v>
      </c>
      <c r="L711">
        <v>0.144209</v>
      </c>
      <c r="M711">
        <v>6</v>
      </c>
      <c r="N711">
        <v>90.197999999999993</v>
      </c>
      <c r="O711" t="s">
        <v>6485</v>
      </c>
      <c r="P711" t="s">
        <v>6586</v>
      </c>
      <c r="Q711">
        <v>1.0163</v>
      </c>
      <c r="R711" t="s">
        <v>3302</v>
      </c>
      <c r="S711">
        <v>13.219383405126599</v>
      </c>
    </row>
    <row r="712" spans="8:19">
      <c r="H712" t="s">
        <v>1077</v>
      </c>
      <c r="I712">
        <v>13</v>
      </c>
      <c r="J712" t="s">
        <v>1151</v>
      </c>
      <c r="K712">
        <v>220</v>
      </c>
      <c r="L712">
        <v>0.64564500000000002</v>
      </c>
      <c r="M712">
        <v>1</v>
      </c>
      <c r="N712">
        <v>55.87</v>
      </c>
      <c r="O712" t="s">
        <v>6617</v>
      </c>
      <c r="P712" t="s">
        <v>6586</v>
      </c>
      <c r="Q712">
        <v>1.0163</v>
      </c>
      <c r="R712" t="s">
        <v>3302</v>
      </c>
      <c r="S712">
        <v>36.660162784245003</v>
      </c>
    </row>
    <row r="713" spans="8:19">
      <c r="H713" t="s">
        <v>1077</v>
      </c>
      <c r="I713">
        <v>13</v>
      </c>
      <c r="J713" t="s">
        <v>1151</v>
      </c>
      <c r="K713">
        <v>220</v>
      </c>
      <c r="L713">
        <v>0.64564500000000002</v>
      </c>
      <c r="M713">
        <v>2</v>
      </c>
      <c r="N713">
        <v>55.997999999999998</v>
      </c>
      <c r="O713" t="s">
        <v>6617</v>
      </c>
      <c r="P713" t="s">
        <v>6586</v>
      </c>
      <c r="Q713">
        <v>1.0163</v>
      </c>
      <c r="R713" t="s">
        <v>3302</v>
      </c>
      <c r="S713">
        <v>36.744152417972998</v>
      </c>
    </row>
    <row r="714" spans="8:19">
      <c r="H714" t="s">
        <v>1077</v>
      </c>
      <c r="I714">
        <v>13</v>
      </c>
      <c r="J714" t="s">
        <v>1151</v>
      </c>
      <c r="K714">
        <v>220</v>
      </c>
      <c r="L714">
        <v>0.64564500000000002</v>
      </c>
      <c r="M714">
        <v>3</v>
      </c>
      <c r="N714">
        <v>39.122999999999998</v>
      </c>
      <c r="O714" t="s">
        <v>6617</v>
      </c>
      <c r="P714" t="s">
        <v>6586</v>
      </c>
      <c r="Q714">
        <v>1.0163</v>
      </c>
      <c r="R714" t="s">
        <v>3302</v>
      </c>
      <c r="S714">
        <v>25.671300315160501</v>
      </c>
    </row>
    <row r="715" spans="8:19">
      <c r="H715" t="s">
        <v>1077</v>
      </c>
      <c r="I715">
        <v>13</v>
      </c>
      <c r="J715" t="s">
        <v>1151</v>
      </c>
      <c r="K715">
        <v>220</v>
      </c>
      <c r="L715">
        <v>0.64564500000000002</v>
      </c>
      <c r="M715">
        <v>4</v>
      </c>
      <c r="N715">
        <v>38.651000000000003</v>
      </c>
      <c r="O715" t="s">
        <v>6617</v>
      </c>
      <c r="P715" t="s">
        <v>6586</v>
      </c>
      <c r="Q715">
        <v>1.0163</v>
      </c>
      <c r="R715" t="s">
        <v>3302</v>
      </c>
      <c r="S715">
        <v>25.3615885407885</v>
      </c>
    </row>
    <row r="716" spans="8:19">
      <c r="H716" t="s">
        <v>1077</v>
      </c>
      <c r="I716">
        <v>13</v>
      </c>
      <c r="J716" t="s">
        <v>1151</v>
      </c>
      <c r="K716">
        <v>220</v>
      </c>
      <c r="L716">
        <v>0.64564500000000002</v>
      </c>
      <c r="M716">
        <v>5</v>
      </c>
      <c r="N716">
        <v>50.674999999999997</v>
      </c>
      <c r="O716" t="s">
        <v>6617</v>
      </c>
      <c r="P716" t="s">
        <v>6586</v>
      </c>
      <c r="Q716">
        <v>1.0163</v>
      </c>
      <c r="R716" t="s">
        <v>3302</v>
      </c>
      <c r="S716">
        <v>33.251364759112498</v>
      </c>
    </row>
    <row r="717" spans="8:19">
      <c r="H717" t="s">
        <v>1077</v>
      </c>
      <c r="I717">
        <v>13</v>
      </c>
      <c r="J717" t="s">
        <v>1151</v>
      </c>
      <c r="K717">
        <v>220</v>
      </c>
      <c r="L717">
        <v>0.64564500000000002</v>
      </c>
      <c r="M717">
        <v>6</v>
      </c>
      <c r="N717">
        <v>61.944000000000003</v>
      </c>
      <c r="O717" t="s">
        <v>6617</v>
      </c>
      <c r="P717" t="s">
        <v>6586</v>
      </c>
      <c r="Q717">
        <v>1.0163</v>
      </c>
      <c r="R717" t="s">
        <v>3302</v>
      </c>
      <c r="S717">
        <v>40.645733372244003</v>
      </c>
    </row>
    <row r="718" spans="8:19">
      <c r="H718" t="s">
        <v>1077</v>
      </c>
      <c r="I718">
        <v>13</v>
      </c>
      <c r="J718" t="s">
        <v>1151</v>
      </c>
      <c r="K718">
        <v>220</v>
      </c>
      <c r="L718">
        <v>0.64564500000000002</v>
      </c>
      <c r="M718">
        <v>1</v>
      </c>
      <c r="N718">
        <v>70.893000000000001</v>
      </c>
      <c r="O718" t="s">
        <v>6485</v>
      </c>
      <c r="P718" t="s">
        <v>6586</v>
      </c>
      <c r="Q718">
        <v>1.0163</v>
      </c>
      <c r="R718" t="s">
        <v>3302</v>
      </c>
      <c r="S718">
        <v>46.517789874055502</v>
      </c>
    </row>
    <row r="719" spans="8:19">
      <c r="H719" t="s">
        <v>1077</v>
      </c>
      <c r="I719">
        <v>13</v>
      </c>
      <c r="J719" t="s">
        <v>1151</v>
      </c>
      <c r="K719">
        <v>220</v>
      </c>
      <c r="L719">
        <v>0.64564500000000002</v>
      </c>
      <c r="M719">
        <v>2</v>
      </c>
      <c r="N719">
        <v>63.523000000000003</v>
      </c>
      <c r="O719" t="s">
        <v>6485</v>
      </c>
      <c r="P719" t="s">
        <v>6586</v>
      </c>
      <c r="Q719">
        <v>1.0163</v>
      </c>
      <c r="R719" t="s">
        <v>3302</v>
      </c>
      <c r="S719">
        <v>41.681824244560502</v>
      </c>
    </row>
    <row r="720" spans="8:19">
      <c r="H720" t="s">
        <v>1077</v>
      </c>
      <c r="I720">
        <v>13</v>
      </c>
      <c r="J720" t="s">
        <v>1151</v>
      </c>
      <c r="K720">
        <v>220</v>
      </c>
      <c r="L720">
        <v>0.64564500000000002</v>
      </c>
      <c r="M720">
        <v>3</v>
      </c>
      <c r="N720">
        <v>32.936</v>
      </c>
      <c r="O720" t="s">
        <v>6485</v>
      </c>
      <c r="P720" t="s">
        <v>6586</v>
      </c>
      <c r="Q720">
        <v>1.0163</v>
      </c>
      <c r="R720" t="s">
        <v>3302</v>
      </c>
      <c r="S720">
        <v>21.611582628636</v>
      </c>
    </row>
    <row r="721" spans="8:19">
      <c r="H721" t="s">
        <v>1077</v>
      </c>
      <c r="I721">
        <v>13</v>
      </c>
      <c r="J721" t="s">
        <v>1151</v>
      </c>
      <c r="K721">
        <v>220</v>
      </c>
      <c r="L721">
        <v>0.64564500000000002</v>
      </c>
      <c r="M721">
        <v>4</v>
      </c>
      <c r="N721">
        <v>31.954999999999998</v>
      </c>
      <c r="O721" t="s">
        <v>6485</v>
      </c>
      <c r="P721" t="s">
        <v>6586</v>
      </c>
      <c r="Q721">
        <v>1.0163</v>
      </c>
      <c r="R721" t="s">
        <v>3302</v>
      </c>
      <c r="S721">
        <v>20.967880826392499</v>
      </c>
    </row>
    <row r="722" spans="8:19">
      <c r="H722" t="s">
        <v>1077</v>
      </c>
      <c r="I722">
        <v>13</v>
      </c>
      <c r="J722" t="s">
        <v>1151</v>
      </c>
      <c r="K722">
        <v>220</v>
      </c>
      <c r="L722">
        <v>0.64564500000000002</v>
      </c>
      <c r="M722">
        <v>5</v>
      </c>
      <c r="N722">
        <v>53.051000000000002</v>
      </c>
      <c r="O722" t="s">
        <v>6485</v>
      </c>
      <c r="P722" t="s">
        <v>6586</v>
      </c>
      <c r="Q722">
        <v>1.0163</v>
      </c>
      <c r="R722" t="s">
        <v>3302</v>
      </c>
      <c r="S722">
        <v>34.810422335188512</v>
      </c>
    </row>
    <row r="723" spans="8:19">
      <c r="H723" t="s">
        <v>1077</v>
      </c>
      <c r="I723">
        <v>13</v>
      </c>
      <c r="J723" t="s">
        <v>1151</v>
      </c>
      <c r="K723">
        <v>220</v>
      </c>
      <c r="L723">
        <v>0.64564500000000002</v>
      </c>
      <c r="M723">
        <v>6</v>
      </c>
      <c r="N723">
        <v>88.747</v>
      </c>
      <c r="O723" t="s">
        <v>6485</v>
      </c>
      <c r="P723" t="s">
        <v>6586</v>
      </c>
      <c r="Q723">
        <v>1.0163</v>
      </c>
      <c r="R723" t="s">
        <v>3302</v>
      </c>
      <c r="S723">
        <v>58.233031441084499</v>
      </c>
    </row>
    <row r="724" spans="8:19">
      <c r="H724" t="s">
        <v>1090</v>
      </c>
      <c r="I724">
        <v>23</v>
      </c>
      <c r="J724" t="s">
        <v>9</v>
      </c>
      <c r="K724">
        <v>220</v>
      </c>
      <c r="L724">
        <v>8.6898000000000003E-2</v>
      </c>
      <c r="M724">
        <v>1</v>
      </c>
      <c r="N724">
        <v>55.936</v>
      </c>
      <c r="O724" t="s">
        <v>6617</v>
      </c>
      <c r="P724" t="s">
        <v>6586</v>
      </c>
      <c r="Q724">
        <v>1.01102</v>
      </c>
      <c r="R724" t="s">
        <v>3303</v>
      </c>
      <c r="S724">
        <v>4.9142917343385601</v>
      </c>
    </row>
    <row r="725" spans="8:19">
      <c r="H725" t="s">
        <v>1090</v>
      </c>
      <c r="I725">
        <v>23</v>
      </c>
      <c r="J725" t="s">
        <v>9</v>
      </c>
      <c r="K725">
        <v>220</v>
      </c>
      <c r="L725">
        <v>8.6898000000000003E-2</v>
      </c>
      <c r="M725">
        <v>2</v>
      </c>
      <c r="N725">
        <v>56.033999999999999</v>
      </c>
      <c r="O725" t="s">
        <v>6617</v>
      </c>
      <c r="P725" t="s">
        <v>6586</v>
      </c>
      <c r="Q725">
        <v>1.01102</v>
      </c>
      <c r="R725" t="s">
        <v>3303</v>
      </c>
      <c r="S725">
        <v>4.9229015847026396</v>
      </c>
    </row>
    <row r="726" spans="8:19">
      <c r="H726" t="s">
        <v>1090</v>
      </c>
      <c r="I726">
        <v>23</v>
      </c>
      <c r="J726" t="s">
        <v>9</v>
      </c>
      <c r="K726">
        <v>220</v>
      </c>
      <c r="L726">
        <v>8.6898000000000003E-2</v>
      </c>
      <c r="M726">
        <v>3</v>
      </c>
      <c r="N726">
        <v>39.116999999999997</v>
      </c>
      <c r="O726" t="s">
        <v>6617</v>
      </c>
      <c r="P726" t="s">
        <v>6586</v>
      </c>
      <c r="Q726">
        <v>1.01102</v>
      </c>
      <c r="R726" t="s">
        <v>3303</v>
      </c>
      <c r="S726">
        <v>3.4366481295073199</v>
      </c>
    </row>
    <row r="727" spans="8:19">
      <c r="H727" t="s">
        <v>1090</v>
      </c>
      <c r="I727">
        <v>23</v>
      </c>
      <c r="J727" t="s">
        <v>9</v>
      </c>
      <c r="K727">
        <v>220</v>
      </c>
      <c r="L727">
        <v>8.6898000000000003E-2</v>
      </c>
      <c r="M727">
        <v>4</v>
      </c>
      <c r="N727">
        <v>38.668999999999997</v>
      </c>
      <c r="O727" t="s">
        <v>6617</v>
      </c>
      <c r="P727" t="s">
        <v>6586</v>
      </c>
      <c r="Q727">
        <v>1.01102</v>
      </c>
      <c r="R727" t="s">
        <v>3303</v>
      </c>
      <c r="S727">
        <v>3.3972888135572399</v>
      </c>
    </row>
    <row r="728" spans="8:19">
      <c r="H728" t="s">
        <v>1090</v>
      </c>
      <c r="I728">
        <v>23</v>
      </c>
      <c r="J728" t="s">
        <v>9</v>
      </c>
      <c r="K728">
        <v>220</v>
      </c>
      <c r="L728">
        <v>8.6898000000000003E-2</v>
      </c>
      <c r="M728">
        <v>5</v>
      </c>
      <c r="N728">
        <v>51.475999999999999</v>
      </c>
      <c r="O728" t="s">
        <v>6617</v>
      </c>
      <c r="P728" t="s">
        <v>6586</v>
      </c>
      <c r="Q728">
        <v>1.01102</v>
      </c>
      <c r="R728" t="s">
        <v>3303</v>
      </c>
      <c r="S728">
        <v>4.5224556871569597</v>
      </c>
    </row>
    <row r="729" spans="8:19">
      <c r="H729" t="s">
        <v>1090</v>
      </c>
      <c r="I729">
        <v>23</v>
      </c>
      <c r="J729" t="s">
        <v>9</v>
      </c>
      <c r="K729">
        <v>220</v>
      </c>
      <c r="L729">
        <v>8.6898000000000003E-2</v>
      </c>
      <c r="M729">
        <v>6</v>
      </c>
      <c r="N729">
        <v>62.256999999999998</v>
      </c>
      <c r="O729" t="s">
        <v>6617</v>
      </c>
      <c r="P729" t="s">
        <v>6586</v>
      </c>
      <c r="Q729">
        <v>1.01102</v>
      </c>
      <c r="R729" t="s">
        <v>3303</v>
      </c>
      <c r="S729">
        <v>5.4696270828217202</v>
      </c>
    </row>
    <row r="730" spans="8:19">
      <c r="H730" t="s">
        <v>1090</v>
      </c>
      <c r="I730">
        <v>23</v>
      </c>
      <c r="J730" t="s">
        <v>9</v>
      </c>
      <c r="K730">
        <v>220</v>
      </c>
      <c r="L730">
        <v>8.6898000000000003E-2</v>
      </c>
      <c r="M730">
        <v>1</v>
      </c>
      <c r="N730">
        <v>69.262</v>
      </c>
      <c r="O730" t="s">
        <v>6485</v>
      </c>
      <c r="P730" t="s">
        <v>6586</v>
      </c>
      <c r="Q730">
        <v>1.01102</v>
      </c>
      <c r="R730" t="s">
        <v>3303</v>
      </c>
      <c r="S730">
        <v>6.0850556726215208</v>
      </c>
    </row>
    <row r="731" spans="8:19">
      <c r="H731" t="s">
        <v>1090</v>
      </c>
      <c r="I731">
        <v>23</v>
      </c>
      <c r="J731" t="s">
        <v>9</v>
      </c>
      <c r="K731">
        <v>220</v>
      </c>
      <c r="L731">
        <v>8.6898000000000003E-2</v>
      </c>
      <c r="M731">
        <v>2</v>
      </c>
      <c r="N731">
        <v>62.783000000000001</v>
      </c>
      <c r="O731" t="s">
        <v>6485</v>
      </c>
      <c r="P731" t="s">
        <v>6586</v>
      </c>
      <c r="Q731">
        <v>1.01102</v>
      </c>
      <c r="R731" t="s">
        <v>3303</v>
      </c>
      <c r="S731">
        <v>5.5158391368166804</v>
      </c>
    </row>
    <row r="732" spans="8:19">
      <c r="H732" t="s">
        <v>1090</v>
      </c>
      <c r="I732">
        <v>23</v>
      </c>
      <c r="J732" t="s">
        <v>9</v>
      </c>
      <c r="K732">
        <v>220</v>
      </c>
      <c r="L732">
        <v>8.6898000000000003E-2</v>
      </c>
      <c r="M732">
        <v>3</v>
      </c>
      <c r="N732">
        <v>32.915999999999997</v>
      </c>
      <c r="O732" t="s">
        <v>6485</v>
      </c>
      <c r="P732" t="s">
        <v>6586</v>
      </c>
      <c r="Q732">
        <v>1.01102</v>
      </c>
      <c r="R732" t="s">
        <v>3303</v>
      </c>
      <c r="S732">
        <v>2.89185545493936</v>
      </c>
    </row>
    <row r="733" spans="8:19">
      <c r="H733" t="s">
        <v>1090</v>
      </c>
      <c r="I733">
        <v>23</v>
      </c>
      <c r="J733" t="s">
        <v>9</v>
      </c>
      <c r="K733">
        <v>220</v>
      </c>
      <c r="L733">
        <v>8.6898000000000003E-2</v>
      </c>
      <c r="M733">
        <v>4</v>
      </c>
      <c r="N733">
        <v>32.179000000000002</v>
      </c>
      <c r="O733" t="s">
        <v>6485</v>
      </c>
      <c r="P733" t="s">
        <v>6586</v>
      </c>
      <c r="Q733">
        <v>1.01102</v>
      </c>
      <c r="R733" t="s">
        <v>3303</v>
      </c>
      <c r="S733">
        <v>2.82710586597684</v>
      </c>
    </row>
    <row r="734" spans="8:19">
      <c r="H734" t="s">
        <v>1090</v>
      </c>
      <c r="I734">
        <v>23</v>
      </c>
      <c r="J734" t="s">
        <v>9</v>
      </c>
      <c r="K734">
        <v>220</v>
      </c>
      <c r="L734">
        <v>8.6898000000000003E-2</v>
      </c>
      <c r="M734">
        <v>5</v>
      </c>
      <c r="N734">
        <v>54.389000000000003</v>
      </c>
      <c r="O734" t="s">
        <v>6485</v>
      </c>
      <c r="P734" t="s">
        <v>6586</v>
      </c>
      <c r="Q734">
        <v>1.01102</v>
      </c>
      <c r="R734" t="s">
        <v>3303</v>
      </c>
      <c r="S734">
        <v>4.7783790964484396</v>
      </c>
    </row>
    <row r="735" spans="8:19">
      <c r="H735" t="s">
        <v>1090</v>
      </c>
      <c r="I735">
        <v>23</v>
      </c>
      <c r="J735" t="s">
        <v>9</v>
      </c>
      <c r="K735">
        <v>220</v>
      </c>
      <c r="L735">
        <v>8.6898000000000003E-2</v>
      </c>
      <c r="M735">
        <v>6</v>
      </c>
      <c r="N735">
        <v>88.427000000000007</v>
      </c>
      <c r="O735" t="s">
        <v>6485</v>
      </c>
      <c r="P735" t="s">
        <v>6586</v>
      </c>
      <c r="Q735">
        <v>1.01102</v>
      </c>
      <c r="R735" t="s">
        <v>3303</v>
      </c>
      <c r="S735">
        <v>7.7688085524949209</v>
      </c>
    </row>
    <row r="736" spans="8:19">
      <c r="H736" t="s">
        <v>1090</v>
      </c>
      <c r="I736">
        <v>23</v>
      </c>
      <c r="J736" t="s">
        <v>142</v>
      </c>
      <c r="K736">
        <v>220</v>
      </c>
      <c r="L736">
        <v>0.22886300000000001</v>
      </c>
      <c r="M736">
        <v>1</v>
      </c>
      <c r="N736">
        <v>56.127000000000002</v>
      </c>
      <c r="O736" t="s">
        <v>6617</v>
      </c>
      <c r="P736" t="s">
        <v>6586</v>
      </c>
      <c r="Q736">
        <v>1.01102</v>
      </c>
      <c r="R736" t="s">
        <v>3303</v>
      </c>
      <c r="S736">
        <v>12.986949838483021</v>
      </c>
    </row>
    <row r="737" spans="8:19">
      <c r="H737" t="s">
        <v>1090</v>
      </c>
      <c r="I737">
        <v>23</v>
      </c>
      <c r="J737" t="s">
        <v>142</v>
      </c>
      <c r="K737">
        <v>220</v>
      </c>
      <c r="L737">
        <v>0.22886300000000001</v>
      </c>
      <c r="M737">
        <v>2</v>
      </c>
      <c r="N737">
        <v>56.02</v>
      </c>
      <c r="O737" t="s">
        <v>6617</v>
      </c>
      <c r="P737" t="s">
        <v>6586</v>
      </c>
      <c r="Q737">
        <v>1.01102</v>
      </c>
      <c r="R737" t="s">
        <v>3303</v>
      </c>
      <c r="S737">
        <v>12.962191635965199</v>
      </c>
    </row>
    <row r="738" spans="8:19">
      <c r="H738" t="s">
        <v>1090</v>
      </c>
      <c r="I738">
        <v>23</v>
      </c>
      <c r="J738" t="s">
        <v>142</v>
      </c>
      <c r="K738">
        <v>220</v>
      </c>
      <c r="L738">
        <v>0.22886300000000001</v>
      </c>
      <c r="M738">
        <v>3</v>
      </c>
      <c r="N738">
        <v>39.167999999999999</v>
      </c>
      <c r="O738" t="s">
        <v>6617</v>
      </c>
      <c r="P738" t="s">
        <v>6586</v>
      </c>
      <c r="Q738">
        <v>1.01102</v>
      </c>
      <c r="R738" t="s">
        <v>3303</v>
      </c>
      <c r="S738">
        <v>9.0628904319436803</v>
      </c>
    </row>
    <row r="739" spans="8:19">
      <c r="H739" t="s">
        <v>1090</v>
      </c>
      <c r="I739">
        <v>23</v>
      </c>
      <c r="J739" t="s">
        <v>142</v>
      </c>
      <c r="K739">
        <v>220</v>
      </c>
      <c r="L739">
        <v>0.22886300000000001</v>
      </c>
      <c r="M739">
        <v>4</v>
      </c>
      <c r="N739">
        <v>38.67</v>
      </c>
      <c r="O739" t="s">
        <v>6617</v>
      </c>
      <c r="P739" t="s">
        <v>6586</v>
      </c>
      <c r="Q739">
        <v>1.01102</v>
      </c>
      <c r="R739" t="s">
        <v>3303</v>
      </c>
      <c r="S739">
        <v>8.9476606669541994</v>
      </c>
    </row>
    <row r="740" spans="8:19">
      <c r="H740" t="s">
        <v>1090</v>
      </c>
      <c r="I740">
        <v>23</v>
      </c>
      <c r="J740" t="s">
        <v>142</v>
      </c>
      <c r="K740">
        <v>220</v>
      </c>
      <c r="L740">
        <v>0.22886300000000001</v>
      </c>
      <c r="M740">
        <v>5</v>
      </c>
      <c r="N740">
        <v>50.823999999999998</v>
      </c>
      <c r="O740" t="s">
        <v>6617</v>
      </c>
      <c r="P740" t="s">
        <v>6586</v>
      </c>
      <c r="Q740">
        <v>1.01102</v>
      </c>
      <c r="R740" t="s">
        <v>3303</v>
      </c>
      <c r="S740">
        <v>11.759914810894241</v>
      </c>
    </row>
    <row r="741" spans="8:19">
      <c r="H741" t="s">
        <v>1090</v>
      </c>
      <c r="I741">
        <v>23</v>
      </c>
      <c r="J741" t="s">
        <v>142</v>
      </c>
      <c r="K741">
        <v>220</v>
      </c>
      <c r="L741">
        <v>0.22886300000000001</v>
      </c>
      <c r="M741">
        <v>6</v>
      </c>
      <c r="N741">
        <v>62.433999999999997</v>
      </c>
      <c r="O741" t="s">
        <v>6617</v>
      </c>
      <c r="P741" t="s">
        <v>6586</v>
      </c>
      <c r="Q741">
        <v>1.01102</v>
      </c>
      <c r="R741" t="s">
        <v>3303</v>
      </c>
      <c r="S741">
        <v>14.446295476612841</v>
      </c>
    </row>
    <row r="742" spans="8:19">
      <c r="H742" t="s">
        <v>1090</v>
      </c>
      <c r="I742">
        <v>23</v>
      </c>
      <c r="J742" t="s">
        <v>142</v>
      </c>
      <c r="K742">
        <v>220</v>
      </c>
      <c r="L742">
        <v>0.22886300000000001</v>
      </c>
      <c r="M742">
        <v>1</v>
      </c>
      <c r="N742">
        <v>69.38</v>
      </c>
      <c r="O742" t="s">
        <v>6485</v>
      </c>
      <c r="P742" t="s">
        <v>6586</v>
      </c>
      <c r="Q742">
        <v>1.01102</v>
      </c>
      <c r="R742" t="s">
        <v>3303</v>
      </c>
      <c r="S742">
        <v>16.053496174638799</v>
      </c>
    </row>
    <row r="743" spans="8:19">
      <c r="H743" t="s">
        <v>1090</v>
      </c>
      <c r="I743">
        <v>23</v>
      </c>
      <c r="J743" t="s">
        <v>142</v>
      </c>
      <c r="K743">
        <v>220</v>
      </c>
      <c r="L743">
        <v>0.22886300000000001</v>
      </c>
      <c r="M743">
        <v>2</v>
      </c>
      <c r="N743">
        <v>62.850999999999999</v>
      </c>
      <c r="O743" t="s">
        <v>6485</v>
      </c>
      <c r="P743" t="s">
        <v>6586</v>
      </c>
      <c r="Q743">
        <v>1.01102</v>
      </c>
      <c r="R743" t="s">
        <v>3303</v>
      </c>
      <c r="S743">
        <v>14.542783050911259</v>
      </c>
    </row>
    <row r="744" spans="8:19">
      <c r="H744" t="s">
        <v>1090</v>
      </c>
      <c r="I744">
        <v>23</v>
      </c>
      <c r="J744" t="s">
        <v>142</v>
      </c>
      <c r="K744">
        <v>220</v>
      </c>
      <c r="L744">
        <v>0.22886300000000001</v>
      </c>
      <c r="M744">
        <v>3</v>
      </c>
      <c r="N744">
        <v>33.090000000000003</v>
      </c>
      <c r="O744" t="s">
        <v>6485</v>
      </c>
      <c r="P744" t="s">
        <v>6586</v>
      </c>
      <c r="Q744">
        <v>1.01102</v>
      </c>
      <c r="R744" t="s">
        <v>3303</v>
      </c>
      <c r="S744">
        <v>7.6565319749034009</v>
      </c>
    </row>
    <row r="745" spans="8:19">
      <c r="H745" t="s">
        <v>1090</v>
      </c>
      <c r="I745">
        <v>23</v>
      </c>
      <c r="J745" t="s">
        <v>142</v>
      </c>
      <c r="K745">
        <v>220</v>
      </c>
      <c r="L745">
        <v>0.22886300000000001</v>
      </c>
      <c r="M745">
        <v>4</v>
      </c>
      <c r="N745">
        <v>32.274000000000001</v>
      </c>
      <c r="O745" t="s">
        <v>6485</v>
      </c>
      <c r="P745" t="s">
        <v>6586</v>
      </c>
      <c r="Q745">
        <v>1.01102</v>
      </c>
      <c r="R745" t="s">
        <v>3303</v>
      </c>
      <c r="S745">
        <v>7.4677217575712396</v>
      </c>
    </row>
    <row r="746" spans="8:19">
      <c r="H746" t="s">
        <v>1090</v>
      </c>
      <c r="I746">
        <v>23</v>
      </c>
      <c r="J746" t="s">
        <v>142</v>
      </c>
      <c r="K746">
        <v>220</v>
      </c>
      <c r="L746">
        <v>0.22886300000000001</v>
      </c>
      <c r="M746">
        <v>5</v>
      </c>
      <c r="N746">
        <v>53.92</v>
      </c>
      <c r="O746" t="s">
        <v>6485</v>
      </c>
      <c r="P746" t="s">
        <v>6586</v>
      </c>
      <c r="Q746">
        <v>1.01102</v>
      </c>
      <c r="R746" t="s">
        <v>3303</v>
      </c>
      <c r="S746">
        <v>12.4762829884192</v>
      </c>
    </row>
    <row r="747" spans="8:19">
      <c r="H747" t="s">
        <v>1090</v>
      </c>
      <c r="I747">
        <v>23</v>
      </c>
      <c r="J747" t="s">
        <v>142</v>
      </c>
      <c r="K747">
        <v>220</v>
      </c>
      <c r="L747">
        <v>0.22886300000000001</v>
      </c>
      <c r="M747">
        <v>6</v>
      </c>
      <c r="N747">
        <v>89.204999999999998</v>
      </c>
      <c r="O747" t="s">
        <v>6485</v>
      </c>
      <c r="P747" t="s">
        <v>6586</v>
      </c>
      <c r="Q747">
        <v>1.01102</v>
      </c>
      <c r="R747" t="s">
        <v>3303</v>
      </c>
      <c r="S747">
        <v>20.640705192543301</v>
      </c>
    </row>
    <row r="748" spans="8:19">
      <c r="H748" t="s">
        <v>1090</v>
      </c>
      <c r="I748">
        <v>23</v>
      </c>
      <c r="J748" t="s">
        <v>151</v>
      </c>
      <c r="K748">
        <v>220</v>
      </c>
      <c r="L748">
        <v>0.60897000000000001</v>
      </c>
      <c r="M748">
        <v>1</v>
      </c>
      <c r="N748">
        <v>56.168999999999997</v>
      </c>
      <c r="O748" t="s">
        <v>6617</v>
      </c>
      <c r="P748" t="s">
        <v>6586</v>
      </c>
      <c r="Q748">
        <v>1.01102</v>
      </c>
      <c r="R748" t="s">
        <v>3303</v>
      </c>
      <c r="S748">
        <v>34.582177629948603</v>
      </c>
    </row>
    <row r="749" spans="8:19">
      <c r="H749" t="s">
        <v>1090</v>
      </c>
      <c r="I749">
        <v>23</v>
      </c>
      <c r="J749" t="s">
        <v>151</v>
      </c>
      <c r="K749">
        <v>220</v>
      </c>
      <c r="L749">
        <v>0.60897000000000001</v>
      </c>
      <c r="M749">
        <v>2</v>
      </c>
      <c r="N749">
        <v>56.069000000000003</v>
      </c>
      <c r="O749" t="s">
        <v>6617</v>
      </c>
      <c r="P749" t="s">
        <v>6586</v>
      </c>
      <c r="Q749">
        <v>1.01102</v>
      </c>
      <c r="R749" t="s">
        <v>3303</v>
      </c>
      <c r="S749">
        <v>34.520609545008597</v>
      </c>
    </row>
    <row r="750" spans="8:19">
      <c r="H750" t="s">
        <v>1090</v>
      </c>
      <c r="I750">
        <v>23</v>
      </c>
      <c r="J750" t="s">
        <v>151</v>
      </c>
      <c r="K750">
        <v>220</v>
      </c>
      <c r="L750">
        <v>0.60897000000000001</v>
      </c>
      <c r="M750">
        <v>3</v>
      </c>
      <c r="N750">
        <v>39.165999999999997</v>
      </c>
      <c r="O750" t="s">
        <v>6617</v>
      </c>
      <c r="P750" t="s">
        <v>6586</v>
      </c>
      <c r="Q750">
        <v>1.01102</v>
      </c>
      <c r="R750" t="s">
        <v>3303</v>
      </c>
      <c r="S750">
        <v>24.113756147600402</v>
      </c>
    </row>
    <row r="751" spans="8:19">
      <c r="H751" t="s">
        <v>1090</v>
      </c>
      <c r="I751">
        <v>23</v>
      </c>
      <c r="J751" t="s">
        <v>151</v>
      </c>
      <c r="K751">
        <v>220</v>
      </c>
      <c r="L751">
        <v>0.60897000000000001</v>
      </c>
      <c r="M751">
        <v>4</v>
      </c>
      <c r="N751">
        <v>38.67</v>
      </c>
      <c r="O751" t="s">
        <v>6617</v>
      </c>
      <c r="P751" t="s">
        <v>6586</v>
      </c>
      <c r="Q751">
        <v>1.01102</v>
      </c>
      <c r="R751" t="s">
        <v>3303</v>
      </c>
      <c r="S751">
        <v>23.808378446298001</v>
      </c>
    </row>
    <row r="752" spans="8:19">
      <c r="H752" t="s">
        <v>1090</v>
      </c>
      <c r="I752">
        <v>23</v>
      </c>
      <c r="J752" t="s">
        <v>151</v>
      </c>
      <c r="K752">
        <v>220</v>
      </c>
      <c r="L752">
        <v>0.60897000000000001</v>
      </c>
      <c r="M752">
        <v>5</v>
      </c>
      <c r="N752">
        <v>50.823999999999998</v>
      </c>
      <c r="O752" t="s">
        <v>6617</v>
      </c>
      <c r="P752" t="s">
        <v>6586</v>
      </c>
      <c r="Q752">
        <v>1.01102</v>
      </c>
      <c r="R752" t="s">
        <v>3303</v>
      </c>
      <c r="S752">
        <v>31.291363489905599</v>
      </c>
    </row>
    <row r="753" spans="8:19">
      <c r="H753" t="s">
        <v>1090</v>
      </c>
      <c r="I753">
        <v>23</v>
      </c>
      <c r="J753" t="s">
        <v>151</v>
      </c>
      <c r="K753">
        <v>220</v>
      </c>
      <c r="L753">
        <v>0.60897000000000001</v>
      </c>
      <c r="M753">
        <v>6</v>
      </c>
      <c r="N753">
        <v>62.457999999999998</v>
      </c>
      <c r="O753" t="s">
        <v>6617</v>
      </c>
      <c r="P753" t="s">
        <v>6586</v>
      </c>
      <c r="Q753">
        <v>1.01102</v>
      </c>
      <c r="R753" t="s">
        <v>3303</v>
      </c>
      <c r="S753">
        <v>38.454194491825199</v>
      </c>
    </row>
    <row r="754" spans="8:19">
      <c r="H754" t="s">
        <v>1090</v>
      </c>
      <c r="I754">
        <v>23</v>
      </c>
      <c r="J754" t="s">
        <v>151</v>
      </c>
      <c r="K754">
        <v>220</v>
      </c>
      <c r="L754">
        <v>0.60897000000000001</v>
      </c>
      <c r="M754">
        <v>1</v>
      </c>
      <c r="N754">
        <v>70.17</v>
      </c>
      <c r="O754" t="s">
        <v>6485</v>
      </c>
      <c r="P754" t="s">
        <v>6586</v>
      </c>
      <c r="Q754">
        <v>1.01102</v>
      </c>
      <c r="R754" t="s">
        <v>3303</v>
      </c>
      <c r="S754">
        <v>43.202325202398001</v>
      </c>
    </row>
    <row r="755" spans="8:19">
      <c r="H755" t="s">
        <v>1090</v>
      </c>
      <c r="I755">
        <v>23</v>
      </c>
      <c r="J755" t="s">
        <v>151</v>
      </c>
      <c r="K755">
        <v>220</v>
      </c>
      <c r="L755">
        <v>0.60897000000000001</v>
      </c>
      <c r="M755">
        <v>2</v>
      </c>
      <c r="N755">
        <v>63.353999999999999</v>
      </c>
      <c r="O755" t="s">
        <v>6485</v>
      </c>
      <c r="P755" t="s">
        <v>6586</v>
      </c>
      <c r="Q755">
        <v>1.01102</v>
      </c>
      <c r="R755" t="s">
        <v>3303</v>
      </c>
      <c r="S755">
        <v>39.0058445328876</v>
      </c>
    </row>
    <row r="756" spans="8:19">
      <c r="H756" t="s">
        <v>1090</v>
      </c>
      <c r="I756">
        <v>23</v>
      </c>
      <c r="J756" t="s">
        <v>151</v>
      </c>
      <c r="K756">
        <v>220</v>
      </c>
      <c r="L756">
        <v>0.60897000000000001</v>
      </c>
      <c r="M756">
        <v>3</v>
      </c>
      <c r="N756">
        <v>33.082000000000001</v>
      </c>
      <c r="O756" t="s">
        <v>6485</v>
      </c>
      <c r="P756" t="s">
        <v>6586</v>
      </c>
      <c r="Q756">
        <v>1.01102</v>
      </c>
      <c r="R756" t="s">
        <v>3303</v>
      </c>
      <c r="S756">
        <v>20.3679538598508</v>
      </c>
    </row>
    <row r="757" spans="8:19">
      <c r="H757" t="s">
        <v>1090</v>
      </c>
      <c r="I757">
        <v>23</v>
      </c>
      <c r="J757" t="s">
        <v>151</v>
      </c>
      <c r="K757">
        <v>220</v>
      </c>
      <c r="L757">
        <v>0.60897000000000001</v>
      </c>
      <c r="M757">
        <v>4</v>
      </c>
      <c r="N757">
        <v>32.270000000000003</v>
      </c>
      <c r="O757" t="s">
        <v>6485</v>
      </c>
      <c r="P757" t="s">
        <v>6586</v>
      </c>
      <c r="Q757">
        <v>1.01102</v>
      </c>
      <c r="R757" t="s">
        <v>3303</v>
      </c>
      <c r="S757">
        <v>19.868021010138001</v>
      </c>
    </row>
    <row r="758" spans="8:19">
      <c r="H758" t="s">
        <v>1090</v>
      </c>
      <c r="I758">
        <v>23</v>
      </c>
      <c r="J758" t="s">
        <v>151</v>
      </c>
      <c r="K758">
        <v>220</v>
      </c>
      <c r="L758">
        <v>0.60897000000000001</v>
      </c>
      <c r="M758">
        <v>5</v>
      </c>
      <c r="N758">
        <v>53.905000000000001</v>
      </c>
      <c r="O758" t="s">
        <v>6485</v>
      </c>
      <c r="P758" t="s">
        <v>6586</v>
      </c>
      <c r="Q758">
        <v>1.01102</v>
      </c>
      <c r="R758" t="s">
        <v>3303</v>
      </c>
      <c r="S758">
        <v>33.188276186906997</v>
      </c>
    </row>
    <row r="759" spans="8:19">
      <c r="H759" t="s">
        <v>1090</v>
      </c>
      <c r="I759">
        <v>23</v>
      </c>
      <c r="J759" t="s">
        <v>151</v>
      </c>
      <c r="K759">
        <v>220</v>
      </c>
      <c r="L759">
        <v>0.60897000000000001</v>
      </c>
      <c r="M759">
        <v>6</v>
      </c>
      <c r="N759">
        <v>89.346000000000004</v>
      </c>
      <c r="O759" t="s">
        <v>6485</v>
      </c>
      <c r="P759" t="s">
        <v>6586</v>
      </c>
      <c r="Q759">
        <v>1.01102</v>
      </c>
      <c r="R759" t="s">
        <v>3303</v>
      </c>
      <c r="S759">
        <v>55.008621170492397</v>
      </c>
    </row>
    <row r="760" spans="8:19">
      <c r="H760" t="s">
        <v>1090</v>
      </c>
      <c r="I760">
        <v>23</v>
      </c>
      <c r="J760" t="s">
        <v>1090</v>
      </c>
      <c r="K760">
        <v>220</v>
      </c>
      <c r="L760">
        <v>2.2689999999999998E-2</v>
      </c>
      <c r="M760">
        <v>1</v>
      </c>
      <c r="N760">
        <v>56.158000000000001</v>
      </c>
      <c r="O760" t="s">
        <v>6617</v>
      </c>
      <c r="P760" t="s">
        <v>6586</v>
      </c>
      <c r="Q760">
        <v>1.01102</v>
      </c>
      <c r="R760" t="s">
        <v>3303</v>
      </c>
      <c r="S760">
        <v>1.2882669797204001</v>
      </c>
    </row>
    <row r="761" spans="8:19">
      <c r="H761" t="s">
        <v>1090</v>
      </c>
      <c r="I761">
        <v>23</v>
      </c>
      <c r="J761" t="s">
        <v>1090</v>
      </c>
      <c r="K761">
        <v>220</v>
      </c>
      <c r="L761">
        <v>2.2689999999999998E-2</v>
      </c>
      <c r="M761">
        <v>2</v>
      </c>
      <c r="N761">
        <v>56.052</v>
      </c>
      <c r="O761" t="s">
        <v>6617</v>
      </c>
      <c r="P761" t="s">
        <v>6586</v>
      </c>
      <c r="Q761">
        <v>1.01102</v>
      </c>
      <c r="R761" t="s">
        <v>3303</v>
      </c>
      <c r="S761">
        <v>1.2858353350776</v>
      </c>
    </row>
    <row r="762" spans="8:19">
      <c r="H762" t="s">
        <v>1090</v>
      </c>
      <c r="I762">
        <v>23</v>
      </c>
      <c r="J762" t="s">
        <v>1090</v>
      </c>
      <c r="K762">
        <v>220</v>
      </c>
      <c r="L762">
        <v>2.2689999999999998E-2</v>
      </c>
      <c r="M762">
        <v>3</v>
      </c>
      <c r="N762">
        <v>39.154000000000003</v>
      </c>
      <c r="O762" t="s">
        <v>6617</v>
      </c>
      <c r="P762" t="s">
        <v>6586</v>
      </c>
      <c r="Q762">
        <v>1.01102</v>
      </c>
      <c r="R762" t="s">
        <v>3303</v>
      </c>
      <c r="S762">
        <v>0.89819447494520011</v>
      </c>
    </row>
    <row r="763" spans="8:19">
      <c r="H763" t="s">
        <v>1090</v>
      </c>
      <c r="I763">
        <v>23</v>
      </c>
      <c r="J763" t="s">
        <v>1090</v>
      </c>
      <c r="K763">
        <v>220</v>
      </c>
      <c r="L763">
        <v>2.2689999999999998E-2</v>
      </c>
      <c r="M763">
        <v>4</v>
      </c>
      <c r="N763">
        <v>38.667999999999999</v>
      </c>
      <c r="O763" t="s">
        <v>6617</v>
      </c>
      <c r="P763" t="s">
        <v>6586</v>
      </c>
      <c r="Q763">
        <v>1.01102</v>
      </c>
      <c r="R763" t="s">
        <v>3303</v>
      </c>
      <c r="S763">
        <v>0.88704561365839996</v>
      </c>
    </row>
    <row r="764" spans="8:19">
      <c r="H764" t="s">
        <v>1090</v>
      </c>
      <c r="I764">
        <v>23</v>
      </c>
      <c r="J764" t="s">
        <v>1090</v>
      </c>
      <c r="K764">
        <v>220</v>
      </c>
      <c r="L764">
        <v>2.2689999999999998E-2</v>
      </c>
      <c r="M764">
        <v>5</v>
      </c>
      <c r="N764">
        <v>50.756</v>
      </c>
      <c r="O764" t="s">
        <v>6617</v>
      </c>
      <c r="P764" t="s">
        <v>6586</v>
      </c>
      <c r="Q764">
        <v>1.01102</v>
      </c>
      <c r="R764" t="s">
        <v>3303</v>
      </c>
      <c r="S764">
        <v>1.1643448631127999</v>
      </c>
    </row>
    <row r="765" spans="8:19">
      <c r="H765" t="s">
        <v>1090</v>
      </c>
      <c r="I765">
        <v>23</v>
      </c>
      <c r="J765" t="s">
        <v>1090</v>
      </c>
      <c r="K765">
        <v>220</v>
      </c>
      <c r="L765">
        <v>2.2689999999999998E-2</v>
      </c>
      <c r="M765">
        <v>6</v>
      </c>
      <c r="N765">
        <v>62.389000000000003</v>
      </c>
      <c r="O765" t="s">
        <v>6617</v>
      </c>
      <c r="P765" t="s">
        <v>6586</v>
      </c>
      <c r="Q765">
        <v>1.01102</v>
      </c>
      <c r="R765" t="s">
        <v>3303</v>
      </c>
      <c r="S765">
        <v>1.4312063926381999</v>
      </c>
    </row>
    <row r="766" spans="8:19">
      <c r="H766" t="s">
        <v>1090</v>
      </c>
      <c r="I766">
        <v>23</v>
      </c>
      <c r="J766" t="s">
        <v>1090</v>
      </c>
      <c r="K766">
        <v>220</v>
      </c>
      <c r="L766">
        <v>2.2689999999999998E-2</v>
      </c>
      <c r="M766">
        <v>1</v>
      </c>
      <c r="N766">
        <v>71.028000000000006</v>
      </c>
      <c r="O766" t="s">
        <v>6485</v>
      </c>
      <c r="P766" t="s">
        <v>6586</v>
      </c>
      <c r="Q766">
        <v>1.01102</v>
      </c>
      <c r="R766" t="s">
        <v>3303</v>
      </c>
      <c r="S766">
        <v>1.6293854310264</v>
      </c>
    </row>
    <row r="767" spans="8:19">
      <c r="H767" t="s">
        <v>1090</v>
      </c>
      <c r="I767">
        <v>23</v>
      </c>
      <c r="J767" t="s">
        <v>1090</v>
      </c>
      <c r="K767">
        <v>220</v>
      </c>
      <c r="L767">
        <v>2.2689999999999998E-2</v>
      </c>
      <c r="M767">
        <v>2</v>
      </c>
      <c r="N767">
        <v>63.613999999999997</v>
      </c>
      <c r="O767" t="s">
        <v>6485</v>
      </c>
      <c r="P767" t="s">
        <v>6586</v>
      </c>
      <c r="Q767">
        <v>1.01102</v>
      </c>
      <c r="R767" t="s">
        <v>3303</v>
      </c>
      <c r="S767">
        <v>1.4593079462931999</v>
      </c>
    </row>
    <row r="768" spans="8:19">
      <c r="H768" t="s">
        <v>1090</v>
      </c>
      <c r="I768">
        <v>23</v>
      </c>
      <c r="J768" t="s">
        <v>1090</v>
      </c>
      <c r="K768">
        <v>220</v>
      </c>
      <c r="L768">
        <v>2.2689999999999998E-2</v>
      </c>
      <c r="M768">
        <v>3</v>
      </c>
      <c r="N768">
        <v>33.049999999999997</v>
      </c>
      <c r="O768" t="s">
        <v>6485</v>
      </c>
      <c r="P768" t="s">
        <v>6586</v>
      </c>
      <c r="Q768">
        <v>1.01102</v>
      </c>
      <c r="R768" t="s">
        <v>3303</v>
      </c>
      <c r="S768">
        <v>0.75816844758999991</v>
      </c>
    </row>
    <row r="769" spans="8:19">
      <c r="H769" t="s">
        <v>1090</v>
      </c>
      <c r="I769">
        <v>23</v>
      </c>
      <c r="J769" t="s">
        <v>1090</v>
      </c>
      <c r="K769">
        <v>220</v>
      </c>
      <c r="L769">
        <v>2.2689999999999998E-2</v>
      </c>
      <c r="M769">
        <v>4</v>
      </c>
      <c r="N769">
        <v>32.253</v>
      </c>
      <c r="O769" t="s">
        <v>6485</v>
      </c>
      <c r="P769" t="s">
        <v>6586</v>
      </c>
      <c r="Q769">
        <v>1.01102</v>
      </c>
      <c r="R769" t="s">
        <v>3303</v>
      </c>
      <c r="S769">
        <v>0.73988523268140005</v>
      </c>
    </row>
    <row r="770" spans="8:19">
      <c r="H770" t="s">
        <v>1090</v>
      </c>
      <c r="I770">
        <v>23</v>
      </c>
      <c r="J770" t="s">
        <v>1090</v>
      </c>
      <c r="K770">
        <v>220</v>
      </c>
      <c r="L770">
        <v>2.2689999999999998E-2</v>
      </c>
      <c r="M770">
        <v>5</v>
      </c>
      <c r="N770">
        <v>53.768000000000001</v>
      </c>
      <c r="O770" t="s">
        <v>6485</v>
      </c>
      <c r="P770" t="s">
        <v>6586</v>
      </c>
      <c r="Q770">
        <v>1.01102</v>
      </c>
      <c r="R770" t="s">
        <v>3303</v>
      </c>
      <c r="S770">
        <v>1.2334402750383999</v>
      </c>
    </row>
    <row r="771" spans="8:19">
      <c r="H771" t="s">
        <v>1090</v>
      </c>
      <c r="I771">
        <v>23</v>
      </c>
      <c r="J771" t="s">
        <v>1090</v>
      </c>
      <c r="K771">
        <v>220</v>
      </c>
      <c r="L771">
        <v>2.2689999999999998E-2</v>
      </c>
      <c r="M771">
        <v>6</v>
      </c>
      <c r="N771">
        <v>89.256</v>
      </c>
      <c r="O771" t="s">
        <v>6485</v>
      </c>
      <c r="P771" t="s">
        <v>6586</v>
      </c>
      <c r="Q771">
        <v>1.01102</v>
      </c>
      <c r="R771" t="s">
        <v>3303</v>
      </c>
      <c r="S771">
        <v>2.0475365494128002</v>
      </c>
    </row>
    <row r="772" spans="8:19">
      <c r="H772" t="s">
        <v>1090</v>
      </c>
      <c r="I772">
        <v>23</v>
      </c>
      <c r="J772" t="s">
        <v>1151</v>
      </c>
      <c r="K772">
        <v>220</v>
      </c>
      <c r="L772">
        <v>5.2580000000000002E-2</v>
      </c>
      <c r="M772">
        <v>1</v>
      </c>
      <c r="N772">
        <v>55.87</v>
      </c>
      <c r="O772" t="s">
        <v>6617</v>
      </c>
      <c r="P772" t="s">
        <v>6586</v>
      </c>
      <c r="Q772">
        <v>1.01102</v>
      </c>
      <c r="R772" t="s">
        <v>3303</v>
      </c>
      <c r="S772">
        <v>2.9700174434919999</v>
      </c>
    </row>
    <row r="773" spans="8:19">
      <c r="H773" t="s">
        <v>1090</v>
      </c>
      <c r="I773">
        <v>23</v>
      </c>
      <c r="J773" t="s">
        <v>1151</v>
      </c>
      <c r="K773">
        <v>220</v>
      </c>
      <c r="L773">
        <v>5.2580000000000002E-2</v>
      </c>
      <c r="M773">
        <v>2</v>
      </c>
      <c r="N773">
        <v>55.997999999999998</v>
      </c>
      <c r="O773" t="s">
        <v>6617</v>
      </c>
      <c r="P773" t="s">
        <v>6586</v>
      </c>
      <c r="Q773">
        <v>1.01102</v>
      </c>
      <c r="R773" t="s">
        <v>3303</v>
      </c>
      <c r="S773">
        <v>2.9768218507367998</v>
      </c>
    </row>
    <row r="774" spans="8:19">
      <c r="H774" t="s">
        <v>1090</v>
      </c>
      <c r="I774">
        <v>23</v>
      </c>
      <c r="J774" t="s">
        <v>1151</v>
      </c>
      <c r="K774">
        <v>220</v>
      </c>
      <c r="L774">
        <v>5.2580000000000002E-2</v>
      </c>
      <c r="M774">
        <v>3</v>
      </c>
      <c r="N774">
        <v>39.122999999999998</v>
      </c>
      <c r="O774" t="s">
        <v>6617</v>
      </c>
      <c r="P774" t="s">
        <v>6586</v>
      </c>
      <c r="Q774">
        <v>1.01102</v>
      </c>
      <c r="R774" t="s">
        <v>3303</v>
      </c>
      <c r="S774">
        <v>2.0797564424867998</v>
      </c>
    </row>
    <row r="775" spans="8:19">
      <c r="H775" t="s">
        <v>1090</v>
      </c>
      <c r="I775">
        <v>23</v>
      </c>
      <c r="J775" t="s">
        <v>1151</v>
      </c>
      <c r="K775">
        <v>220</v>
      </c>
      <c r="L775">
        <v>5.2580000000000002E-2</v>
      </c>
      <c r="M775">
        <v>4</v>
      </c>
      <c r="N775">
        <v>38.651000000000003</v>
      </c>
      <c r="O775" t="s">
        <v>6617</v>
      </c>
      <c r="P775" t="s">
        <v>6586</v>
      </c>
      <c r="Q775">
        <v>1.01102</v>
      </c>
      <c r="R775" t="s">
        <v>3303</v>
      </c>
      <c r="S775">
        <v>2.0546651907715998</v>
      </c>
    </row>
    <row r="776" spans="8:19">
      <c r="H776" t="s">
        <v>1090</v>
      </c>
      <c r="I776">
        <v>23</v>
      </c>
      <c r="J776" t="s">
        <v>1151</v>
      </c>
      <c r="K776">
        <v>220</v>
      </c>
      <c r="L776">
        <v>5.2580000000000002E-2</v>
      </c>
      <c r="M776">
        <v>5</v>
      </c>
      <c r="N776">
        <v>50.674999999999997</v>
      </c>
      <c r="O776" t="s">
        <v>6617</v>
      </c>
      <c r="P776" t="s">
        <v>6586</v>
      </c>
      <c r="Q776">
        <v>1.01102</v>
      </c>
      <c r="R776" t="s">
        <v>3303</v>
      </c>
      <c r="S776">
        <v>2.6938541963299998</v>
      </c>
    </row>
    <row r="777" spans="8:19">
      <c r="H777" t="s">
        <v>1090</v>
      </c>
      <c r="I777">
        <v>23</v>
      </c>
      <c r="J777" t="s">
        <v>1151</v>
      </c>
      <c r="K777">
        <v>220</v>
      </c>
      <c r="L777">
        <v>5.2580000000000002E-2</v>
      </c>
      <c r="M777">
        <v>6</v>
      </c>
      <c r="N777">
        <v>61.944000000000003</v>
      </c>
      <c r="O777" t="s">
        <v>6617</v>
      </c>
      <c r="P777" t="s">
        <v>6586</v>
      </c>
      <c r="Q777">
        <v>1.01102</v>
      </c>
      <c r="R777" t="s">
        <v>3303</v>
      </c>
      <c r="S777">
        <v>3.292907831030401</v>
      </c>
    </row>
    <row r="778" spans="8:19">
      <c r="H778" t="s">
        <v>1090</v>
      </c>
      <c r="I778">
        <v>23</v>
      </c>
      <c r="J778" t="s">
        <v>1151</v>
      </c>
      <c r="K778">
        <v>220</v>
      </c>
      <c r="L778">
        <v>5.2580000000000002E-2</v>
      </c>
      <c r="M778">
        <v>1</v>
      </c>
      <c r="N778">
        <v>70.893000000000001</v>
      </c>
      <c r="O778" t="s">
        <v>6485</v>
      </c>
      <c r="P778" t="s">
        <v>6586</v>
      </c>
      <c r="Q778">
        <v>1.01102</v>
      </c>
      <c r="R778" t="s">
        <v>3303</v>
      </c>
      <c r="S778">
        <v>3.7686315844188001</v>
      </c>
    </row>
    <row r="779" spans="8:19">
      <c r="H779" t="s">
        <v>1090</v>
      </c>
      <c r="I779">
        <v>23</v>
      </c>
      <c r="J779" t="s">
        <v>1151</v>
      </c>
      <c r="K779">
        <v>220</v>
      </c>
      <c r="L779">
        <v>5.2580000000000002E-2</v>
      </c>
      <c r="M779">
        <v>2</v>
      </c>
      <c r="N779">
        <v>63.523000000000003</v>
      </c>
      <c r="O779" t="s">
        <v>6485</v>
      </c>
      <c r="P779" t="s">
        <v>6586</v>
      </c>
      <c r="Q779">
        <v>1.01102</v>
      </c>
      <c r="R779" t="s">
        <v>3303</v>
      </c>
      <c r="S779">
        <v>3.3768465735267998</v>
      </c>
    </row>
    <row r="780" spans="8:19">
      <c r="H780" t="s">
        <v>1090</v>
      </c>
      <c r="I780">
        <v>23</v>
      </c>
      <c r="J780" t="s">
        <v>1151</v>
      </c>
      <c r="K780">
        <v>220</v>
      </c>
      <c r="L780">
        <v>5.2580000000000002E-2</v>
      </c>
      <c r="M780">
        <v>3</v>
      </c>
      <c r="N780">
        <v>32.936</v>
      </c>
      <c r="O780" t="s">
        <v>6485</v>
      </c>
      <c r="P780" t="s">
        <v>6586</v>
      </c>
      <c r="Q780">
        <v>1.01102</v>
      </c>
      <c r="R780" t="s">
        <v>3303</v>
      </c>
      <c r="S780">
        <v>1.7508590391776</v>
      </c>
    </row>
    <row r="781" spans="8:19">
      <c r="H781" t="s">
        <v>1090</v>
      </c>
      <c r="I781">
        <v>23</v>
      </c>
      <c r="J781" t="s">
        <v>1151</v>
      </c>
      <c r="K781">
        <v>220</v>
      </c>
      <c r="L781">
        <v>5.2580000000000002E-2</v>
      </c>
      <c r="M781">
        <v>4</v>
      </c>
      <c r="N781">
        <v>31.954999999999998</v>
      </c>
      <c r="O781" t="s">
        <v>6485</v>
      </c>
      <c r="P781" t="s">
        <v>6586</v>
      </c>
      <c r="Q781">
        <v>1.01102</v>
      </c>
      <c r="R781" t="s">
        <v>3303</v>
      </c>
      <c r="S781">
        <v>1.6987096367779999</v>
      </c>
    </row>
    <row r="782" spans="8:19">
      <c r="H782" t="s">
        <v>1090</v>
      </c>
      <c r="I782">
        <v>23</v>
      </c>
      <c r="J782" t="s">
        <v>1151</v>
      </c>
      <c r="K782">
        <v>220</v>
      </c>
      <c r="L782">
        <v>5.2580000000000002E-2</v>
      </c>
      <c r="M782">
        <v>5</v>
      </c>
      <c r="N782">
        <v>53.051000000000002</v>
      </c>
      <c r="O782" t="s">
        <v>6485</v>
      </c>
      <c r="P782" t="s">
        <v>6586</v>
      </c>
      <c r="Q782">
        <v>1.01102</v>
      </c>
      <c r="R782" t="s">
        <v>3303</v>
      </c>
      <c r="S782">
        <v>2.8201610058116011</v>
      </c>
    </row>
    <row r="783" spans="8:19">
      <c r="H783" t="s">
        <v>1090</v>
      </c>
      <c r="I783">
        <v>23</v>
      </c>
      <c r="J783" t="s">
        <v>1151</v>
      </c>
      <c r="K783">
        <v>220</v>
      </c>
      <c r="L783">
        <v>5.2580000000000002E-2</v>
      </c>
      <c r="M783">
        <v>6</v>
      </c>
      <c r="N783">
        <v>88.747</v>
      </c>
      <c r="O783" t="s">
        <v>6485</v>
      </c>
      <c r="P783" t="s">
        <v>6586</v>
      </c>
      <c r="Q783">
        <v>1.01102</v>
      </c>
      <c r="R783" t="s">
        <v>3303</v>
      </c>
      <c r="S783">
        <v>4.7177400762052004</v>
      </c>
    </row>
    <row r="784" spans="8:19">
      <c r="H784" t="s">
        <v>1128</v>
      </c>
      <c r="I784">
        <v>13</v>
      </c>
      <c r="J784" t="s">
        <v>9</v>
      </c>
      <c r="K784">
        <v>220</v>
      </c>
      <c r="L784">
        <v>0.61475900000000006</v>
      </c>
      <c r="M784">
        <v>1</v>
      </c>
      <c r="N784">
        <v>55.936</v>
      </c>
      <c r="O784" t="s">
        <v>6617</v>
      </c>
      <c r="P784" t="s">
        <v>6586</v>
      </c>
      <c r="Q784">
        <v>1.0325599999999999</v>
      </c>
      <c r="R784" t="s">
        <v>3304</v>
      </c>
      <c r="S784">
        <v>35.506805334845438</v>
      </c>
    </row>
    <row r="785" spans="8:19">
      <c r="H785" t="s">
        <v>1128</v>
      </c>
      <c r="I785">
        <v>13</v>
      </c>
      <c r="J785" t="s">
        <v>9</v>
      </c>
      <c r="K785">
        <v>220</v>
      </c>
      <c r="L785">
        <v>0.61475900000000006</v>
      </c>
      <c r="M785">
        <v>2</v>
      </c>
      <c r="N785">
        <v>56.033999999999999</v>
      </c>
      <c r="O785" t="s">
        <v>6617</v>
      </c>
      <c r="P785" t="s">
        <v>6586</v>
      </c>
      <c r="Q785">
        <v>1.0325599999999999</v>
      </c>
      <c r="R785" t="s">
        <v>3304</v>
      </c>
      <c r="S785">
        <v>35.569013339043359</v>
      </c>
    </row>
    <row r="786" spans="8:19">
      <c r="H786" t="s">
        <v>1128</v>
      </c>
      <c r="I786">
        <v>13</v>
      </c>
      <c r="J786" t="s">
        <v>9</v>
      </c>
      <c r="K786">
        <v>220</v>
      </c>
      <c r="L786">
        <v>0.61475900000000006</v>
      </c>
      <c r="M786">
        <v>3</v>
      </c>
      <c r="N786">
        <v>39.116999999999997</v>
      </c>
      <c r="O786" t="s">
        <v>6617</v>
      </c>
      <c r="P786" t="s">
        <v>6586</v>
      </c>
      <c r="Q786">
        <v>1.0325599999999999</v>
      </c>
      <c r="R786" t="s">
        <v>3304</v>
      </c>
      <c r="S786">
        <v>24.830515308265682</v>
      </c>
    </row>
    <row r="787" spans="8:19">
      <c r="H787" t="s">
        <v>1128</v>
      </c>
      <c r="I787">
        <v>13</v>
      </c>
      <c r="J787" t="s">
        <v>9</v>
      </c>
      <c r="K787">
        <v>220</v>
      </c>
      <c r="L787">
        <v>0.61475900000000006</v>
      </c>
      <c r="M787">
        <v>4</v>
      </c>
      <c r="N787">
        <v>38.668999999999997</v>
      </c>
      <c r="O787" t="s">
        <v>6617</v>
      </c>
      <c r="P787" t="s">
        <v>6586</v>
      </c>
      <c r="Q787">
        <v>1.0325599999999999</v>
      </c>
      <c r="R787" t="s">
        <v>3304</v>
      </c>
      <c r="S787">
        <v>24.54613586050376</v>
      </c>
    </row>
    <row r="788" spans="8:19">
      <c r="H788" t="s">
        <v>1128</v>
      </c>
      <c r="I788">
        <v>13</v>
      </c>
      <c r="J788" t="s">
        <v>9</v>
      </c>
      <c r="K788">
        <v>220</v>
      </c>
      <c r="L788">
        <v>0.61475900000000006</v>
      </c>
      <c r="M788">
        <v>5</v>
      </c>
      <c r="N788">
        <v>51.475999999999999</v>
      </c>
      <c r="O788" t="s">
        <v>6617</v>
      </c>
      <c r="P788" t="s">
        <v>6586</v>
      </c>
      <c r="Q788">
        <v>1.0325599999999999</v>
      </c>
      <c r="R788" t="s">
        <v>3304</v>
      </c>
      <c r="S788">
        <v>32.675706368287052</v>
      </c>
    </row>
    <row r="789" spans="8:19">
      <c r="H789" t="s">
        <v>1128</v>
      </c>
      <c r="I789">
        <v>13</v>
      </c>
      <c r="J789" t="s">
        <v>9</v>
      </c>
      <c r="K789">
        <v>220</v>
      </c>
      <c r="L789">
        <v>0.61475900000000006</v>
      </c>
      <c r="M789">
        <v>6</v>
      </c>
      <c r="N789">
        <v>62.256999999999998</v>
      </c>
      <c r="O789" t="s">
        <v>6617</v>
      </c>
      <c r="P789" t="s">
        <v>6586</v>
      </c>
      <c r="Q789">
        <v>1.0325599999999999</v>
      </c>
      <c r="R789" t="s">
        <v>3304</v>
      </c>
      <c r="S789">
        <v>39.519221605611278</v>
      </c>
    </row>
    <row r="790" spans="8:19">
      <c r="H790" t="s">
        <v>1128</v>
      </c>
      <c r="I790">
        <v>13</v>
      </c>
      <c r="J790" t="s">
        <v>9</v>
      </c>
      <c r="K790">
        <v>220</v>
      </c>
      <c r="L790">
        <v>0.61475900000000006</v>
      </c>
      <c r="M790">
        <v>1</v>
      </c>
      <c r="N790">
        <v>69.262</v>
      </c>
      <c r="O790" t="s">
        <v>6485</v>
      </c>
      <c r="P790" t="s">
        <v>6586</v>
      </c>
      <c r="Q790">
        <v>1.0325599999999999</v>
      </c>
      <c r="R790" t="s">
        <v>3304</v>
      </c>
      <c r="S790">
        <v>43.965824354656483</v>
      </c>
    </row>
    <row r="791" spans="8:19">
      <c r="H791" t="s">
        <v>1128</v>
      </c>
      <c r="I791">
        <v>13</v>
      </c>
      <c r="J791" t="s">
        <v>9</v>
      </c>
      <c r="K791">
        <v>220</v>
      </c>
      <c r="L791">
        <v>0.61475900000000006</v>
      </c>
      <c r="M791">
        <v>2</v>
      </c>
      <c r="N791">
        <v>62.783000000000001</v>
      </c>
      <c r="O791" t="s">
        <v>6485</v>
      </c>
      <c r="P791" t="s">
        <v>6586</v>
      </c>
      <c r="Q791">
        <v>1.0325599999999999</v>
      </c>
      <c r="R791" t="s">
        <v>3304</v>
      </c>
      <c r="S791">
        <v>39.853113546510322</v>
      </c>
    </row>
    <row r="792" spans="8:19">
      <c r="H792" t="s">
        <v>1128</v>
      </c>
      <c r="I792">
        <v>13</v>
      </c>
      <c r="J792" t="s">
        <v>9</v>
      </c>
      <c r="K792">
        <v>220</v>
      </c>
      <c r="L792">
        <v>0.61475900000000006</v>
      </c>
      <c r="M792">
        <v>3</v>
      </c>
      <c r="N792">
        <v>32.915999999999997</v>
      </c>
      <c r="O792" t="s">
        <v>6485</v>
      </c>
      <c r="P792" t="s">
        <v>6586</v>
      </c>
      <c r="Q792">
        <v>1.0325599999999999</v>
      </c>
      <c r="R792" t="s">
        <v>3304</v>
      </c>
      <c r="S792">
        <v>20.89427210386464</v>
      </c>
    </row>
    <row r="793" spans="8:19">
      <c r="H793" t="s">
        <v>1128</v>
      </c>
      <c r="I793">
        <v>13</v>
      </c>
      <c r="J793" t="s">
        <v>9</v>
      </c>
      <c r="K793">
        <v>220</v>
      </c>
      <c r="L793">
        <v>0.61475900000000006</v>
      </c>
      <c r="M793">
        <v>4</v>
      </c>
      <c r="N793">
        <v>32.179000000000002</v>
      </c>
      <c r="O793" t="s">
        <v>6485</v>
      </c>
      <c r="P793" t="s">
        <v>6586</v>
      </c>
      <c r="Q793">
        <v>1.0325599999999999</v>
      </c>
      <c r="R793" t="s">
        <v>3304</v>
      </c>
      <c r="S793">
        <v>20.426442521274161</v>
      </c>
    </row>
    <row r="794" spans="8:19">
      <c r="H794" t="s">
        <v>1128</v>
      </c>
      <c r="I794">
        <v>13</v>
      </c>
      <c r="J794" t="s">
        <v>9</v>
      </c>
      <c r="K794">
        <v>220</v>
      </c>
      <c r="L794">
        <v>0.61475900000000006</v>
      </c>
      <c r="M794">
        <v>5</v>
      </c>
      <c r="N794">
        <v>54.389000000000003</v>
      </c>
      <c r="O794" t="s">
        <v>6485</v>
      </c>
      <c r="P794" t="s">
        <v>6586</v>
      </c>
      <c r="Q794">
        <v>1.0325599999999999</v>
      </c>
      <c r="R794" t="s">
        <v>3304</v>
      </c>
      <c r="S794">
        <v>34.524807554292558</v>
      </c>
    </row>
    <row r="795" spans="8:19">
      <c r="H795" t="s">
        <v>1128</v>
      </c>
      <c r="I795">
        <v>13</v>
      </c>
      <c r="J795" t="s">
        <v>9</v>
      </c>
      <c r="K795">
        <v>220</v>
      </c>
      <c r="L795">
        <v>0.61475900000000006</v>
      </c>
      <c r="M795">
        <v>6</v>
      </c>
      <c r="N795">
        <v>88.427000000000007</v>
      </c>
      <c r="O795" t="s">
        <v>6485</v>
      </c>
      <c r="P795" t="s">
        <v>6586</v>
      </c>
      <c r="Q795">
        <v>1.0325599999999999</v>
      </c>
      <c r="R795" t="s">
        <v>3304</v>
      </c>
      <c r="S795">
        <v>56.131297828668089</v>
      </c>
    </row>
    <row r="796" spans="8:19">
      <c r="H796" t="s">
        <v>1128</v>
      </c>
      <c r="I796">
        <v>13</v>
      </c>
      <c r="J796" t="s">
        <v>14</v>
      </c>
      <c r="K796">
        <v>220</v>
      </c>
      <c r="L796">
        <v>7.0479999999999996E-3</v>
      </c>
      <c r="M796">
        <v>1</v>
      </c>
      <c r="N796">
        <v>56.027999999999999</v>
      </c>
      <c r="O796" t="s">
        <v>6617</v>
      </c>
      <c r="P796" t="s">
        <v>6586</v>
      </c>
      <c r="Q796">
        <v>1.0325599999999999</v>
      </c>
      <c r="R796" t="s">
        <v>3304</v>
      </c>
      <c r="S796">
        <v>0.40774281080064001</v>
      </c>
    </row>
    <row r="797" spans="8:19">
      <c r="H797" t="s">
        <v>1128</v>
      </c>
      <c r="I797">
        <v>13</v>
      </c>
      <c r="J797" t="s">
        <v>14</v>
      </c>
      <c r="K797">
        <v>220</v>
      </c>
      <c r="L797">
        <v>7.0479999999999996E-3</v>
      </c>
      <c r="M797">
        <v>2</v>
      </c>
      <c r="N797">
        <v>56.122999999999998</v>
      </c>
      <c r="O797" t="s">
        <v>6617</v>
      </c>
      <c r="P797" t="s">
        <v>6586</v>
      </c>
      <c r="Q797">
        <v>1.0325599999999999</v>
      </c>
      <c r="R797" t="s">
        <v>3304</v>
      </c>
      <c r="S797">
        <v>0.40843417167424001</v>
      </c>
    </row>
    <row r="798" spans="8:19">
      <c r="H798" t="s">
        <v>1128</v>
      </c>
      <c r="I798">
        <v>13</v>
      </c>
      <c r="J798" t="s">
        <v>14</v>
      </c>
      <c r="K798">
        <v>220</v>
      </c>
      <c r="L798">
        <v>7.0479999999999996E-3</v>
      </c>
      <c r="M798">
        <v>3</v>
      </c>
      <c r="N798">
        <v>39.145000000000003</v>
      </c>
      <c r="O798" t="s">
        <v>6617</v>
      </c>
      <c r="P798" t="s">
        <v>6586</v>
      </c>
      <c r="Q798">
        <v>1.0325599999999999</v>
      </c>
      <c r="R798" t="s">
        <v>3304</v>
      </c>
      <c r="S798">
        <v>0.28487706733759999</v>
      </c>
    </row>
    <row r="799" spans="8:19">
      <c r="H799" t="s">
        <v>1128</v>
      </c>
      <c r="I799">
        <v>13</v>
      </c>
      <c r="J799" t="s">
        <v>14</v>
      </c>
      <c r="K799">
        <v>220</v>
      </c>
      <c r="L799">
        <v>7.0479999999999996E-3</v>
      </c>
      <c r="M799">
        <v>4</v>
      </c>
      <c r="N799">
        <v>38.646999999999998</v>
      </c>
      <c r="O799" t="s">
        <v>6617</v>
      </c>
      <c r="P799" t="s">
        <v>6586</v>
      </c>
      <c r="Q799">
        <v>1.0325599999999999</v>
      </c>
      <c r="R799" t="s">
        <v>3304</v>
      </c>
      <c r="S799">
        <v>0.28125288086335998</v>
      </c>
    </row>
    <row r="800" spans="8:19">
      <c r="H800" t="s">
        <v>1128</v>
      </c>
      <c r="I800">
        <v>13</v>
      </c>
      <c r="J800" t="s">
        <v>14</v>
      </c>
      <c r="K800">
        <v>220</v>
      </c>
      <c r="L800">
        <v>7.0479999999999996E-3</v>
      </c>
      <c r="M800">
        <v>5</v>
      </c>
      <c r="N800">
        <v>49.831000000000003</v>
      </c>
      <c r="O800" t="s">
        <v>6617</v>
      </c>
      <c r="P800" t="s">
        <v>6586</v>
      </c>
      <c r="Q800">
        <v>1.0325599999999999</v>
      </c>
      <c r="R800" t="s">
        <v>3304</v>
      </c>
      <c r="S800">
        <v>0.36264424939327999</v>
      </c>
    </row>
    <row r="801" spans="8:19">
      <c r="H801" t="s">
        <v>1128</v>
      </c>
      <c r="I801">
        <v>13</v>
      </c>
      <c r="J801" t="s">
        <v>14</v>
      </c>
      <c r="K801">
        <v>220</v>
      </c>
      <c r="L801">
        <v>7.0479999999999996E-3</v>
      </c>
      <c r="M801">
        <v>6</v>
      </c>
      <c r="N801">
        <v>61.533000000000001</v>
      </c>
      <c r="O801" t="s">
        <v>6617</v>
      </c>
      <c r="P801" t="s">
        <v>6586</v>
      </c>
      <c r="Q801">
        <v>1.0325599999999999</v>
      </c>
      <c r="R801" t="s">
        <v>3304</v>
      </c>
      <c r="S801">
        <v>0.44780535405504002</v>
      </c>
    </row>
    <row r="802" spans="8:19">
      <c r="H802" t="s">
        <v>1128</v>
      </c>
      <c r="I802">
        <v>13</v>
      </c>
      <c r="J802" t="s">
        <v>14</v>
      </c>
      <c r="K802">
        <v>220</v>
      </c>
      <c r="L802">
        <v>7.0479999999999996E-3</v>
      </c>
      <c r="M802">
        <v>1</v>
      </c>
      <c r="N802">
        <v>70.548000000000002</v>
      </c>
      <c r="O802" t="s">
        <v>6485</v>
      </c>
      <c r="P802" t="s">
        <v>6586</v>
      </c>
      <c r="Q802">
        <v>1.0325599999999999</v>
      </c>
      <c r="R802" t="s">
        <v>3304</v>
      </c>
      <c r="S802">
        <v>0.51341186221823998</v>
      </c>
    </row>
    <row r="803" spans="8:19">
      <c r="H803" t="s">
        <v>1128</v>
      </c>
      <c r="I803">
        <v>13</v>
      </c>
      <c r="J803" t="s">
        <v>14</v>
      </c>
      <c r="K803">
        <v>220</v>
      </c>
      <c r="L803">
        <v>7.0479999999999996E-3</v>
      </c>
      <c r="M803">
        <v>2</v>
      </c>
      <c r="N803">
        <v>63.55</v>
      </c>
      <c r="O803" t="s">
        <v>6485</v>
      </c>
      <c r="P803" t="s">
        <v>6586</v>
      </c>
      <c r="Q803">
        <v>1.0325599999999999</v>
      </c>
      <c r="R803" t="s">
        <v>3304</v>
      </c>
      <c r="S803">
        <v>0.46248403702399993</v>
      </c>
    </row>
    <row r="804" spans="8:19">
      <c r="H804" t="s">
        <v>1128</v>
      </c>
      <c r="I804">
        <v>13</v>
      </c>
      <c r="J804" t="s">
        <v>14</v>
      </c>
      <c r="K804">
        <v>220</v>
      </c>
      <c r="L804">
        <v>7.0479999999999996E-3</v>
      </c>
      <c r="M804">
        <v>3</v>
      </c>
      <c r="N804">
        <v>32.978000000000002</v>
      </c>
      <c r="O804" t="s">
        <v>6485</v>
      </c>
      <c r="P804" t="s">
        <v>6586</v>
      </c>
      <c r="Q804">
        <v>1.0325599999999999</v>
      </c>
      <c r="R804" t="s">
        <v>3304</v>
      </c>
      <c r="S804">
        <v>0.23999683041663999</v>
      </c>
    </row>
    <row r="805" spans="8:19">
      <c r="H805" t="s">
        <v>1128</v>
      </c>
      <c r="I805">
        <v>13</v>
      </c>
      <c r="J805" t="s">
        <v>14</v>
      </c>
      <c r="K805">
        <v>220</v>
      </c>
      <c r="L805">
        <v>7.0479999999999996E-3</v>
      </c>
      <c r="M805">
        <v>4</v>
      </c>
      <c r="N805">
        <v>31.867000000000001</v>
      </c>
      <c r="O805" t="s">
        <v>6485</v>
      </c>
      <c r="P805" t="s">
        <v>6586</v>
      </c>
      <c r="Q805">
        <v>1.0325599999999999</v>
      </c>
      <c r="R805" t="s">
        <v>3304</v>
      </c>
      <c r="S805">
        <v>0.23191154693696001</v>
      </c>
    </row>
    <row r="806" spans="8:19">
      <c r="H806" t="s">
        <v>1128</v>
      </c>
      <c r="I806">
        <v>13</v>
      </c>
      <c r="J806" t="s">
        <v>14</v>
      </c>
      <c r="K806">
        <v>220</v>
      </c>
      <c r="L806">
        <v>7.0479999999999996E-3</v>
      </c>
      <c r="M806">
        <v>5</v>
      </c>
      <c r="N806">
        <v>51.658000000000001</v>
      </c>
      <c r="O806" t="s">
        <v>6485</v>
      </c>
      <c r="P806" t="s">
        <v>6586</v>
      </c>
      <c r="Q806">
        <v>1.0325599999999999</v>
      </c>
      <c r="R806" t="s">
        <v>3304</v>
      </c>
      <c r="S806">
        <v>0.37594021061504002</v>
      </c>
    </row>
    <row r="807" spans="8:19">
      <c r="H807" t="s">
        <v>1128</v>
      </c>
      <c r="I807">
        <v>13</v>
      </c>
      <c r="J807" t="s">
        <v>14</v>
      </c>
      <c r="K807">
        <v>220</v>
      </c>
      <c r="L807">
        <v>7.0479999999999996E-3</v>
      </c>
      <c r="M807">
        <v>6</v>
      </c>
      <c r="N807">
        <v>88.040999999999997</v>
      </c>
      <c r="O807" t="s">
        <v>6485</v>
      </c>
      <c r="P807" t="s">
        <v>6586</v>
      </c>
      <c r="Q807">
        <v>1.0325599999999999</v>
      </c>
      <c r="R807" t="s">
        <v>3304</v>
      </c>
      <c r="S807">
        <v>0.64071687023807988</v>
      </c>
    </row>
    <row r="808" spans="8:19">
      <c r="H808" t="s">
        <v>1128</v>
      </c>
      <c r="I808">
        <v>13</v>
      </c>
      <c r="J808" t="s">
        <v>248</v>
      </c>
      <c r="K808">
        <v>220</v>
      </c>
      <c r="L808">
        <v>8.7659999999999995E-3</v>
      </c>
      <c r="M808">
        <v>1</v>
      </c>
      <c r="N808">
        <v>54.328000000000003</v>
      </c>
      <c r="O808" t="s">
        <v>6617</v>
      </c>
      <c r="P808" t="s">
        <v>6586</v>
      </c>
      <c r="Q808">
        <v>1.0325599999999999</v>
      </c>
      <c r="R808" t="s">
        <v>3304</v>
      </c>
      <c r="S808">
        <v>0.49174559791487998</v>
      </c>
    </row>
    <row r="809" spans="8:19">
      <c r="H809" t="s">
        <v>1128</v>
      </c>
      <c r="I809">
        <v>13</v>
      </c>
      <c r="J809" t="s">
        <v>248</v>
      </c>
      <c r="K809">
        <v>220</v>
      </c>
      <c r="L809">
        <v>8.7659999999999995E-3</v>
      </c>
      <c r="M809">
        <v>2</v>
      </c>
      <c r="N809">
        <v>54.436999999999998</v>
      </c>
      <c r="O809" t="s">
        <v>6617</v>
      </c>
      <c r="P809" t="s">
        <v>6586</v>
      </c>
      <c r="Q809">
        <v>1.0325599999999999</v>
      </c>
      <c r="R809" t="s">
        <v>3304</v>
      </c>
      <c r="S809">
        <v>0.4927322027995199</v>
      </c>
    </row>
    <row r="810" spans="8:19">
      <c r="H810" t="s">
        <v>1128</v>
      </c>
      <c r="I810">
        <v>13</v>
      </c>
      <c r="J810" t="s">
        <v>248</v>
      </c>
      <c r="K810">
        <v>220</v>
      </c>
      <c r="L810">
        <v>8.7659999999999995E-3</v>
      </c>
      <c r="M810">
        <v>3</v>
      </c>
      <c r="N810">
        <v>39.161000000000001</v>
      </c>
      <c r="O810" t="s">
        <v>6617</v>
      </c>
      <c r="P810" t="s">
        <v>6586</v>
      </c>
      <c r="Q810">
        <v>1.0325599999999999</v>
      </c>
      <c r="R810" t="s">
        <v>3304</v>
      </c>
      <c r="S810">
        <v>0.35446269621456</v>
      </c>
    </row>
    <row r="811" spans="8:19">
      <c r="H811" t="s">
        <v>1128</v>
      </c>
      <c r="I811">
        <v>13</v>
      </c>
      <c r="J811" t="s">
        <v>248</v>
      </c>
      <c r="K811">
        <v>220</v>
      </c>
      <c r="L811">
        <v>8.7659999999999995E-3</v>
      </c>
      <c r="M811">
        <v>4</v>
      </c>
      <c r="N811">
        <v>38.674999999999997</v>
      </c>
      <c r="O811" t="s">
        <v>6617</v>
      </c>
      <c r="P811" t="s">
        <v>6586</v>
      </c>
      <c r="Q811">
        <v>1.0325599999999999</v>
      </c>
      <c r="R811" t="s">
        <v>3304</v>
      </c>
      <c r="S811">
        <v>0.35006370562799988</v>
      </c>
    </row>
    <row r="812" spans="8:19">
      <c r="H812" t="s">
        <v>1128</v>
      </c>
      <c r="I812">
        <v>13</v>
      </c>
      <c r="J812" t="s">
        <v>248</v>
      </c>
      <c r="K812">
        <v>220</v>
      </c>
      <c r="L812">
        <v>8.7659999999999995E-3</v>
      </c>
      <c r="M812">
        <v>5</v>
      </c>
      <c r="N812">
        <v>49.055</v>
      </c>
      <c r="O812" t="s">
        <v>6617</v>
      </c>
      <c r="P812" t="s">
        <v>6586</v>
      </c>
      <c r="Q812">
        <v>1.0325599999999999</v>
      </c>
      <c r="R812" t="s">
        <v>3304</v>
      </c>
      <c r="S812">
        <v>0.44401745519279989</v>
      </c>
    </row>
    <row r="813" spans="8:19">
      <c r="H813" t="s">
        <v>1128</v>
      </c>
      <c r="I813">
        <v>13</v>
      </c>
      <c r="J813" t="s">
        <v>248</v>
      </c>
      <c r="K813">
        <v>220</v>
      </c>
      <c r="L813">
        <v>8.7659999999999995E-3</v>
      </c>
      <c r="M813">
        <v>6</v>
      </c>
      <c r="N813">
        <v>58.87</v>
      </c>
      <c r="O813" t="s">
        <v>6617</v>
      </c>
      <c r="P813" t="s">
        <v>6586</v>
      </c>
      <c r="Q813">
        <v>1.0325599999999999</v>
      </c>
      <c r="R813" t="s">
        <v>3304</v>
      </c>
      <c r="S813">
        <v>0.53285715191519989</v>
      </c>
    </row>
    <row r="814" spans="8:19">
      <c r="H814" t="s">
        <v>1128</v>
      </c>
      <c r="I814">
        <v>13</v>
      </c>
      <c r="J814" t="s">
        <v>248</v>
      </c>
      <c r="K814">
        <v>220</v>
      </c>
      <c r="L814">
        <v>8.7659999999999995E-3</v>
      </c>
      <c r="M814">
        <v>1</v>
      </c>
      <c r="N814">
        <v>65.05</v>
      </c>
      <c r="O814" t="s">
        <v>6485</v>
      </c>
      <c r="P814" t="s">
        <v>6586</v>
      </c>
      <c r="Q814">
        <v>1.0325599999999999</v>
      </c>
      <c r="R814" t="s">
        <v>3304</v>
      </c>
      <c r="S814">
        <v>0.58879493344799982</v>
      </c>
    </row>
    <row r="815" spans="8:19">
      <c r="H815" t="s">
        <v>1128</v>
      </c>
      <c r="I815">
        <v>13</v>
      </c>
      <c r="J815" t="s">
        <v>248</v>
      </c>
      <c r="K815">
        <v>220</v>
      </c>
      <c r="L815">
        <v>8.7659999999999995E-3</v>
      </c>
      <c r="M815">
        <v>2</v>
      </c>
      <c r="N815">
        <v>60.055999999999997</v>
      </c>
      <c r="O815" t="s">
        <v>6485</v>
      </c>
      <c r="P815" t="s">
        <v>6586</v>
      </c>
      <c r="Q815">
        <v>1.0325599999999999</v>
      </c>
      <c r="R815" t="s">
        <v>3304</v>
      </c>
      <c r="S815">
        <v>0.54359213717375987</v>
      </c>
    </row>
    <row r="816" spans="8:19">
      <c r="H816" t="s">
        <v>1128</v>
      </c>
      <c r="I816">
        <v>13</v>
      </c>
      <c r="J816" t="s">
        <v>248</v>
      </c>
      <c r="K816">
        <v>220</v>
      </c>
      <c r="L816">
        <v>8.7659999999999995E-3</v>
      </c>
      <c r="M816">
        <v>3</v>
      </c>
      <c r="N816">
        <v>33.075000000000003</v>
      </c>
      <c r="O816" t="s">
        <v>6485</v>
      </c>
      <c r="P816" t="s">
        <v>6586</v>
      </c>
      <c r="Q816">
        <v>1.0325599999999999</v>
      </c>
      <c r="R816" t="s">
        <v>3304</v>
      </c>
      <c r="S816">
        <v>0.29937574825199997</v>
      </c>
    </row>
    <row r="817" spans="8:19">
      <c r="H817" t="s">
        <v>1128</v>
      </c>
      <c r="I817">
        <v>13</v>
      </c>
      <c r="J817" t="s">
        <v>248</v>
      </c>
      <c r="K817">
        <v>220</v>
      </c>
      <c r="L817">
        <v>8.7659999999999995E-3</v>
      </c>
      <c r="M817">
        <v>4</v>
      </c>
      <c r="N817">
        <v>32.075000000000003</v>
      </c>
      <c r="O817" t="s">
        <v>6485</v>
      </c>
      <c r="P817" t="s">
        <v>6586</v>
      </c>
      <c r="Q817">
        <v>1.0325599999999999</v>
      </c>
      <c r="R817" t="s">
        <v>3304</v>
      </c>
      <c r="S817">
        <v>0.29032432729199997</v>
      </c>
    </row>
    <row r="818" spans="8:19">
      <c r="H818" t="s">
        <v>1128</v>
      </c>
      <c r="I818">
        <v>13</v>
      </c>
      <c r="J818" t="s">
        <v>248</v>
      </c>
      <c r="K818">
        <v>220</v>
      </c>
      <c r="L818">
        <v>8.7659999999999995E-3</v>
      </c>
      <c r="M818">
        <v>5</v>
      </c>
      <c r="N818">
        <v>50.77</v>
      </c>
      <c r="O818" t="s">
        <v>6485</v>
      </c>
      <c r="P818" t="s">
        <v>6586</v>
      </c>
      <c r="Q818">
        <v>1.0325599999999999</v>
      </c>
      <c r="R818" t="s">
        <v>3304</v>
      </c>
      <c r="S818">
        <v>0.45954064213919987</v>
      </c>
    </row>
    <row r="819" spans="8:19">
      <c r="H819" t="s">
        <v>1128</v>
      </c>
      <c r="I819">
        <v>13</v>
      </c>
      <c r="J819" t="s">
        <v>248</v>
      </c>
      <c r="K819">
        <v>220</v>
      </c>
      <c r="L819">
        <v>8.7659999999999995E-3</v>
      </c>
      <c r="M819">
        <v>6</v>
      </c>
      <c r="N819">
        <v>78.662999999999997</v>
      </c>
      <c r="O819" t="s">
        <v>6485</v>
      </c>
      <c r="P819" t="s">
        <v>6586</v>
      </c>
      <c r="Q819">
        <v>1.0325599999999999</v>
      </c>
      <c r="R819" t="s">
        <v>3304</v>
      </c>
      <c r="S819">
        <v>0.71201192697647997</v>
      </c>
    </row>
    <row r="820" spans="8:19">
      <c r="H820" t="s">
        <v>1128</v>
      </c>
      <c r="I820">
        <v>13</v>
      </c>
      <c r="J820" t="s">
        <v>548</v>
      </c>
      <c r="K820">
        <v>220</v>
      </c>
      <c r="L820">
        <v>0.36677599999999999</v>
      </c>
      <c r="M820">
        <v>1</v>
      </c>
      <c r="N820">
        <v>55.128</v>
      </c>
      <c r="O820" t="s">
        <v>6617</v>
      </c>
      <c r="P820" t="s">
        <v>6586</v>
      </c>
      <c r="Q820">
        <v>1.0325599999999999</v>
      </c>
      <c r="R820" t="s">
        <v>3304</v>
      </c>
      <c r="S820">
        <v>20.87797839379968</v>
      </c>
    </row>
    <row r="821" spans="8:19">
      <c r="H821" t="s">
        <v>1128</v>
      </c>
      <c r="I821">
        <v>13</v>
      </c>
      <c r="J821" t="s">
        <v>548</v>
      </c>
      <c r="K821">
        <v>220</v>
      </c>
      <c r="L821">
        <v>0.36677599999999999</v>
      </c>
      <c r="M821">
        <v>2</v>
      </c>
      <c r="N821">
        <v>55.256999999999998</v>
      </c>
      <c r="O821" t="s">
        <v>6617</v>
      </c>
      <c r="P821" t="s">
        <v>6586</v>
      </c>
      <c r="Q821">
        <v>1.0325599999999999</v>
      </c>
      <c r="R821" t="s">
        <v>3304</v>
      </c>
      <c r="S821">
        <v>20.926833045025919</v>
      </c>
    </row>
    <row r="822" spans="8:19">
      <c r="H822" t="s">
        <v>1128</v>
      </c>
      <c r="I822">
        <v>13</v>
      </c>
      <c r="J822" t="s">
        <v>548</v>
      </c>
      <c r="K822">
        <v>220</v>
      </c>
      <c r="L822">
        <v>0.36677599999999999</v>
      </c>
      <c r="M822">
        <v>3</v>
      </c>
      <c r="N822">
        <v>39.152000000000001</v>
      </c>
      <c r="O822" t="s">
        <v>6617</v>
      </c>
      <c r="P822" t="s">
        <v>6586</v>
      </c>
      <c r="Q822">
        <v>1.0325599999999999</v>
      </c>
      <c r="R822" t="s">
        <v>3304</v>
      </c>
      <c r="S822">
        <v>14.82757600627712</v>
      </c>
    </row>
    <row r="823" spans="8:19">
      <c r="H823" t="s">
        <v>1128</v>
      </c>
      <c r="I823">
        <v>13</v>
      </c>
      <c r="J823" t="s">
        <v>548</v>
      </c>
      <c r="K823">
        <v>220</v>
      </c>
      <c r="L823">
        <v>0.36677599999999999</v>
      </c>
      <c r="M823">
        <v>4</v>
      </c>
      <c r="N823">
        <v>38.615000000000002</v>
      </c>
      <c r="O823" t="s">
        <v>6617</v>
      </c>
      <c r="P823" t="s">
        <v>6586</v>
      </c>
      <c r="Q823">
        <v>1.0325599999999999</v>
      </c>
      <c r="R823" t="s">
        <v>3304</v>
      </c>
      <c r="S823">
        <v>14.6242043186144</v>
      </c>
    </row>
    <row r="824" spans="8:19">
      <c r="H824" t="s">
        <v>1128</v>
      </c>
      <c r="I824">
        <v>13</v>
      </c>
      <c r="J824" t="s">
        <v>548</v>
      </c>
      <c r="K824">
        <v>220</v>
      </c>
      <c r="L824">
        <v>0.36677599999999999</v>
      </c>
      <c r="M824">
        <v>5</v>
      </c>
      <c r="N824">
        <v>46.902000000000001</v>
      </c>
      <c r="O824" t="s">
        <v>6617</v>
      </c>
      <c r="P824" t="s">
        <v>6586</v>
      </c>
      <c r="Q824">
        <v>1.0325599999999999</v>
      </c>
      <c r="R824" t="s">
        <v>3304</v>
      </c>
      <c r="S824">
        <v>17.762642262117119</v>
      </c>
    </row>
    <row r="825" spans="8:19">
      <c r="H825" t="s">
        <v>1128</v>
      </c>
      <c r="I825">
        <v>13</v>
      </c>
      <c r="J825" t="s">
        <v>548</v>
      </c>
      <c r="K825">
        <v>220</v>
      </c>
      <c r="L825">
        <v>0.36677599999999999</v>
      </c>
      <c r="M825">
        <v>6</v>
      </c>
      <c r="N825">
        <v>58.256</v>
      </c>
      <c r="O825" t="s">
        <v>6617</v>
      </c>
      <c r="P825" t="s">
        <v>6586</v>
      </c>
      <c r="Q825">
        <v>1.0325599999999999</v>
      </c>
      <c r="R825" t="s">
        <v>3304</v>
      </c>
      <c r="S825">
        <v>22.062609006479359</v>
      </c>
    </row>
    <row r="826" spans="8:19">
      <c r="H826" t="s">
        <v>1128</v>
      </c>
      <c r="I826">
        <v>13</v>
      </c>
      <c r="J826" t="s">
        <v>548</v>
      </c>
      <c r="K826">
        <v>220</v>
      </c>
      <c r="L826">
        <v>0.36677599999999999</v>
      </c>
      <c r="M826">
        <v>1</v>
      </c>
      <c r="N826">
        <v>66.899000000000001</v>
      </c>
      <c r="O826" t="s">
        <v>6485</v>
      </c>
      <c r="P826" t="s">
        <v>6586</v>
      </c>
      <c r="Q826">
        <v>1.0325599999999999</v>
      </c>
      <c r="R826" t="s">
        <v>3304</v>
      </c>
      <c r="S826">
        <v>25.335870638637441</v>
      </c>
    </row>
    <row r="827" spans="8:19">
      <c r="H827" t="s">
        <v>1128</v>
      </c>
      <c r="I827">
        <v>13</v>
      </c>
      <c r="J827" t="s">
        <v>548</v>
      </c>
      <c r="K827">
        <v>220</v>
      </c>
      <c r="L827">
        <v>0.36677599999999999</v>
      </c>
      <c r="M827">
        <v>2</v>
      </c>
      <c r="N827">
        <v>61.454000000000001</v>
      </c>
      <c r="O827" t="s">
        <v>6485</v>
      </c>
      <c r="P827" t="s">
        <v>6586</v>
      </c>
      <c r="Q827">
        <v>1.0325599999999999</v>
      </c>
      <c r="R827" t="s">
        <v>3304</v>
      </c>
      <c r="S827">
        <v>23.273749895018241</v>
      </c>
    </row>
    <row r="828" spans="8:19">
      <c r="H828" t="s">
        <v>1128</v>
      </c>
      <c r="I828">
        <v>13</v>
      </c>
      <c r="J828" t="s">
        <v>548</v>
      </c>
      <c r="K828">
        <v>220</v>
      </c>
      <c r="L828">
        <v>0.36677599999999999</v>
      </c>
      <c r="M828">
        <v>3</v>
      </c>
      <c r="N828">
        <v>32.872</v>
      </c>
      <c r="O828" t="s">
        <v>6485</v>
      </c>
      <c r="P828" t="s">
        <v>6586</v>
      </c>
      <c r="Q828">
        <v>1.0325599999999999</v>
      </c>
      <c r="R828" t="s">
        <v>3304</v>
      </c>
      <c r="S828">
        <v>12.449225543480321</v>
      </c>
    </row>
    <row r="829" spans="8:19">
      <c r="H829" t="s">
        <v>1128</v>
      </c>
      <c r="I829">
        <v>13</v>
      </c>
      <c r="J829" t="s">
        <v>548</v>
      </c>
      <c r="K829">
        <v>220</v>
      </c>
      <c r="L829">
        <v>0.36677599999999999</v>
      </c>
      <c r="M829">
        <v>4</v>
      </c>
      <c r="N829">
        <v>31.65</v>
      </c>
      <c r="O829" t="s">
        <v>6485</v>
      </c>
      <c r="P829" t="s">
        <v>6586</v>
      </c>
      <c r="Q829">
        <v>1.0325599999999999</v>
      </c>
      <c r="R829" t="s">
        <v>3304</v>
      </c>
      <c r="S829">
        <v>11.986431870623999</v>
      </c>
    </row>
    <row r="830" spans="8:19">
      <c r="H830" t="s">
        <v>1128</v>
      </c>
      <c r="I830">
        <v>13</v>
      </c>
      <c r="J830" t="s">
        <v>548</v>
      </c>
      <c r="K830">
        <v>220</v>
      </c>
      <c r="L830">
        <v>0.36677599999999999</v>
      </c>
      <c r="M830">
        <v>5</v>
      </c>
      <c r="N830">
        <v>46.981999999999999</v>
      </c>
      <c r="O830" t="s">
        <v>6485</v>
      </c>
      <c r="P830" t="s">
        <v>6586</v>
      </c>
      <c r="Q830">
        <v>1.0325599999999999</v>
      </c>
      <c r="R830" t="s">
        <v>3304</v>
      </c>
      <c r="S830">
        <v>17.792939720241922</v>
      </c>
    </row>
    <row r="831" spans="8:19">
      <c r="H831" t="s">
        <v>1128</v>
      </c>
      <c r="I831">
        <v>13</v>
      </c>
      <c r="J831" t="s">
        <v>548</v>
      </c>
      <c r="K831">
        <v>220</v>
      </c>
      <c r="L831">
        <v>0.36677599999999999</v>
      </c>
      <c r="M831">
        <v>6</v>
      </c>
      <c r="N831">
        <v>79.751999999999995</v>
      </c>
      <c r="O831" t="s">
        <v>6485</v>
      </c>
      <c r="P831" t="s">
        <v>6586</v>
      </c>
      <c r="Q831">
        <v>1.0325599999999999</v>
      </c>
      <c r="R831" t="s">
        <v>3304</v>
      </c>
      <c r="S831">
        <v>30.20353600461312</v>
      </c>
    </row>
    <row r="832" spans="8:19">
      <c r="H832" t="s">
        <v>1128</v>
      </c>
      <c r="I832">
        <v>13</v>
      </c>
      <c r="J832" t="s">
        <v>1197</v>
      </c>
      <c r="K832">
        <v>220</v>
      </c>
      <c r="L832">
        <v>2.6519999999999998E-3</v>
      </c>
      <c r="M832">
        <v>1</v>
      </c>
      <c r="N832">
        <v>55.825000000000003</v>
      </c>
      <c r="O832" t="s">
        <v>6617</v>
      </c>
      <c r="P832" t="s">
        <v>6586</v>
      </c>
      <c r="Q832">
        <v>1.0325599999999999</v>
      </c>
      <c r="R832" t="s">
        <v>3304</v>
      </c>
      <c r="S832">
        <v>0.15286833962400001</v>
      </c>
    </row>
    <row r="833" spans="8:19">
      <c r="H833" t="s">
        <v>1128</v>
      </c>
      <c r="I833">
        <v>13</v>
      </c>
      <c r="J833" t="s">
        <v>1197</v>
      </c>
      <c r="K833">
        <v>220</v>
      </c>
      <c r="L833">
        <v>2.6519999999999998E-3</v>
      </c>
      <c r="M833">
        <v>2</v>
      </c>
      <c r="N833">
        <v>56.061999999999998</v>
      </c>
      <c r="O833" t="s">
        <v>6617</v>
      </c>
      <c r="P833" t="s">
        <v>6586</v>
      </c>
      <c r="Q833">
        <v>1.0325599999999999</v>
      </c>
      <c r="R833" t="s">
        <v>3304</v>
      </c>
      <c r="S833">
        <v>0.15351732836543999</v>
      </c>
    </row>
    <row r="834" spans="8:19">
      <c r="H834" t="s">
        <v>1128</v>
      </c>
      <c r="I834">
        <v>13</v>
      </c>
      <c r="J834" t="s">
        <v>1197</v>
      </c>
      <c r="K834">
        <v>220</v>
      </c>
      <c r="L834">
        <v>2.6519999999999998E-3</v>
      </c>
      <c r="M834">
        <v>3</v>
      </c>
      <c r="N834">
        <v>39.136000000000003</v>
      </c>
      <c r="O834" t="s">
        <v>6617</v>
      </c>
      <c r="P834" t="s">
        <v>6586</v>
      </c>
      <c r="Q834">
        <v>1.0325599999999999</v>
      </c>
      <c r="R834" t="s">
        <v>3304</v>
      </c>
      <c r="S834">
        <v>0.10716803116032</v>
      </c>
    </row>
    <row r="835" spans="8:19">
      <c r="H835" t="s">
        <v>1128</v>
      </c>
      <c r="I835">
        <v>13</v>
      </c>
      <c r="J835" t="s">
        <v>1197</v>
      </c>
      <c r="K835">
        <v>220</v>
      </c>
      <c r="L835">
        <v>2.6519999999999998E-3</v>
      </c>
      <c r="M835">
        <v>4</v>
      </c>
      <c r="N835">
        <v>38.625</v>
      </c>
      <c r="O835" t="s">
        <v>6617</v>
      </c>
      <c r="P835" t="s">
        <v>6586</v>
      </c>
      <c r="Q835">
        <v>1.0325599999999999</v>
      </c>
      <c r="R835" t="s">
        <v>3304</v>
      </c>
      <c r="S835">
        <v>0.10576873476</v>
      </c>
    </row>
    <row r="836" spans="8:19">
      <c r="H836" t="s">
        <v>1128</v>
      </c>
      <c r="I836">
        <v>13</v>
      </c>
      <c r="J836" t="s">
        <v>1197</v>
      </c>
      <c r="K836">
        <v>220</v>
      </c>
      <c r="L836">
        <v>2.6519999999999998E-3</v>
      </c>
      <c r="M836">
        <v>5</v>
      </c>
      <c r="N836">
        <v>49.764000000000003</v>
      </c>
      <c r="O836" t="s">
        <v>6617</v>
      </c>
      <c r="P836" t="s">
        <v>6586</v>
      </c>
      <c r="Q836">
        <v>1.0325599999999999</v>
      </c>
      <c r="R836" t="s">
        <v>3304</v>
      </c>
      <c r="S836">
        <v>0.13627120560768</v>
      </c>
    </row>
    <row r="837" spans="8:19">
      <c r="H837" t="s">
        <v>1128</v>
      </c>
      <c r="I837">
        <v>13</v>
      </c>
      <c r="J837" t="s">
        <v>1197</v>
      </c>
      <c r="K837">
        <v>220</v>
      </c>
      <c r="L837">
        <v>2.6519999999999998E-3</v>
      </c>
      <c r="M837">
        <v>6</v>
      </c>
      <c r="N837">
        <v>61.481999999999999</v>
      </c>
      <c r="O837" t="s">
        <v>6617</v>
      </c>
      <c r="P837" t="s">
        <v>6586</v>
      </c>
      <c r="Q837">
        <v>1.0325599999999999</v>
      </c>
      <c r="R837" t="s">
        <v>3304</v>
      </c>
      <c r="S837">
        <v>0.16835918059584001</v>
      </c>
    </row>
    <row r="838" spans="8:19">
      <c r="H838" t="s">
        <v>1128</v>
      </c>
      <c r="I838">
        <v>13</v>
      </c>
      <c r="J838" t="s">
        <v>1197</v>
      </c>
      <c r="K838">
        <v>220</v>
      </c>
      <c r="L838">
        <v>2.6519999999999998E-3</v>
      </c>
      <c r="M838">
        <v>1</v>
      </c>
      <c r="N838">
        <v>70.069000000000003</v>
      </c>
      <c r="O838" t="s">
        <v>6485</v>
      </c>
      <c r="P838" t="s">
        <v>6586</v>
      </c>
      <c r="Q838">
        <v>1.0325599999999999</v>
      </c>
      <c r="R838" t="s">
        <v>3304</v>
      </c>
      <c r="S838">
        <v>0.19187338448928001</v>
      </c>
    </row>
    <row r="839" spans="8:19">
      <c r="H839" t="s">
        <v>1128</v>
      </c>
      <c r="I839">
        <v>13</v>
      </c>
      <c r="J839" t="s">
        <v>1197</v>
      </c>
      <c r="K839">
        <v>220</v>
      </c>
      <c r="L839">
        <v>2.6519999999999998E-3</v>
      </c>
      <c r="M839">
        <v>2</v>
      </c>
      <c r="N839">
        <v>63.207000000000001</v>
      </c>
      <c r="O839" t="s">
        <v>6485</v>
      </c>
      <c r="P839" t="s">
        <v>6586</v>
      </c>
      <c r="Q839">
        <v>1.0325599999999999</v>
      </c>
      <c r="R839" t="s">
        <v>3304</v>
      </c>
      <c r="S839">
        <v>0.17308283282784001</v>
      </c>
    </row>
    <row r="840" spans="8:19">
      <c r="H840" t="s">
        <v>1128</v>
      </c>
      <c r="I840">
        <v>13</v>
      </c>
      <c r="J840" t="s">
        <v>1197</v>
      </c>
      <c r="K840">
        <v>220</v>
      </c>
      <c r="L840">
        <v>2.6519999999999998E-3</v>
      </c>
      <c r="M840">
        <v>3</v>
      </c>
      <c r="N840">
        <v>32.453000000000003</v>
      </c>
      <c r="O840" t="s">
        <v>6485</v>
      </c>
      <c r="P840" t="s">
        <v>6586</v>
      </c>
      <c r="Q840">
        <v>1.0325599999999999</v>
      </c>
      <c r="R840" t="s">
        <v>3304</v>
      </c>
      <c r="S840">
        <v>8.8867643991360004E-2</v>
      </c>
    </row>
    <row r="841" spans="8:19">
      <c r="H841" t="s">
        <v>1128</v>
      </c>
      <c r="I841">
        <v>13</v>
      </c>
      <c r="J841" t="s">
        <v>1197</v>
      </c>
      <c r="K841">
        <v>220</v>
      </c>
      <c r="L841">
        <v>2.6519999999999998E-3</v>
      </c>
      <c r="M841">
        <v>4</v>
      </c>
      <c r="N841">
        <v>30.672000000000001</v>
      </c>
      <c r="O841" t="s">
        <v>6485</v>
      </c>
      <c r="P841" t="s">
        <v>6586</v>
      </c>
      <c r="Q841">
        <v>1.0325599999999999</v>
      </c>
      <c r="R841" t="s">
        <v>3304</v>
      </c>
      <c r="S841">
        <v>8.3990644208639983E-2</v>
      </c>
    </row>
    <row r="842" spans="8:19">
      <c r="H842" t="s">
        <v>1128</v>
      </c>
      <c r="I842">
        <v>13</v>
      </c>
      <c r="J842" t="s">
        <v>1197</v>
      </c>
      <c r="K842">
        <v>220</v>
      </c>
      <c r="L842">
        <v>2.6519999999999998E-3</v>
      </c>
      <c r="M842">
        <v>5</v>
      </c>
      <c r="N842">
        <v>51.459000000000003</v>
      </c>
      <c r="O842" t="s">
        <v>6485</v>
      </c>
      <c r="P842" t="s">
        <v>6586</v>
      </c>
      <c r="Q842">
        <v>1.0325599999999999</v>
      </c>
      <c r="R842" t="s">
        <v>3304</v>
      </c>
      <c r="S842">
        <v>0.14091270736608</v>
      </c>
    </row>
    <row r="843" spans="8:19">
      <c r="H843" t="s">
        <v>1128</v>
      </c>
      <c r="I843">
        <v>13</v>
      </c>
      <c r="J843" t="s">
        <v>1197</v>
      </c>
      <c r="K843">
        <v>220</v>
      </c>
      <c r="L843">
        <v>2.6519999999999998E-3</v>
      </c>
      <c r="M843">
        <v>6</v>
      </c>
      <c r="N843">
        <v>87.926000000000002</v>
      </c>
      <c r="O843" t="s">
        <v>6485</v>
      </c>
      <c r="P843" t="s">
        <v>6586</v>
      </c>
      <c r="Q843">
        <v>1.0325599999999999</v>
      </c>
      <c r="R843" t="s">
        <v>3304</v>
      </c>
      <c r="S843">
        <v>0.24077208472511999</v>
      </c>
    </row>
    <row r="844" spans="8:19">
      <c r="H844" t="s">
        <v>1166</v>
      </c>
      <c r="I844">
        <v>13</v>
      </c>
      <c r="J844" t="s">
        <v>9</v>
      </c>
      <c r="K844">
        <v>220</v>
      </c>
      <c r="L844">
        <v>0.41753600000000002</v>
      </c>
      <c r="M844">
        <v>1</v>
      </c>
      <c r="N844">
        <v>55.936</v>
      </c>
      <c r="O844" t="s">
        <v>6617</v>
      </c>
      <c r="P844" t="s">
        <v>6586</v>
      </c>
      <c r="Q844">
        <v>1.0325599999999999</v>
      </c>
      <c r="R844" t="s">
        <v>3304</v>
      </c>
      <c r="S844">
        <v>24.115742058741759</v>
      </c>
    </row>
    <row r="845" spans="8:19">
      <c r="H845" t="s">
        <v>1166</v>
      </c>
      <c r="I845">
        <v>13</v>
      </c>
      <c r="J845" t="s">
        <v>9</v>
      </c>
      <c r="K845">
        <v>220</v>
      </c>
      <c r="L845">
        <v>0.41753600000000002</v>
      </c>
      <c r="M845">
        <v>2</v>
      </c>
      <c r="N845">
        <v>56.033999999999999</v>
      </c>
      <c r="O845" t="s">
        <v>6617</v>
      </c>
      <c r="P845" t="s">
        <v>6586</v>
      </c>
      <c r="Q845">
        <v>1.0325599999999999</v>
      </c>
      <c r="R845" t="s">
        <v>3304</v>
      </c>
      <c r="S845">
        <v>24.157992894013439</v>
      </c>
    </row>
    <row r="846" spans="8:19">
      <c r="H846" t="s">
        <v>1166</v>
      </c>
      <c r="I846">
        <v>13</v>
      </c>
      <c r="J846" t="s">
        <v>9</v>
      </c>
      <c r="K846">
        <v>220</v>
      </c>
      <c r="L846">
        <v>0.41753600000000002</v>
      </c>
      <c r="M846">
        <v>3</v>
      </c>
      <c r="N846">
        <v>39.116999999999997</v>
      </c>
      <c r="O846" t="s">
        <v>6617</v>
      </c>
      <c r="P846" t="s">
        <v>6586</v>
      </c>
      <c r="Q846">
        <v>1.0325599999999999</v>
      </c>
      <c r="R846" t="s">
        <v>3304</v>
      </c>
      <c r="S846">
        <v>16.864550237982719</v>
      </c>
    </row>
    <row r="847" spans="8:19">
      <c r="H847" t="s">
        <v>1166</v>
      </c>
      <c r="I847">
        <v>13</v>
      </c>
      <c r="J847" t="s">
        <v>9</v>
      </c>
      <c r="K847">
        <v>220</v>
      </c>
      <c r="L847">
        <v>0.41753600000000002</v>
      </c>
      <c r="M847">
        <v>4</v>
      </c>
      <c r="N847">
        <v>38.668999999999997</v>
      </c>
      <c r="O847" t="s">
        <v>6617</v>
      </c>
      <c r="P847" t="s">
        <v>6586</v>
      </c>
      <c r="Q847">
        <v>1.0325599999999999</v>
      </c>
      <c r="R847" t="s">
        <v>3304</v>
      </c>
      <c r="S847">
        <v>16.671403562455041</v>
      </c>
    </row>
    <row r="848" spans="8:19">
      <c r="H848" t="s">
        <v>1166</v>
      </c>
      <c r="I848">
        <v>13</v>
      </c>
      <c r="J848" t="s">
        <v>9</v>
      </c>
      <c r="K848">
        <v>220</v>
      </c>
      <c r="L848">
        <v>0.41753600000000002</v>
      </c>
      <c r="M848">
        <v>5</v>
      </c>
      <c r="N848">
        <v>51.475999999999999</v>
      </c>
      <c r="O848" t="s">
        <v>6617</v>
      </c>
      <c r="P848" t="s">
        <v>6586</v>
      </c>
      <c r="Q848">
        <v>1.0325599999999999</v>
      </c>
      <c r="R848" t="s">
        <v>3304</v>
      </c>
      <c r="S848">
        <v>22.192897922908159</v>
      </c>
    </row>
    <row r="849" spans="8:19">
      <c r="H849" t="s">
        <v>1166</v>
      </c>
      <c r="I849">
        <v>13</v>
      </c>
      <c r="J849" t="s">
        <v>9</v>
      </c>
      <c r="K849">
        <v>220</v>
      </c>
      <c r="L849">
        <v>0.41753600000000002</v>
      </c>
      <c r="M849">
        <v>6</v>
      </c>
      <c r="N849">
        <v>62.256999999999998</v>
      </c>
      <c r="O849" t="s">
        <v>6617</v>
      </c>
      <c r="P849" t="s">
        <v>6586</v>
      </c>
      <c r="Q849">
        <v>1.0325599999999999</v>
      </c>
      <c r="R849" t="s">
        <v>3304</v>
      </c>
      <c r="S849">
        <v>26.840920933765119</v>
      </c>
    </row>
    <row r="850" spans="8:19">
      <c r="H850" t="s">
        <v>1166</v>
      </c>
      <c r="I850">
        <v>13</v>
      </c>
      <c r="J850" t="s">
        <v>9</v>
      </c>
      <c r="K850">
        <v>220</v>
      </c>
      <c r="L850">
        <v>0.41753600000000002</v>
      </c>
      <c r="M850">
        <v>1</v>
      </c>
      <c r="N850">
        <v>69.262</v>
      </c>
      <c r="O850" t="s">
        <v>6485</v>
      </c>
      <c r="P850" t="s">
        <v>6586</v>
      </c>
      <c r="Q850">
        <v>1.0325599999999999</v>
      </c>
      <c r="R850" t="s">
        <v>3304</v>
      </c>
      <c r="S850">
        <v>29.860993393745922</v>
      </c>
    </row>
    <row r="851" spans="8:19">
      <c r="H851" t="s">
        <v>1166</v>
      </c>
      <c r="I851">
        <v>13</v>
      </c>
      <c r="J851" t="s">
        <v>9</v>
      </c>
      <c r="K851">
        <v>220</v>
      </c>
      <c r="L851">
        <v>0.41753600000000002</v>
      </c>
      <c r="M851">
        <v>2</v>
      </c>
      <c r="N851">
        <v>62.783000000000001</v>
      </c>
      <c r="O851" t="s">
        <v>6485</v>
      </c>
      <c r="P851" t="s">
        <v>6586</v>
      </c>
      <c r="Q851">
        <v>1.0325599999999999</v>
      </c>
      <c r="R851" t="s">
        <v>3304</v>
      </c>
      <c r="S851">
        <v>27.06769582512128</v>
      </c>
    </row>
    <row r="852" spans="8:19">
      <c r="H852" t="s">
        <v>1166</v>
      </c>
      <c r="I852">
        <v>13</v>
      </c>
      <c r="J852" t="s">
        <v>9</v>
      </c>
      <c r="K852">
        <v>220</v>
      </c>
      <c r="L852">
        <v>0.41753600000000002</v>
      </c>
      <c r="M852">
        <v>3</v>
      </c>
      <c r="N852">
        <v>32.915999999999997</v>
      </c>
      <c r="O852" t="s">
        <v>6485</v>
      </c>
      <c r="P852" t="s">
        <v>6586</v>
      </c>
      <c r="Q852">
        <v>1.0325599999999999</v>
      </c>
      <c r="R852" t="s">
        <v>3304</v>
      </c>
      <c r="S852">
        <v>14.191107079618559</v>
      </c>
    </row>
    <row r="853" spans="8:19">
      <c r="H853" t="s">
        <v>1166</v>
      </c>
      <c r="I853">
        <v>13</v>
      </c>
      <c r="J853" t="s">
        <v>9</v>
      </c>
      <c r="K853">
        <v>220</v>
      </c>
      <c r="L853">
        <v>0.41753600000000002</v>
      </c>
      <c r="M853">
        <v>4</v>
      </c>
      <c r="N853">
        <v>32.179000000000002</v>
      </c>
      <c r="O853" t="s">
        <v>6485</v>
      </c>
      <c r="P853" t="s">
        <v>6586</v>
      </c>
      <c r="Q853">
        <v>1.0325599999999999</v>
      </c>
      <c r="R853" t="s">
        <v>3304</v>
      </c>
      <c r="S853">
        <v>13.87336355313664</v>
      </c>
    </row>
    <row r="854" spans="8:19">
      <c r="H854" t="s">
        <v>1166</v>
      </c>
      <c r="I854">
        <v>13</v>
      </c>
      <c r="J854" t="s">
        <v>9</v>
      </c>
      <c r="K854">
        <v>220</v>
      </c>
      <c r="L854">
        <v>0.41753600000000002</v>
      </c>
      <c r="M854">
        <v>5</v>
      </c>
      <c r="N854">
        <v>54.389000000000003</v>
      </c>
      <c r="O854" t="s">
        <v>6485</v>
      </c>
      <c r="P854" t="s">
        <v>6586</v>
      </c>
      <c r="Q854">
        <v>1.0325599999999999</v>
      </c>
      <c r="R854" t="s">
        <v>3304</v>
      </c>
      <c r="S854">
        <v>23.448782444810242</v>
      </c>
    </row>
    <row r="855" spans="8:19">
      <c r="H855" t="s">
        <v>1166</v>
      </c>
      <c r="I855">
        <v>13</v>
      </c>
      <c r="J855" t="s">
        <v>9</v>
      </c>
      <c r="K855">
        <v>220</v>
      </c>
      <c r="L855">
        <v>0.41753600000000002</v>
      </c>
      <c r="M855">
        <v>6</v>
      </c>
      <c r="N855">
        <v>88.427000000000007</v>
      </c>
      <c r="O855" t="s">
        <v>6485</v>
      </c>
      <c r="P855" t="s">
        <v>6586</v>
      </c>
      <c r="Q855">
        <v>1.0325599999999999</v>
      </c>
      <c r="R855" t="s">
        <v>3304</v>
      </c>
      <c r="S855">
        <v>38.123618475192323</v>
      </c>
    </row>
    <row r="856" spans="8:19">
      <c r="H856" t="s">
        <v>1166</v>
      </c>
      <c r="I856">
        <v>13</v>
      </c>
      <c r="J856" t="s">
        <v>14</v>
      </c>
      <c r="K856">
        <v>220</v>
      </c>
      <c r="L856">
        <v>4.1669999999999997E-3</v>
      </c>
      <c r="M856">
        <v>1</v>
      </c>
      <c r="N856">
        <v>56.027999999999999</v>
      </c>
      <c r="O856" t="s">
        <v>6617</v>
      </c>
      <c r="P856" t="s">
        <v>6586</v>
      </c>
      <c r="Q856">
        <v>1.0325599999999999</v>
      </c>
      <c r="R856" t="s">
        <v>3304</v>
      </c>
      <c r="S856">
        <v>0.24107041609056001</v>
      </c>
    </row>
    <row r="857" spans="8:19">
      <c r="H857" t="s">
        <v>1166</v>
      </c>
      <c r="I857">
        <v>13</v>
      </c>
      <c r="J857" t="s">
        <v>14</v>
      </c>
      <c r="K857">
        <v>220</v>
      </c>
      <c r="L857">
        <v>4.1669999999999997E-3</v>
      </c>
      <c r="M857">
        <v>2</v>
      </c>
      <c r="N857">
        <v>56.122999999999998</v>
      </c>
      <c r="O857" t="s">
        <v>6617</v>
      </c>
      <c r="P857" t="s">
        <v>6586</v>
      </c>
      <c r="Q857">
        <v>1.0325599999999999</v>
      </c>
      <c r="R857" t="s">
        <v>3304</v>
      </c>
      <c r="S857">
        <v>0.24147917045496001</v>
      </c>
    </row>
    <row r="858" spans="8:19">
      <c r="H858" t="s">
        <v>1166</v>
      </c>
      <c r="I858">
        <v>13</v>
      </c>
      <c r="J858" t="s">
        <v>14</v>
      </c>
      <c r="K858">
        <v>220</v>
      </c>
      <c r="L858">
        <v>4.1669999999999997E-3</v>
      </c>
      <c r="M858">
        <v>3</v>
      </c>
      <c r="N858">
        <v>39.145000000000003</v>
      </c>
      <c r="O858" t="s">
        <v>6617</v>
      </c>
      <c r="P858" t="s">
        <v>6586</v>
      </c>
      <c r="Q858">
        <v>1.0325599999999999</v>
      </c>
      <c r="R858" t="s">
        <v>3304</v>
      </c>
      <c r="S858">
        <v>0.1684283115204</v>
      </c>
    </row>
    <row r="859" spans="8:19">
      <c r="H859" t="s">
        <v>1166</v>
      </c>
      <c r="I859">
        <v>13</v>
      </c>
      <c r="J859" t="s">
        <v>14</v>
      </c>
      <c r="K859">
        <v>220</v>
      </c>
      <c r="L859">
        <v>4.1669999999999997E-3</v>
      </c>
      <c r="M859">
        <v>4</v>
      </c>
      <c r="N859">
        <v>38.646999999999998</v>
      </c>
      <c r="O859" t="s">
        <v>6617</v>
      </c>
      <c r="P859" t="s">
        <v>6586</v>
      </c>
      <c r="Q859">
        <v>1.0325599999999999</v>
      </c>
      <c r="R859" t="s">
        <v>3304</v>
      </c>
      <c r="S859">
        <v>0.16628557811544001</v>
      </c>
    </row>
    <row r="860" spans="8:19">
      <c r="H860" t="s">
        <v>1166</v>
      </c>
      <c r="I860">
        <v>13</v>
      </c>
      <c r="J860" t="s">
        <v>14</v>
      </c>
      <c r="K860">
        <v>220</v>
      </c>
      <c r="L860">
        <v>4.1669999999999997E-3</v>
      </c>
      <c r="M860">
        <v>5</v>
      </c>
      <c r="N860">
        <v>49.831000000000003</v>
      </c>
      <c r="O860" t="s">
        <v>6617</v>
      </c>
      <c r="P860" t="s">
        <v>6586</v>
      </c>
      <c r="Q860">
        <v>1.0325599999999999</v>
      </c>
      <c r="R860" t="s">
        <v>3304</v>
      </c>
      <c r="S860">
        <v>0.21440672349911999</v>
      </c>
    </row>
    <row r="861" spans="8:19">
      <c r="H861" t="s">
        <v>1166</v>
      </c>
      <c r="I861">
        <v>13</v>
      </c>
      <c r="J861" t="s">
        <v>14</v>
      </c>
      <c r="K861">
        <v>220</v>
      </c>
      <c r="L861">
        <v>4.1669999999999997E-3</v>
      </c>
      <c r="M861">
        <v>6</v>
      </c>
      <c r="N861">
        <v>61.533000000000001</v>
      </c>
      <c r="O861" t="s">
        <v>6617</v>
      </c>
      <c r="P861" t="s">
        <v>6586</v>
      </c>
      <c r="Q861">
        <v>1.0325599999999999</v>
      </c>
      <c r="R861" t="s">
        <v>3304</v>
      </c>
      <c r="S861">
        <v>0.26475665583815999</v>
      </c>
    </row>
    <row r="862" spans="8:19">
      <c r="H862" t="s">
        <v>1166</v>
      </c>
      <c r="I862">
        <v>13</v>
      </c>
      <c r="J862" t="s">
        <v>14</v>
      </c>
      <c r="K862">
        <v>220</v>
      </c>
      <c r="L862">
        <v>4.1669999999999997E-3</v>
      </c>
      <c r="M862">
        <v>1</v>
      </c>
      <c r="N862">
        <v>70.548000000000002</v>
      </c>
      <c r="O862" t="s">
        <v>6485</v>
      </c>
      <c r="P862" t="s">
        <v>6586</v>
      </c>
      <c r="Q862">
        <v>1.0325599999999999</v>
      </c>
      <c r="R862" t="s">
        <v>3304</v>
      </c>
      <c r="S862">
        <v>0.30354529368095989</v>
      </c>
    </row>
    <row r="863" spans="8:19">
      <c r="H863" t="s">
        <v>1166</v>
      </c>
      <c r="I863">
        <v>13</v>
      </c>
      <c r="J863" t="s">
        <v>14</v>
      </c>
      <c r="K863">
        <v>220</v>
      </c>
      <c r="L863">
        <v>4.1669999999999997E-3</v>
      </c>
      <c r="M863">
        <v>2</v>
      </c>
      <c r="N863">
        <v>63.55</v>
      </c>
      <c r="O863" t="s">
        <v>6485</v>
      </c>
      <c r="P863" t="s">
        <v>6586</v>
      </c>
      <c r="Q863">
        <v>1.0325599999999999</v>
      </c>
      <c r="R863" t="s">
        <v>3304</v>
      </c>
      <c r="S863">
        <v>0.27343515639600002</v>
      </c>
    </row>
    <row r="864" spans="8:19">
      <c r="H864" t="s">
        <v>1166</v>
      </c>
      <c r="I864">
        <v>13</v>
      </c>
      <c r="J864" t="s">
        <v>14</v>
      </c>
      <c r="K864">
        <v>220</v>
      </c>
      <c r="L864">
        <v>4.1669999999999997E-3</v>
      </c>
      <c r="M864">
        <v>3</v>
      </c>
      <c r="N864">
        <v>32.978000000000002</v>
      </c>
      <c r="O864" t="s">
        <v>6485</v>
      </c>
      <c r="P864" t="s">
        <v>6586</v>
      </c>
      <c r="Q864">
        <v>1.0325599999999999</v>
      </c>
      <c r="R864" t="s">
        <v>3304</v>
      </c>
      <c r="S864">
        <v>0.14189369925456</v>
      </c>
    </row>
    <row r="865" spans="8:19">
      <c r="H865" t="s">
        <v>1166</v>
      </c>
      <c r="I865">
        <v>13</v>
      </c>
      <c r="J865" t="s">
        <v>14</v>
      </c>
      <c r="K865">
        <v>220</v>
      </c>
      <c r="L865">
        <v>4.1669999999999997E-3</v>
      </c>
      <c r="M865">
        <v>4</v>
      </c>
      <c r="N865">
        <v>31.867000000000001</v>
      </c>
      <c r="O865" t="s">
        <v>6485</v>
      </c>
      <c r="P865" t="s">
        <v>6586</v>
      </c>
      <c r="Q865">
        <v>1.0325599999999999</v>
      </c>
      <c r="R865" t="s">
        <v>3304</v>
      </c>
      <c r="S865">
        <v>0.13711342452983999</v>
      </c>
    </row>
    <row r="866" spans="8:19">
      <c r="H866" t="s">
        <v>1166</v>
      </c>
      <c r="I866">
        <v>13</v>
      </c>
      <c r="J866" t="s">
        <v>14</v>
      </c>
      <c r="K866">
        <v>220</v>
      </c>
      <c r="L866">
        <v>4.1669999999999997E-3</v>
      </c>
      <c r="M866">
        <v>5</v>
      </c>
      <c r="N866">
        <v>51.658000000000001</v>
      </c>
      <c r="O866" t="s">
        <v>6485</v>
      </c>
      <c r="P866" t="s">
        <v>6586</v>
      </c>
      <c r="Q866">
        <v>1.0325599999999999</v>
      </c>
      <c r="R866" t="s">
        <v>3304</v>
      </c>
      <c r="S866">
        <v>0.22226771532816</v>
      </c>
    </row>
    <row r="867" spans="8:19">
      <c r="H867" t="s">
        <v>1166</v>
      </c>
      <c r="I867">
        <v>13</v>
      </c>
      <c r="J867" t="s">
        <v>14</v>
      </c>
      <c r="K867">
        <v>220</v>
      </c>
      <c r="L867">
        <v>4.1669999999999997E-3</v>
      </c>
      <c r="M867">
        <v>6</v>
      </c>
      <c r="N867">
        <v>88.040999999999997</v>
      </c>
      <c r="O867" t="s">
        <v>6485</v>
      </c>
      <c r="P867" t="s">
        <v>6586</v>
      </c>
      <c r="Q867">
        <v>1.0325599999999999</v>
      </c>
      <c r="R867" t="s">
        <v>3304</v>
      </c>
      <c r="S867">
        <v>0.37881203153831988</v>
      </c>
    </row>
    <row r="868" spans="8:19">
      <c r="H868" t="s">
        <v>1166</v>
      </c>
      <c r="I868">
        <v>13</v>
      </c>
      <c r="J868" t="s">
        <v>248</v>
      </c>
      <c r="K868">
        <v>220</v>
      </c>
      <c r="L868">
        <v>2.4330999999999998E-2</v>
      </c>
      <c r="M868">
        <v>1</v>
      </c>
      <c r="N868">
        <v>54.328000000000003</v>
      </c>
      <c r="O868" t="s">
        <v>6617</v>
      </c>
      <c r="P868" t="s">
        <v>6586</v>
      </c>
      <c r="Q868">
        <v>1.0325599999999999</v>
      </c>
      <c r="R868" t="s">
        <v>3304</v>
      </c>
      <c r="S868">
        <v>1.3648941527340801</v>
      </c>
    </row>
    <row r="869" spans="8:19">
      <c r="H869" t="s">
        <v>1166</v>
      </c>
      <c r="I869">
        <v>13</v>
      </c>
      <c r="J869" t="s">
        <v>248</v>
      </c>
      <c r="K869">
        <v>220</v>
      </c>
      <c r="L869">
        <v>2.4330999999999998E-2</v>
      </c>
      <c r="M869">
        <v>2</v>
      </c>
      <c r="N869">
        <v>54.436999999999998</v>
      </c>
      <c r="O869" t="s">
        <v>6617</v>
      </c>
      <c r="P869" t="s">
        <v>6586</v>
      </c>
      <c r="Q869">
        <v>1.0325599999999999</v>
      </c>
      <c r="R869" t="s">
        <v>3304</v>
      </c>
      <c r="S869">
        <v>1.3676325834263201</v>
      </c>
    </row>
    <row r="870" spans="8:19">
      <c r="H870" t="s">
        <v>1166</v>
      </c>
      <c r="I870">
        <v>13</v>
      </c>
      <c r="J870" t="s">
        <v>248</v>
      </c>
      <c r="K870">
        <v>220</v>
      </c>
      <c r="L870">
        <v>2.4330999999999998E-2</v>
      </c>
      <c r="M870">
        <v>3</v>
      </c>
      <c r="N870">
        <v>39.161000000000001</v>
      </c>
      <c r="O870" t="s">
        <v>6617</v>
      </c>
      <c r="P870" t="s">
        <v>6586</v>
      </c>
      <c r="Q870">
        <v>1.0325599999999999</v>
      </c>
      <c r="R870" t="s">
        <v>3304</v>
      </c>
      <c r="S870">
        <v>0.9838503150349599</v>
      </c>
    </row>
    <row r="871" spans="8:19">
      <c r="H871" t="s">
        <v>1166</v>
      </c>
      <c r="I871">
        <v>13</v>
      </c>
      <c r="J871" t="s">
        <v>248</v>
      </c>
      <c r="K871">
        <v>220</v>
      </c>
      <c r="L871">
        <v>2.4330999999999998E-2</v>
      </c>
      <c r="M871">
        <v>4</v>
      </c>
      <c r="N871">
        <v>38.674999999999997</v>
      </c>
      <c r="O871" t="s">
        <v>6617</v>
      </c>
      <c r="P871" t="s">
        <v>6586</v>
      </c>
      <c r="Q871">
        <v>1.0325599999999999</v>
      </c>
      <c r="R871" t="s">
        <v>3304</v>
      </c>
      <c r="S871">
        <v>0.97164043139799972</v>
      </c>
    </row>
    <row r="872" spans="8:19">
      <c r="H872" t="s">
        <v>1166</v>
      </c>
      <c r="I872">
        <v>13</v>
      </c>
      <c r="J872" t="s">
        <v>248</v>
      </c>
      <c r="K872">
        <v>220</v>
      </c>
      <c r="L872">
        <v>2.4330999999999998E-2</v>
      </c>
      <c r="M872">
        <v>5</v>
      </c>
      <c r="N872">
        <v>49.055</v>
      </c>
      <c r="O872" t="s">
        <v>6617</v>
      </c>
      <c r="P872" t="s">
        <v>6586</v>
      </c>
      <c r="Q872">
        <v>1.0325599999999999</v>
      </c>
      <c r="R872" t="s">
        <v>3304</v>
      </c>
      <c r="S872">
        <v>1.2324194275947999</v>
      </c>
    </row>
    <row r="873" spans="8:19">
      <c r="H873" t="s">
        <v>1166</v>
      </c>
      <c r="I873">
        <v>13</v>
      </c>
      <c r="J873" t="s">
        <v>248</v>
      </c>
      <c r="K873">
        <v>220</v>
      </c>
      <c r="L873">
        <v>2.4330999999999998E-2</v>
      </c>
      <c r="M873">
        <v>6</v>
      </c>
      <c r="N873">
        <v>58.87</v>
      </c>
      <c r="O873" t="s">
        <v>6617</v>
      </c>
      <c r="P873" t="s">
        <v>6586</v>
      </c>
      <c r="Q873">
        <v>1.0325599999999999</v>
      </c>
      <c r="R873" t="s">
        <v>3304</v>
      </c>
      <c r="S873">
        <v>1.4790038059832</v>
      </c>
    </row>
    <row r="874" spans="8:19">
      <c r="H874" t="s">
        <v>1166</v>
      </c>
      <c r="I874">
        <v>13</v>
      </c>
      <c r="J874" t="s">
        <v>248</v>
      </c>
      <c r="K874">
        <v>220</v>
      </c>
      <c r="L874">
        <v>2.4330999999999998E-2</v>
      </c>
      <c r="M874">
        <v>1</v>
      </c>
      <c r="N874">
        <v>65.05</v>
      </c>
      <c r="O874" t="s">
        <v>6485</v>
      </c>
      <c r="P874" t="s">
        <v>6586</v>
      </c>
      <c r="Q874">
        <v>1.0325599999999999</v>
      </c>
      <c r="R874" t="s">
        <v>3304</v>
      </c>
      <c r="S874">
        <v>1.6342652892680001</v>
      </c>
    </row>
    <row r="875" spans="8:19">
      <c r="H875" t="s">
        <v>1166</v>
      </c>
      <c r="I875">
        <v>13</v>
      </c>
      <c r="J875" t="s">
        <v>248</v>
      </c>
      <c r="K875">
        <v>220</v>
      </c>
      <c r="L875">
        <v>2.4330999999999998E-2</v>
      </c>
      <c r="M875">
        <v>2</v>
      </c>
      <c r="N875">
        <v>60.055999999999997</v>
      </c>
      <c r="O875" t="s">
        <v>6485</v>
      </c>
      <c r="P875" t="s">
        <v>6586</v>
      </c>
      <c r="Q875">
        <v>1.0325599999999999</v>
      </c>
      <c r="R875" t="s">
        <v>3304</v>
      </c>
      <c r="S875">
        <v>1.50879994177216</v>
      </c>
    </row>
    <row r="876" spans="8:19">
      <c r="H876" t="s">
        <v>1166</v>
      </c>
      <c r="I876">
        <v>13</v>
      </c>
      <c r="J876" t="s">
        <v>248</v>
      </c>
      <c r="K876">
        <v>220</v>
      </c>
      <c r="L876">
        <v>2.4330999999999998E-2</v>
      </c>
      <c r="M876">
        <v>3</v>
      </c>
      <c r="N876">
        <v>33.075000000000003</v>
      </c>
      <c r="O876" t="s">
        <v>6485</v>
      </c>
      <c r="P876" t="s">
        <v>6586</v>
      </c>
      <c r="Q876">
        <v>1.0325599999999999</v>
      </c>
      <c r="R876" t="s">
        <v>3304</v>
      </c>
      <c r="S876">
        <v>0.83095041418199989</v>
      </c>
    </row>
    <row r="877" spans="8:19">
      <c r="H877" t="s">
        <v>1166</v>
      </c>
      <c r="I877">
        <v>13</v>
      </c>
      <c r="J877" t="s">
        <v>248</v>
      </c>
      <c r="K877">
        <v>220</v>
      </c>
      <c r="L877">
        <v>2.4330999999999998E-2</v>
      </c>
      <c r="M877">
        <v>4</v>
      </c>
      <c r="N877">
        <v>32.075000000000003</v>
      </c>
      <c r="O877" t="s">
        <v>6485</v>
      </c>
      <c r="P877" t="s">
        <v>6586</v>
      </c>
      <c r="Q877">
        <v>1.0325599999999999</v>
      </c>
      <c r="R877" t="s">
        <v>3304</v>
      </c>
      <c r="S877">
        <v>0.80582719682199988</v>
      </c>
    </row>
    <row r="878" spans="8:19">
      <c r="H878" t="s">
        <v>1166</v>
      </c>
      <c r="I878">
        <v>13</v>
      </c>
      <c r="J878" t="s">
        <v>248</v>
      </c>
      <c r="K878">
        <v>220</v>
      </c>
      <c r="L878">
        <v>2.4330999999999998E-2</v>
      </c>
      <c r="M878">
        <v>5</v>
      </c>
      <c r="N878">
        <v>50.77</v>
      </c>
      <c r="O878" t="s">
        <v>6485</v>
      </c>
      <c r="P878" t="s">
        <v>6586</v>
      </c>
      <c r="Q878">
        <v>1.0325599999999999</v>
      </c>
      <c r="R878" t="s">
        <v>3304</v>
      </c>
      <c r="S878">
        <v>1.2755057453672001</v>
      </c>
    </row>
    <row r="879" spans="8:19">
      <c r="H879" t="s">
        <v>1166</v>
      </c>
      <c r="I879">
        <v>13</v>
      </c>
      <c r="J879" t="s">
        <v>248</v>
      </c>
      <c r="K879">
        <v>220</v>
      </c>
      <c r="L879">
        <v>2.4330999999999998E-2</v>
      </c>
      <c r="M879">
        <v>6</v>
      </c>
      <c r="N879">
        <v>78.662999999999997</v>
      </c>
      <c r="O879" t="s">
        <v>6485</v>
      </c>
      <c r="P879" t="s">
        <v>6586</v>
      </c>
      <c r="Q879">
        <v>1.0325599999999999</v>
      </c>
      <c r="R879" t="s">
        <v>3304</v>
      </c>
      <c r="S879">
        <v>1.9762676471896801</v>
      </c>
    </row>
    <row r="880" spans="8:19">
      <c r="H880" t="s">
        <v>1166</v>
      </c>
      <c r="I880">
        <v>13</v>
      </c>
      <c r="J880" t="s">
        <v>548</v>
      </c>
      <c r="K880">
        <v>220</v>
      </c>
      <c r="L880">
        <v>0.55226900000000001</v>
      </c>
      <c r="M880">
        <v>1</v>
      </c>
      <c r="N880">
        <v>55.128</v>
      </c>
      <c r="O880" t="s">
        <v>6617</v>
      </c>
      <c r="P880" t="s">
        <v>6586</v>
      </c>
      <c r="Q880">
        <v>1.0325599999999999</v>
      </c>
      <c r="R880" t="s">
        <v>3304</v>
      </c>
      <c r="S880">
        <v>31.43679043766592</v>
      </c>
    </row>
    <row r="881" spans="8:19">
      <c r="H881" t="s">
        <v>1166</v>
      </c>
      <c r="I881">
        <v>13</v>
      </c>
      <c r="J881" t="s">
        <v>548</v>
      </c>
      <c r="K881">
        <v>220</v>
      </c>
      <c r="L881">
        <v>0.55226900000000001</v>
      </c>
      <c r="M881">
        <v>2</v>
      </c>
      <c r="N881">
        <v>55.256999999999998</v>
      </c>
      <c r="O881" t="s">
        <v>6617</v>
      </c>
      <c r="P881" t="s">
        <v>6586</v>
      </c>
      <c r="Q881">
        <v>1.0325599999999999</v>
      </c>
      <c r="R881" t="s">
        <v>3304</v>
      </c>
      <c r="S881">
        <v>31.51035280101048</v>
      </c>
    </row>
    <row r="882" spans="8:19">
      <c r="H882" t="s">
        <v>1166</v>
      </c>
      <c r="I882">
        <v>13</v>
      </c>
      <c r="J882" t="s">
        <v>548</v>
      </c>
      <c r="K882">
        <v>220</v>
      </c>
      <c r="L882">
        <v>0.55226900000000001</v>
      </c>
      <c r="M882">
        <v>3</v>
      </c>
      <c r="N882">
        <v>39.152000000000001</v>
      </c>
      <c r="O882" t="s">
        <v>6617</v>
      </c>
      <c r="P882" t="s">
        <v>6586</v>
      </c>
      <c r="Q882">
        <v>1.0325599999999999</v>
      </c>
      <c r="R882" t="s">
        <v>3304</v>
      </c>
      <c r="S882">
        <v>22.326462400513279</v>
      </c>
    </row>
    <row r="883" spans="8:19">
      <c r="H883" t="s">
        <v>1166</v>
      </c>
      <c r="I883">
        <v>13</v>
      </c>
      <c r="J883" t="s">
        <v>548</v>
      </c>
      <c r="K883">
        <v>220</v>
      </c>
      <c r="L883">
        <v>0.55226900000000001</v>
      </c>
      <c r="M883">
        <v>4</v>
      </c>
      <c r="N883">
        <v>38.615000000000002</v>
      </c>
      <c r="O883" t="s">
        <v>6617</v>
      </c>
      <c r="P883" t="s">
        <v>6586</v>
      </c>
      <c r="Q883">
        <v>1.0325599999999999</v>
      </c>
      <c r="R883" t="s">
        <v>3304</v>
      </c>
      <c r="S883">
        <v>22.0202376786836</v>
      </c>
    </row>
    <row r="884" spans="8:19">
      <c r="H884" t="s">
        <v>1166</v>
      </c>
      <c r="I884">
        <v>13</v>
      </c>
      <c r="J884" t="s">
        <v>548</v>
      </c>
      <c r="K884">
        <v>220</v>
      </c>
      <c r="L884">
        <v>0.55226900000000001</v>
      </c>
      <c r="M884">
        <v>5</v>
      </c>
      <c r="N884">
        <v>46.902000000000001</v>
      </c>
      <c r="O884" t="s">
        <v>6617</v>
      </c>
      <c r="P884" t="s">
        <v>6586</v>
      </c>
      <c r="Q884">
        <v>1.0325599999999999</v>
      </c>
      <c r="R884" t="s">
        <v>3304</v>
      </c>
      <c r="S884">
        <v>26.74590670997328</v>
      </c>
    </row>
    <row r="885" spans="8:19">
      <c r="H885" t="s">
        <v>1166</v>
      </c>
      <c r="I885">
        <v>13</v>
      </c>
      <c r="J885" t="s">
        <v>548</v>
      </c>
      <c r="K885">
        <v>220</v>
      </c>
      <c r="L885">
        <v>0.55226900000000001</v>
      </c>
      <c r="M885">
        <v>6</v>
      </c>
      <c r="N885">
        <v>58.256</v>
      </c>
      <c r="O885" t="s">
        <v>6617</v>
      </c>
      <c r="P885" t="s">
        <v>6586</v>
      </c>
      <c r="Q885">
        <v>1.0325599999999999</v>
      </c>
      <c r="R885" t="s">
        <v>3304</v>
      </c>
      <c r="S885">
        <v>33.220535186051833</v>
      </c>
    </row>
    <row r="886" spans="8:19">
      <c r="H886" t="s">
        <v>1166</v>
      </c>
      <c r="I886">
        <v>13</v>
      </c>
      <c r="J886" t="s">
        <v>548</v>
      </c>
      <c r="K886">
        <v>220</v>
      </c>
      <c r="L886">
        <v>0.55226900000000001</v>
      </c>
      <c r="M886">
        <v>1</v>
      </c>
      <c r="N886">
        <v>66.899000000000001</v>
      </c>
      <c r="O886" t="s">
        <v>6485</v>
      </c>
      <c r="P886" t="s">
        <v>6586</v>
      </c>
      <c r="Q886">
        <v>1.0325599999999999</v>
      </c>
      <c r="R886" t="s">
        <v>3304</v>
      </c>
      <c r="S886">
        <v>38.149213530137359</v>
      </c>
    </row>
    <row r="887" spans="8:19">
      <c r="H887" t="s">
        <v>1166</v>
      </c>
      <c r="I887">
        <v>13</v>
      </c>
      <c r="J887" t="s">
        <v>548</v>
      </c>
      <c r="K887">
        <v>220</v>
      </c>
      <c r="L887">
        <v>0.55226900000000001</v>
      </c>
      <c r="M887">
        <v>2</v>
      </c>
      <c r="N887">
        <v>61.454000000000001</v>
      </c>
      <c r="O887" t="s">
        <v>6485</v>
      </c>
      <c r="P887" t="s">
        <v>6586</v>
      </c>
      <c r="Q887">
        <v>1.0325599999999999</v>
      </c>
      <c r="R887" t="s">
        <v>3304</v>
      </c>
      <c r="S887">
        <v>35.044197495942562</v>
      </c>
    </row>
    <row r="888" spans="8:19">
      <c r="H888" t="s">
        <v>1166</v>
      </c>
      <c r="I888">
        <v>13</v>
      </c>
      <c r="J888" t="s">
        <v>548</v>
      </c>
      <c r="K888">
        <v>220</v>
      </c>
      <c r="L888">
        <v>0.55226900000000001</v>
      </c>
      <c r="M888">
        <v>3</v>
      </c>
      <c r="N888">
        <v>32.872</v>
      </c>
      <c r="O888" t="s">
        <v>6485</v>
      </c>
      <c r="P888" t="s">
        <v>6586</v>
      </c>
      <c r="Q888">
        <v>1.0325599999999999</v>
      </c>
      <c r="R888" t="s">
        <v>3304</v>
      </c>
      <c r="S888">
        <v>18.745286882654081</v>
      </c>
    </row>
    <row r="889" spans="8:19">
      <c r="H889" t="s">
        <v>1166</v>
      </c>
      <c r="I889">
        <v>13</v>
      </c>
      <c r="J889" t="s">
        <v>548</v>
      </c>
      <c r="K889">
        <v>220</v>
      </c>
      <c r="L889">
        <v>0.55226900000000001</v>
      </c>
      <c r="M889">
        <v>4</v>
      </c>
      <c r="N889">
        <v>31.65</v>
      </c>
      <c r="O889" t="s">
        <v>6485</v>
      </c>
      <c r="P889" t="s">
        <v>6586</v>
      </c>
      <c r="Q889">
        <v>1.0325599999999999</v>
      </c>
      <c r="R889" t="s">
        <v>3304</v>
      </c>
      <c r="S889">
        <v>18.048440308956</v>
      </c>
    </row>
    <row r="890" spans="8:19">
      <c r="H890" t="s">
        <v>1166</v>
      </c>
      <c r="I890">
        <v>13</v>
      </c>
      <c r="J890" t="s">
        <v>548</v>
      </c>
      <c r="K890">
        <v>220</v>
      </c>
      <c r="L890">
        <v>0.55226900000000001</v>
      </c>
      <c r="M890">
        <v>5</v>
      </c>
      <c r="N890">
        <v>46.981999999999999</v>
      </c>
      <c r="O890" t="s">
        <v>6485</v>
      </c>
      <c r="P890" t="s">
        <v>6586</v>
      </c>
      <c r="Q890">
        <v>1.0325599999999999</v>
      </c>
      <c r="R890" t="s">
        <v>3304</v>
      </c>
      <c r="S890">
        <v>26.79152678026448</v>
      </c>
    </row>
    <row r="891" spans="8:19">
      <c r="H891" t="s">
        <v>1166</v>
      </c>
      <c r="I891">
        <v>13</v>
      </c>
      <c r="J891" t="s">
        <v>548</v>
      </c>
      <c r="K891">
        <v>220</v>
      </c>
      <c r="L891">
        <v>0.55226900000000001</v>
      </c>
      <c r="M891">
        <v>6</v>
      </c>
      <c r="N891">
        <v>79.751999999999995</v>
      </c>
      <c r="O891" t="s">
        <v>6485</v>
      </c>
      <c r="P891" t="s">
        <v>6586</v>
      </c>
      <c r="Q891">
        <v>1.0325599999999999</v>
      </c>
      <c r="R891" t="s">
        <v>3304</v>
      </c>
      <c r="S891">
        <v>45.478648073297279</v>
      </c>
    </row>
    <row r="892" spans="8:19">
      <c r="H892" t="s">
        <v>1166</v>
      </c>
      <c r="I892">
        <v>13</v>
      </c>
      <c r="J892" t="s">
        <v>1197</v>
      </c>
      <c r="K892">
        <v>220</v>
      </c>
      <c r="L892">
        <v>1.6980000000000001E-3</v>
      </c>
      <c r="M892">
        <v>1</v>
      </c>
      <c r="N892">
        <v>55.825000000000003</v>
      </c>
      <c r="O892" t="s">
        <v>6617</v>
      </c>
      <c r="P892" t="s">
        <v>6586</v>
      </c>
      <c r="Q892">
        <v>1.0325599999999999</v>
      </c>
      <c r="R892" t="s">
        <v>3304</v>
      </c>
      <c r="S892">
        <v>9.7877240076000002E-2</v>
      </c>
    </row>
    <row r="893" spans="8:19">
      <c r="H893" t="s">
        <v>1166</v>
      </c>
      <c r="I893">
        <v>13</v>
      </c>
      <c r="J893" t="s">
        <v>1197</v>
      </c>
      <c r="K893">
        <v>220</v>
      </c>
      <c r="L893">
        <v>1.6980000000000001E-3</v>
      </c>
      <c r="M893">
        <v>2</v>
      </c>
      <c r="N893">
        <v>56.061999999999998</v>
      </c>
      <c r="O893" t="s">
        <v>6617</v>
      </c>
      <c r="P893" t="s">
        <v>6586</v>
      </c>
      <c r="Q893">
        <v>1.0325599999999999</v>
      </c>
      <c r="R893" t="s">
        <v>3304</v>
      </c>
      <c r="S893">
        <v>9.8292769066559982E-2</v>
      </c>
    </row>
    <row r="894" spans="8:19">
      <c r="H894" t="s">
        <v>1166</v>
      </c>
      <c r="I894">
        <v>13</v>
      </c>
      <c r="J894" t="s">
        <v>1197</v>
      </c>
      <c r="K894">
        <v>220</v>
      </c>
      <c r="L894">
        <v>1.6980000000000001E-3</v>
      </c>
      <c r="M894">
        <v>3</v>
      </c>
      <c r="N894">
        <v>39.136000000000003</v>
      </c>
      <c r="O894" t="s">
        <v>6617</v>
      </c>
      <c r="P894" t="s">
        <v>6586</v>
      </c>
      <c r="Q894">
        <v>1.0325599999999999</v>
      </c>
      <c r="R894" t="s">
        <v>3304</v>
      </c>
      <c r="S894">
        <v>6.8616635335680007E-2</v>
      </c>
    </row>
    <row r="895" spans="8:19">
      <c r="H895" t="s">
        <v>1166</v>
      </c>
      <c r="I895">
        <v>13</v>
      </c>
      <c r="J895" t="s">
        <v>1197</v>
      </c>
      <c r="K895">
        <v>220</v>
      </c>
      <c r="L895">
        <v>1.6980000000000001E-3</v>
      </c>
      <c r="M895">
        <v>4</v>
      </c>
      <c r="N895">
        <v>38.625</v>
      </c>
      <c r="O895" t="s">
        <v>6617</v>
      </c>
      <c r="P895" t="s">
        <v>6586</v>
      </c>
      <c r="Q895">
        <v>1.0325599999999999</v>
      </c>
      <c r="R895" t="s">
        <v>3304</v>
      </c>
      <c r="S895">
        <v>6.7720705739999998E-2</v>
      </c>
    </row>
    <row r="896" spans="8:19">
      <c r="H896" t="s">
        <v>1166</v>
      </c>
      <c r="I896">
        <v>13</v>
      </c>
      <c r="J896" t="s">
        <v>1197</v>
      </c>
      <c r="K896">
        <v>220</v>
      </c>
      <c r="L896">
        <v>1.6980000000000001E-3</v>
      </c>
      <c r="M896">
        <v>5</v>
      </c>
      <c r="N896">
        <v>49.764000000000003</v>
      </c>
      <c r="O896" t="s">
        <v>6617</v>
      </c>
      <c r="P896" t="s">
        <v>6586</v>
      </c>
      <c r="Q896">
        <v>1.0325599999999999</v>
      </c>
      <c r="R896" t="s">
        <v>3304</v>
      </c>
      <c r="S896">
        <v>8.7250568296320011E-2</v>
      </c>
    </row>
    <row r="897" spans="8:19">
      <c r="H897" t="s">
        <v>1166</v>
      </c>
      <c r="I897">
        <v>13</v>
      </c>
      <c r="J897" t="s">
        <v>1197</v>
      </c>
      <c r="K897">
        <v>220</v>
      </c>
      <c r="L897">
        <v>1.6980000000000001E-3</v>
      </c>
      <c r="M897">
        <v>6</v>
      </c>
      <c r="N897">
        <v>61.481999999999999</v>
      </c>
      <c r="O897" t="s">
        <v>6617</v>
      </c>
      <c r="P897" t="s">
        <v>6586</v>
      </c>
      <c r="Q897">
        <v>1.0325599999999999</v>
      </c>
      <c r="R897" t="s">
        <v>3304</v>
      </c>
      <c r="S897">
        <v>0.10779558395616</v>
      </c>
    </row>
    <row r="898" spans="8:19">
      <c r="H898" t="s">
        <v>1166</v>
      </c>
      <c r="I898">
        <v>13</v>
      </c>
      <c r="J898" t="s">
        <v>1197</v>
      </c>
      <c r="K898">
        <v>220</v>
      </c>
      <c r="L898">
        <v>1.6980000000000001E-3</v>
      </c>
      <c r="M898">
        <v>1</v>
      </c>
      <c r="N898">
        <v>70.069000000000003</v>
      </c>
      <c r="O898" t="s">
        <v>6485</v>
      </c>
      <c r="P898" t="s">
        <v>6586</v>
      </c>
      <c r="Q898">
        <v>1.0325599999999999</v>
      </c>
      <c r="R898" t="s">
        <v>3304</v>
      </c>
      <c r="S898">
        <v>0.12285105839472001</v>
      </c>
    </row>
    <row r="899" spans="8:19">
      <c r="H899" t="s">
        <v>1166</v>
      </c>
      <c r="I899">
        <v>13</v>
      </c>
      <c r="J899" t="s">
        <v>1197</v>
      </c>
      <c r="K899">
        <v>220</v>
      </c>
      <c r="L899">
        <v>1.6980000000000001E-3</v>
      </c>
      <c r="M899">
        <v>2</v>
      </c>
      <c r="N899">
        <v>63.207000000000001</v>
      </c>
      <c r="O899" t="s">
        <v>6485</v>
      </c>
      <c r="P899" t="s">
        <v>6586</v>
      </c>
      <c r="Q899">
        <v>1.0325599999999999</v>
      </c>
      <c r="R899" t="s">
        <v>3304</v>
      </c>
      <c r="S899">
        <v>0.11082000382416</v>
      </c>
    </row>
    <row r="900" spans="8:19">
      <c r="H900" t="s">
        <v>1166</v>
      </c>
      <c r="I900">
        <v>13</v>
      </c>
      <c r="J900" t="s">
        <v>1197</v>
      </c>
      <c r="K900">
        <v>220</v>
      </c>
      <c r="L900">
        <v>1.6980000000000001E-3</v>
      </c>
      <c r="M900">
        <v>3</v>
      </c>
      <c r="N900">
        <v>32.453000000000003</v>
      </c>
      <c r="O900" t="s">
        <v>6485</v>
      </c>
      <c r="P900" t="s">
        <v>6586</v>
      </c>
      <c r="Q900">
        <v>1.0325599999999999</v>
      </c>
      <c r="R900" t="s">
        <v>3304</v>
      </c>
      <c r="S900">
        <v>5.6899419116640003E-2</v>
      </c>
    </row>
    <row r="901" spans="8:19">
      <c r="H901" t="s">
        <v>1166</v>
      </c>
      <c r="I901">
        <v>13</v>
      </c>
      <c r="J901" t="s">
        <v>1197</v>
      </c>
      <c r="K901">
        <v>220</v>
      </c>
      <c r="L901">
        <v>1.6980000000000001E-3</v>
      </c>
      <c r="M901">
        <v>4</v>
      </c>
      <c r="N901">
        <v>30.672000000000001</v>
      </c>
      <c r="O901" t="s">
        <v>6485</v>
      </c>
      <c r="P901" t="s">
        <v>6586</v>
      </c>
      <c r="Q901">
        <v>1.0325599999999999</v>
      </c>
      <c r="R901" t="s">
        <v>3304</v>
      </c>
      <c r="S901">
        <v>5.3776815183359999E-2</v>
      </c>
    </row>
    <row r="902" spans="8:19">
      <c r="H902" t="s">
        <v>1166</v>
      </c>
      <c r="I902">
        <v>13</v>
      </c>
      <c r="J902" t="s">
        <v>1197</v>
      </c>
      <c r="K902">
        <v>220</v>
      </c>
      <c r="L902">
        <v>1.6980000000000001E-3</v>
      </c>
      <c r="M902">
        <v>5</v>
      </c>
      <c r="N902">
        <v>51.459000000000003</v>
      </c>
      <c r="O902" t="s">
        <v>6485</v>
      </c>
      <c r="P902" t="s">
        <v>6586</v>
      </c>
      <c r="Q902">
        <v>1.0325599999999999</v>
      </c>
      <c r="R902" t="s">
        <v>3304</v>
      </c>
      <c r="S902">
        <v>9.0222389557920002E-2</v>
      </c>
    </row>
    <row r="903" spans="8:19">
      <c r="H903" t="s">
        <v>1166</v>
      </c>
      <c r="I903">
        <v>13</v>
      </c>
      <c r="J903" t="s">
        <v>1197</v>
      </c>
      <c r="K903">
        <v>220</v>
      </c>
      <c r="L903">
        <v>1.6980000000000001E-3</v>
      </c>
      <c r="M903">
        <v>6</v>
      </c>
      <c r="N903">
        <v>87.926000000000002</v>
      </c>
      <c r="O903" t="s">
        <v>6485</v>
      </c>
      <c r="P903" t="s">
        <v>6586</v>
      </c>
      <c r="Q903">
        <v>1.0325599999999999</v>
      </c>
      <c r="R903" t="s">
        <v>3304</v>
      </c>
      <c r="S903">
        <v>0.15415950221088001</v>
      </c>
    </row>
    <row r="904" spans="8:19">
      <c r="H904" t="s">
        <v>1286</v>
      </c>
      <c r="I904">
        <v>13</v>
      </c>
      <c r="J904" t="s">
        <v>9</v>
      </c>
      <c r="K904">
        <v>220</v>
      </c>
      <c r="L904">
        <v>0.59392199999999995</v>
      </c>
      <c r="M904">
        <v>1</v>
      </c>
      <c r="N904">
        <v>55.936</v>
      </c>
      <c r="O904" t="s">
        <v>6617</v>
      </c>
      <c r="P904" t="s">
        <v>6586</v>
      </c>
      <c r="Q904">
        <v>1.0325599999999999</v>
      </c>
      <c r="R904" t="s">
        <v>3304</v>
      </c>
      <c r="S904">
        <v>34.303316971499513</v>
      </c>
    </row>
    <row r="905" spans="8:19">
      <c r="H905" t="s">
        <v>1286</v>
      </c>
      <c r="I905">
        <v>13</v>
      </c>
      <c r="J905" t="s">
        <v>9</v>
      </c>
      <c r="K905">
        <v>220</v>
      </c>
      <c r="L905">
        <v>0.59392199999999995</v>
      </c>
      <c r="M905">
        <v>2</v>
      </c>
      <c r="N905">
        <v>56.033999999999999</v>
      </c>
      <c r="O905" t="s">
        <v>6617</v>
      </c>
      <c r="P905" t="s">
        <v>6586</v>
      </c>
      <c r="Q905">
        <v>1.0325599999999999</v>
      </c>
      <c r="R905" t="s">
        <v>3304</v>
      </c>
      <c r="S905">
        <v>34.363416461330871</v>
      </c>
    </row>
    <row r="906" spans="8:19">
      <c r="H906" t="s">
        <v>1286</v>
      </c>
      <c r="I906">
        <v>13</v>
      </c>
      <c r="J906" t="s">
        <v>9</v>
      </c>
      <c r="K906">
        <v>220</v>
      </c>
      <c r="L906">
        <v>0.59392199999999995</v>
      </c>
      <c r="M906">
        <v>3</v>
      </c>
      <c r="N906">
        <v>39.116999999999997</v>
      </c>
      <c r="O906" t="s">
        <v>6617</v>
      </c>
      <c r="P906" t="s">
        <v>6586</v>
      </c>
      <c r="Q906">
        <v>1.0325599999999999</v>
      </c>
      <c r="R906" t="s">
        <v>3304</v>
      </c>
      <c r="S906">
        <v>23.98889534421744</v>
      </c>
    </row>
    <row r="907" spans="8:19">
      <c r="H907" t="s">
        <v>1286</v>
      </c>
      <c r="I907">
        <v>13</v>
      </c>
      <c r="J907" t="s">
        <v>9</v>
      </c>
      <c r="K907">
        <v>220</v>
      </c>
      <c r="L907">
        <v>0.59392199999999995</v>
      </c>
      <c r="M907">
        <v>4</v>
      </c>
      <c r="N907">
        <v>38.668999999999997</v>
      </c>
      <c r="O907" t="s">
        <v>6617</v>
      </c>
      <c r="P907" t="s">
        <v>6586</v>
      </c>
      <c r="Q907">
        <v>1.0325599999999999</v>
      </c>
      <c r="R907" t="s">
        <v>3304</v>
      </c>
      <c r="S907">
        <v>23.714154819274071</v>
      </c>
    </row>
    <row r="908" spans="8:19">
      <c r="H908" t="s">
        <v>1286</v>
      </c>
      <c r="I908">
        <v>13</v>
      </c>
      <c r="J908" t="s">
        <v>9</v>
      </c>
      <c r="K908">
        <v>220</v>
      </c>
      <c r="L908">
        <v>0.59392199999999995</v>
      </c>
      <c r="M908">
        <v>5</v>
      </c>
      <c r="N908">
        <v>51.475999999999999</v>
      </c>
      <c r="O908" t="s">
        <v>6617</v>
      </c>
      <c r="P908" t="s">
        <v>6586</v>
      </c>
      <c r="Q908">
        <v>1.0325599999999999</v>
      </c>
      <c r="R908" t="s">
        <v>3304</v>
      </c>
      <c r="S908">
        <v>31.568176924072311</v>
      </c>
    </row>
    <row r="909" spans="8:19">
      <c r="H909" t="s">
        <v>1286</v>
      </c>
      <c r="I909">
        <v>13</v>
      </c>
      <c r="J909" t="s">
        <v>9</v>
      </c>
      <c r="K909">
        <v>220</v>
      </c>
      <c r="L909">
        <v>0.59392199999999995</v>
      </c>
      <c r="M909">
        <v>6</v>
      </c>
      <c r="N909">
        <v>62.256999999999998</v>
      </c>
      <c r="O909" t="s">
        <v>6617</v>
      </c>
      <c r="P909" t="s">
        <v>6586</v>
      </c>
      <c r="Q909">
        <v>1.0325599999999999</v>
      </c>
      <c r="R909" t="s">
        <v>3304</v>
      </c>
      <c r="S909">
        <v>38.179734065622227</v>
      </c>
    </row>
    <row r="910" spans="8:19">
      <c r="H910" t="s">
        <v>1286</v>
      </c>
      <c r="I910">
        <v>13</v>
      </c>
      <c r="J910" t="s">
        <v>9</v>
      </c>
      <c r="K910">
        <v>220</v>
      </c>
      <c r="L910">
        <v>0.59392199999999995</v>
      </c>
      <c r="M910">
        <v>1</v>
      </c>
      <c r="N910">
        <v>69.262</v>
      </c>
      <c r="O910" t="s">
        <v>6485</v>
      </c>
      <c r="P910" t="s">
        <v>6586</v>
      </c>
      <c r="Q910">
        <v>1.0325599999999999</v>
      </c>
      <c r="R910" t="s">
        <v>3304</v>
      </c>
      <c r="S910">
        <v>42.475621068363843</v>
      </c>
    </row>
    <row r="911" spans="8:19">
      <c r="H911" t="s">
        <v>1286</v>
      </c>
      <c r="I911">
        <v>13</v>
      </c>
      <c r="J911" t="s">
        <v>9</v>
      </c>
      <c r="K911">
        <v>220</v>
      </c>
      <c r="L911">
        <v>0.59392199999999995</v>
      </c>
      <c r="M911">
        <v>2</v>
      </c>
      <c r="N911">
        <v>62.783000000000001</v>
      </c>
      <c r="O911" t="s">
        <v>6485</v>
      </c>
      <c r="P911" t="s">
        <v>6586</v>
      </c>
      <c r="Q911">
        <v>1.0325599999999999</v>
      </c>
      <c r="R911" t="s">
        <v>3304</v>
      </c>
      <c r="S911">
        <v>38.502308878390558</v>
      </c>
    </row>
    <row r="912" spans="8:19">
      <c r="H912" t="s">
        <v>1286</v>
      </c>
      <c r="I912">
        <v>13</v>
      </c>
      <c r="J912" t="s">
        <v>9</v>
      </c>
      <c r="K912">
        <v>220</v>
      </c>
      <c r="L912">
        <v>0.59392199999999995</v>
      </c>
      <c r="M912">
        <v>3</v>
      </c>
      <c r="N912">
        <v>32.915999999999997</v>
      </c>
      <c r="O912" t="s">
        <v>6485</v>
      </c>
      <c r="P912" t="s">
        <v>6586</v>
      </c>
      <c r="Q912">
        <v>1.0325599999999999</v>
      </c>
      <c r="R912" t="s">
        <v>3304</v>
      </c>
      <c r="S912">
        <v>20.186069462133119</v>
      </c>
    </row>
    <row r="913" spans="8:19">
      <c r="H913" t="s">
        <v>1286</v>
      </c>
      <c r="I913">
        <v>13</v>
      </c>
      <c r="J913" t="s">
        <v>9</v>
      </c>
      <c r="K913">
        <v>220</v>
      </c>
      <c r="L913">
        <v>0.59392199999999995</v>
      </c>
      <c r="M913">
        <v>4</v>
      </c>
      <c r="N913">
        <v>32.179000000000002</v>
      </c>
      <c r="O913" t="s">
        <v>6485</v>
      </c>
      <c r="P913" t="s">
        <v>6586</v>
      </c>
      <c r="Q913">
        <v>1.0325599999999999</v>
      </c>
      <c r="R913" t="s">
        <v>3304</v>
      </c>
      <c r="S913">
        <v>19.734096768197279</v>
      </c>
    </row>
    <row r="914" spans="8:19">
      <c r="H914" t="s">
        <v>1286</v>
      </c>
      <c r="I914">
        <v>13</v>
      </c>
      <c r="J914" t="s">
        <v>9</v>
      </c>
      <c r="K914">
        <v>220</v>
      </c>
      <c r="L914">
        <v>0.59392199999999995</v>
      </c>
      <c r="M914">
        <v>5</v>
      </c>
      <c r="N914">
        <v>54.389000000000003</v>
      </c>
      <c r="O914" t="s">
        <v>6485</v>
      </c>
      <c r="P914" t="s">
        <v>6586</v>
      </c>
      <c r="Q914">
        <v>1.0325599999999999</v>
      </c>
      <c r="R914" t="s">
        <v>3304</v>
      </c>
      <c r="S914">
        <v>33.354603596304479</v>
      </c>
    </row>
    <row r="915" spans="8:19">
      <c r="H915" t="s">
        <v>1286</v>
      </c>
      <c r="I915">
        <v>13</v>
      </c>
      <c r="J915" t="s">
        <v>9</v>
      </c>
      <c r="K915">
        <v>220</v>
      </c>
      <c r="L915">
        <v>0.59392199999999995</v>
      </c>
      <c r="M915">
        <v>6</v>
      </c>
      <c r="N915">
        <v>88.427000000000007</v>
      </c>
      <c r="O915" t="s">
        <v>6485</v>
      </c>
      <c r="P915" t="s">
        <v>6586</v>
      </c>
      <c r="Q915">
        <v>1.0325599999999999</v>
      </c>
      <c r="R915" t="s">
        <v>3304</v>
      </c>
      <c r="S915">
        <v>54.228750890996643</v>
      </c>
    </row>
    <row r="916" spans="8:19">
      <c r="H916" t="s">
        <v>1286</v>
      </c>
      <c r="I916">
        <v>13</v>
      </c>
      <c r="J916" t="s">
        <v>14</v>
      </c>
      <c r="K916">
        <v>220</v>
      </c>
      <c r="L916">
        <v>6.4089999999999998E-3</v>
      </c>
      <c r="M916">
        <v>1</v>
      </c>
      <c r="N916">
        <v>56.027999999999999</v>
      </c>
      <c r="O916" t="s">
        <v>6617</v>
      </c>
      <c r="P916" t="s">
        <v>6586</v>
      </c>
      <c r="Q916">
        <v>1.0325599999999999</v>
      </c>
      <c r="R916" t="s">
        <v>3304</v>
      </c>
      <c r="S916">
        <v>0.37077520919711993</v>
      </c>
    </row>
    <row r="917" spans="8:19">
      <c r="H917" t="s">
        <v>1286</v>
      </c>
      <c r="I917">
        <v>13</v>
      </c>
      <c r="J917" t="s">
        <v>14</v>
      </c>
      <c r="K917">
        <v>220</v>
      </c>
      <c r="L917">
        <v>6.4089999999999998E-3</v>
      </c>
      <c r="M917">
        <v>2</v>
      </c>
      <c r="N917">
        <v>56.122999999999998</v>
      </c>
      <c r="O917" t="s">
        <v>6617</v>
      </c>
      <c r="P917" t="s">
        <v>6586</v>
      </c>
      <c r="Q917">
        <v>1.0325599999999999</v>
      </c>
      <c r="R917" t="s">
        <v>3304</v>
      </c>
      <c r="S917">
        <v>0.37140388851591988</v>
      </c>
    </row>
    <row r="918" spans="8:19">
      <c r="H918" t="s">
        <v>1286</v>
      </c>
      <c r="I918">
        <v>13</v>
      </c>
      <c r="J918" t="s">
        <v>14</v>
      </c>
      <c r="K918">
        <v>220</v>
      </c>
      <c r="L918">
        <v>6.4089999999999998E-3</v>
      </c>
      <c r="M918">
        <v>3</v>
      </c>
      <c r="N918">
        <v>39.145000000000003</v>
      </c>
      <c r="O918" t="s">
        <v>6617</v>
      </c>
      <c r="P918" t="s">
        <v>6586</v>
      </c>
      <c r="Q918">
        <v>1.0325599999999999</v>
      </c>
      <c r="R918" t="s">
        <v>3304</v>
      </c>
      <c r="S918">
        <v>0.25904896773079999</v>
      </c>
    </row>
    <row r="919" spans="8:19">
      <c r="H919" t="s">
        <v>1286</v>
      </c>
      <c r="I919">
        <v>13</v>
      </c>
      <c r="J919" t="s">
        <v>14</v>
      </c>
      <c r="K919">
        <v>220</v>
      </c>
      <c r="L919">
        <v>6.4089999999999998E-3</v>
      </c>
      <c r="M919">
        <v>4</v>
      </c>
      <c r="N919">
        <v>38.646999999999998</v>
      </c>
      <c r="O919" t="s">
        <v>6617</v>
      </c>
      <c r="P919" t="s">
        <v>6586</v>
      </c>
      <c r="Q919">
        <v>1.0325599999999999</v>
      </c>
      <c r="R919" t="s">
        <v>3304</v>
      </c>
      <c r="S919">
        <v>0.25575336456488001</v>
      </c>
    </row>
    <row r="920" spans="8:19">
      <c r="H920" t="s">
        <v>1286</v>
      </c>
      <c r="I920">
        <v>13</v>
      </c>
      <c r="J920" t="s">
        <v>14</v>
      </c>
      <c r="K920">
        <v>220</v>
      </c>
      <c r="L920">
        <v>6.4089999999999998E-3</v>
      </c>
      <c r="M920">
        <v>5</v>
      </c>
      <c r="N920">
        <v>49.831000000000003</v>
      </c>
      <c r="O920" t="s">
        <v>6617</v>
      </c>
      <c r="P920" t="s">
        <v>6586</v>
      </c>
      <c r="Q920">
        <v>1.0325599999999999</v>
      </c>
      <c r="R920" t="s">
        <v>3304</v>
      </c>
      <c r="S920">
        <v>0.32976546458023998</v>
      </c>
    </row>
    <row r="921" spans="8:19">
      <c r="H921" t="s">
        <v>1286</v>
      </c>
      <c r="I921">
        <v>13</v>
      </c>
      <c r="J921" t="s">
        <v>14</v>
      </c>
      <c r="K921">
        <v>220</v>
      </c>
      <c r="L921">
        <v>6.4089999999999998E-3</v>
      </c>
      <c r="M921">
        <v>6</v>
      </c>
      <c r="N921">
        <v>61.533000000000001</v>
      </c>
      <c r="O921" t="s">
        <v>6617</v>
      </c>
      <c r="P921" t="s">
        <v>6586</v>
      </c>
      <c r="Q921">
        <v>1.0325599999999999</v>
      </c>
      <c r="R921" t="s">
        <v>3304</v>
      </c>
      <c r="S921">
        <v>0.40720552130232002</v>
      </c>
    </row>
    <row r="922" spans="8:19">
      <c r="H922" t="s">
        <v>1286</v>
      </c>
      <c r="I922">
        <v>13</v>
      </c>
      <c r="J922" t="s">
        <v>14</v>
      </c>
      <c r="K922">
        <v>220</v>
      </c>
      <c r="L922">
        <v>6.4089999999999998E-3</v>
      </c>
      <c r="M922">
        <v>1</v>
      </c>
      <c r="N922">
        <v>70.548000000000002</v>
      </c>
      <c r="O922" t="s">
        <v>6485</v>
      </c>
      <c r="P922" t="s">
        <v>6586</v>
      </c>
      <c r="Q922">
        <v>1.0325599999999999</v>
      </c>
      <c r="R922" t="s">
        <v>3304</v>
      </c>
      <c r="S922">
        <v>0.46686387981791988</v>
      </c>
    </row>
    <row r="923" spans="8:19">
      <c r="H923" t="s">
        <v>1286</v>
      </c>
      <c r="I923">
        <v>13</v>
      </c>
      <c r="J923" t="s">
        <v>14</v>
      </c>
      <c r="K923">
        <v>220</v>
      </c>
      <c r="L923">
        <v>6.4089999999999998E-3</v>
      </c>
      <c r="M923">
        <v>2</v>
      </c>
      <c r="N923">
        <v>63.55</v>
      </c>
      <c r="O923" t="s">
        <v>6485</v>
      </c>
      <c r="P923" t="s">
        <v>6586</v>
      </c>
      <c r="Q923">
        <v>1.0325599999999999</v>
      </c>
      <c r="R923" t="s">
        <v>3304</v>
      </c>
      <c r="S923">
        <v>0.42055337589199993</v>
      </c>
    </row>
    <row r="924" spans="8:19">
      <c r="H924" t="s">
        <v>1286</v>
      </c>
      <c r="I924">
        <v>13</v>
      </c>
      <c r="J924" t="s">
        <v>14</v>
      </c>
      <c r="K924">
        <v>220</v>
      </c>
      <c r="L924">
        <v>6.4089999999999998E-3</v>
      </c>
      <c r="M924">
        <v>3</v>
      </c>
      <c r="N924">
        <v>32.978000000000002</v>
      </c>
      <c r="O924" t="s">
        <v>6485</v>
      </c>
      <c r="P924" t="s">
        <v>6586</v>
      </c>
      <c r="Q924">
        <v>1.0325599999999999</v>
      </c>
      <c r="R924" t="s">
        <v>3304</v>
      </c>
      <c r="S924">
        <v>0.21823775342512</v>
      </c>
    </row>
    <row r="925" spans="8:19">
      <c r="H925" t="s">
        <v>1286</v>
      </c>
      <c r="I925">
        <v>13</v>
      </c>
      <c r="J925" t="s">
        <v>14</v>
      </c>
      <c r="K925">
        <v>220</v>
      </c>
      <c r="L925">
        <v>6.4089999999999998E-3</v>
      </c>
      <c r="M925">
        <v>4</v>
      </c>
      <c r="N925">
        <v>31.867000000000001</v>
      </c>
      <c r="O925" t="s">
        <v>6485</v>
      </c>
      <c r="P925" t="s">
        <v>6586</v>
      </c>
      <c r="Q925">
        <v>1.0325599999999999</v>
      </c>
      <c r="R925" t="s">
        <v>3304</v>
      </c>
      <c r="S925">
        <v>0.21088551423367999</v>
      </c>
    </row>
    <row r="926" spans="8:19">
      <c r="H926" t="s">
        <v>1286</v>
      </c>
      <c r="I926">
        <v>13</v>
      </c>
      <c r="J926" t="s">
        <v>14</v>
      </c>
      <c r="K926">
        <v>220</v>
      </c>
      <c r="L926">
        <v>6.4089999999999998E-3</v>
      </c>
      <c r="M926">
        <v>5</v>
      </c>
      <c r="N926">
        <v>51.658000000000001</v>
      </c>
      <c r="O926" t="s">
        <v>6485</v>
      </c>
      <c r="P926" t="s">
        <v>6586</v>
      </c>
      <c r="Q926">
        <v>1.0325599999999999</v>
      </c>
      <c r="R926" t="s">
        <v>3304</v>
      </c>
      <c r="S926">
        <v>0.34185596053231992</v>
      </c>
    </row>
    <row r="927" spans="8:19">
      <c r="H927" t="s">
        <v>1286</v>
      </c>
      <c r="I927">
        <v>13</v>
      </c>
      <c r="J927" t="s">
        <v>14</v>
      </c>
      <c r="K927">
        <v>220</v>
      </c>
      <c r="L927">
        <v>6.4089999999999998E-3</v>
      </c>
      <c r="M927">
        <v>6</v>
      </c>
      <c r="N927">
        <v>88.040999999999997</v>
      </c>
      <c r="O927" t="s">
        <v>6485</v>
      </c>
      <c r="P927" t="s">
        <v>6586</v>
      </c>
      <c r="Q927">
        <v>1.0325599999999999</v>
      </c>
      <c r="R927" t="s">
        <v>3304</v>
      </c>
      <c r="S927">
        <v>0.58262690427863983</v>
      </c>
    </row>
    <row r="928" spans="8:19">
      <c r="H928" t="s">
        <v>1286</v>
      </c>
      <c r="I928">
        <v>13</v>
      </c>
      <c r="J928" t="s">
        <v>248</v>
      </c>
      <c r="K928">
        <v>220</v>
      </c>
      <c r="L928">
        <v>9.5560000000000003E-3</v>
      </c>
      <c r="M928">
        <v>1</v>
      </c>
      <c r="N928">
        <v>54.328000000000003</v>
      </c>
      <c r="O928" t="s">
        <v>6617</v>
      </c>
      <c r="P928" t="s">
        <v>6586</v>
      </c>
      <c r="Q928">
        <v>1.0325599999999999</v>
      </c>
      <c r="R928" t="s">
        <v>3304</v>
      </c>
      <c r="S928">
        <v>0.53606216446207999</v>
      </c>
    </row>
    <row r="929" spans="8:19">
      <c r="H929" t="s">
        <v>1286</v>
      </c>
      <c r="I929">
        <v>13</v>
      </c>
      <c r="J929" t="s">
        <v>248</v>
      </c>
      <c r="K929">
        <v>220</v>
      </c>
      <c r="L929">
        <v>9.5560000000000003E-3</v>
      </c>
      <c r="M929">
        <v>2</v>
      </c>
      <c r="N929">
        <v>54.436999999999998</v>
      </c>
      <c r="O929" t="s">
        <v>6617</v>
      </c>
      <c r="P929" t="s">
        <v>6586</v>
      </c>
      <c r="Q929">
        <v>1.0325599999999999</v>
      </c>
      <c r="R929" t="s">
        <v>3304</v>
      </c>
      <c r="S929">
        <v>0.53713768308831999</v>
      </c>
    </row>
    <row r="930" spans="8:19">
      <c r="H930" t="s">
        <v>1286</v>
      </c>
      <c r="I930">
        <v>13</v>
      </c>
      <c r="J930" t="s">
        <v>248</v>
      </c>
      <c r="K930">
        <v>220</v>
      </c>
      <c r="L930">
        <v>9.5560000000000003E-3</v>
      </c>
      <c r="M930">
        <v>3</v>
      </c>
      <c r="N930">
        <v>39.161000000000001</v>
      </c>
      <c r="O930" t="s">
        <v>6617</v>
      </c>
      <c r="P930" t="s">
        <v>6586</v>
      </c>
      <c r="Q930">
        <v>1.0325599999999999</v>
      </c>
      <c r="R930" t="s">
        <v>3304</v>
      </c>
      <c r="S930">
        <v>0.38640720112096</v>
      </c>
    </row>
    <row r="931" spans="8:19">
      <c r="H931" t="s">
        <v>1286</v>
      </c>
      <c r="I931">
        <v>13</v>
      </c>
      <c r="J931" t="s">
        <v>248</v>
      </c>
      <c r="K931">
        <v>220</v>
      </c>
      <c r="L931">
        <v>9.5560000000000003E-3</v>
      </c>
      <c r="M931">
        <v>4</v>
      </c>
      <c r="N931">
        <v>38.674999999999997</v>
      </c>
      <c r="O931" t="s">
        <v>6617</v>
      </c>
      <c r="P931" t="s">
        <v>6586</v>
      </c>
      <c r="Q931">
        <v>1.0325599999999999</v>
      </c>
      <c r="R931" t="s">
        <v>3304</v>
      </c>
      <c r="S931">
        <v>0.38161176944800002</v>
      </c>
    </row>
    <row r="932" spans="8:19">
      <c r="H932" t="s">
        <v>1286</v>
      </c>
      <c r="I932">
        <v>13</v>
      </c>
      <c r="J932" t="s">
        <v>248</v>
      </c>
      <c r="K932">
        <v>220</v>
      </c>
      <c r="L932">
        <v>9.5560000000000003E-3</v>
      </c>
      <c r="M932">
        <v>5</v>
      </c>
      <c r="N932">
        <v>49.055</v>
      </c>
      <c r="O932" t="s">
        <v>6617</v>
      </c>
      <c r="P932" t="s">
        <v>6586</v>
      </c>
      <c r="Q932">
        <v>1.0325599999999999</v>
      </c>
      <c r="R932" t="s">
        <v>3304</v>
      </c>
      <c r="S932">
        <v>0.48403271752479998</v>
      </c>
    </row>
    <row r="933" spans="8:19">
      <c r="H933" t="s">
        <v>1286</v>
      </c>
      <c r="I933">
        <v>13</v>
      </c>
      <c r="J933" t="s">
        <v>248</v>
      </c>
      <c r="K933">
        <v>220</v>
      </c>
      <c r="L933">
        <v>9.5560000000000003E-3</v>
      </c>
      <c r="M933">
        <v>6</v>
      </c>
      <c r="N933">
        <v>58.87</v>
      </c>
      <c r="O933" t="s">
        <v>6617</v>
      </c>
      <c r="P933" t="s">
        <v>6586</v>
      </c>
      <c r="Q933">
        <v>1.0325599999999999</v>
      </c>
      <c r="R933" t="s">
        <v>3304</v>
      </c>
      <c r="S933">
        <v>0.58087872960319997</v>
      </c>
    </row>
    <row r="934" spans="8:19">
      <c r="H934" t="s">
        <v>1286</v>
      </c>
      <c r="I934">
        <v>13</v>
      </c>
      <c r="J934" t="s">
        <v>248</v>
      </c>
      <c r="K934">
        <v>220</v>
      </c>
      <c r="L934">
        <v>9.5560000000000003E-3</v>
      </c>
      <c r="M934">
        <v>1</v>
      </c>
      <c r="N934">
        <v>65.05</v>
      </c>
      <c r="O934" t="s">
        <v>6485</v>
      </c>
      <c r="P934" t="s">
        <v>6586</v>
      </c>
      <c r="Q934">
        <v>1.0325599999999999</v>
      </c>
      <c r="R934" t="s">
        <v>3304</v>
      </c>
      <c r="S934">
        <v>0.641857675568</v>
      </c>
    </row>
    <row r="935" spans="8:19">
      <c r="H935" t="s">
        <v>1286</v>
      </c>
      <c r="I935">
        <v>13</v>
      </c>
      <c r="J935" t="s">
        <v>248</v>
      </c>
      <c r="K935">
        <v>220</v>
      </c>
      <c r="L935">
        <v>9.5560000000000003E-3</v>
      </c>
      <c r="M935">
        <v>2</v>
      </c>
      <c r="N935">
        <v>60.055999999999997</v>
      </c>
      <c r="O935" t="s">
        <v>6485</v>
      </c>
      <c r="P935" t="s">
        <v>6586</v>
      </c>
      <c r="Q935">
        <v>1.0325599999999999</v>
      </c>
      <c r="R935" t="s">
        <v>3304</v>
      </c>
      <c r="S935">
        <v>0.59258116162815988</v>
      </c>
    </row>
    <row r="936" spans="8:19">
      <c r="H936" t="s">
        <v>1286</v>
      </c>
      <c r="I936">
        <v>13</v>
      </c>
      <c r="J936" t="s">
        <v>248</v>
      </c>
      <c r="K936">
        <v>220</v>
      </c>
      <c r="L936">
        <v>9.5560000000000003E-3</v>
      </c>
      <c r="M936">
        <v>3</v>
      </c>
      <c r="N936">
        <v>33.075000000000003</v>
      </c>
      <c r="O936" t="s">
        <v>6485</v>
      </c>
      <c r="P936" t="s">
        <v>6586</v>
      </c>
      <c r="Q936">
        <v>1.0325599999999999</v>
      </c>
      <c r="R936" t="s">
        <v>3304</v>
      </c>
      <c r="S936">
        <v>0.326355766632</v>
      </c>
    </row>
    <row r="937" spans="8:19">
      <c r="H937" t="s">
        <v>1286</v>
      </c>
      <c r="I937">
        <v>13</v>
      </c>
      <c r="J937" t="s">
        <v>248</v>
      </c>
      <c r="K937">
        <v>220</v>
      </c>
      <c r="L937">
        <v>9.5560000000000003E-3</v>
      </c>
      <c r="M937">
        <v>4</v>
      </c>
      <c r="N937">
        <v>32.075000000000003</v>
      </c>
      <c r="O937" t="s">
        <v>6485</v>
      </c>
      <c r="P937" t="s">
        <v>6586</v>
      </c>
      <c r="Q937">
        <v>1.0325599999999999</v>
      </c>
      <c r="R937" t="s">
        <v>3304</v>
      </c>
      <c r="S937">
        <v>0.316488623272</v>
      </c>
    </row>
    <row r="938" spans="8:19">
      <c r="H938" t="s">
        <v>1286</v>
      </c>
      <c r="I938">
        <v>13</v>
      </c>
      <c r="J938" t="s">
        <v>248</v>
      </c>
      <c r="K938">
        <v>220</v>
      </c>
      <c r="L938">
        <v>9.5560000000000003E-3</v>
      </c>
      <c r="M938">
        <v>5</v>
      </c>
      <c r="N938">
        <v>50.77</v>
      </c>
      <c r="O938" t="s">
        <v>6485</v>
      </c>
      <c r="P938" t="s">
        <v>6586</v>
      </c>
      <c r="Q938">
        <v>1.0325599999999999</v>
      </c>
      <c r="R938" t="s">
        <v>3304</v>
      </c>
      <c r="S938">
        <v>0.50095486838719994</v>
      </c>
    </row>
    <row r="939" spans="8:19">
      <c r="H939" t="s">
        <v>1286</v>
      </c>
      <c r="I939">
        <v>13</v>
      </c>
      <c r="J939" t="s">
        <v>248</v>
      </c>
      <c r="K939">
        <v>220</v>
      </c>
      <c r="L939">
        <v>9.5560000000000003E-3</v>
      </c>
      <c r="M939">
        <v>6</v>
      </c>
      <c r="N939">
        <v>78.662999999999997</v>
      </c>
      <c r="O939" t="s">
        <v>6485</v>
      </c>
      <c r="P939" t="s">
        <v>6586</v>
      </c>
      <c r="Q939">
        <v>1.0325599999999999</v>
      </c>
      <c r="R939" t="s">
        <v>3304</v>
      </c>
      <c r="S939">
        <v>0.77617909812767993</v>
      </c>
    </row>
    <row r="940" spans="8:19">
      <c r="H940" t="s">
        <v>1286</v>
      </c>
      <c r="I940">
        <v>13</v>
      </c>
      <c r="J940" t="s">
        <v>548</v>
      </c>
      <c r="K940">
        <v>220</v>
      </c>
      <c r="L940">
        <v>0.38756499999999999</v>
      </c>
      <c r="M940">
        <v>1</v>
      </c>
      <c r="N940">
        <v>55.128</v>
      </c>
      <c r="O940" t="s">
        <v>6617</v>
      </c>
      <c r="P940" t="s">
        <v>6586</v>
      </c>
      <c r="Q940">
        <v>1.0325599999999999</v>
      </c>
      <c r="R940" t="s">
        <v>3304</v>
      </c>
      <c r="S940">
        <v>22.061349968899201</v>
      </c>
    </row>
    <row r="941" spans="8:19">
      <c r="H941" t="s">
        <v>1286</v>
      </c>
      <c r="I941">
        <v>13</v>
      </c>
      <c r="J941" t="s">
        <v>548</v>
      </c>
      <c r="K941">
        <v>220</v>
      </c>
      <c r="L941">
        <v>0.38756499999999999</v>
      </c>
      <c r="M941">
        <v>2</v>
      </c>
      <c r="N941">
        <v>55.256999999999998</v>
      </c>
      <c r="O941" t="s">
        <v>6617</v>
      </c>
      <c r="P941" t="s">
        <v>6586</v>
      </c>
      <c r="Q941">
        <v>1.0325599999999999</v>
      </c>
      <c r="R941" t="s">
        <v>3304</v>
      </c>
      <c r="S941">
        <v>22.112973719914802</v>
      </c>
    </row>
    <row r="942" spans="8:19">
      <c r="H942" t="s">
        <v>1286</v>
      </c>
      <c r="I942">
        <v>13</v>
      </c>
      <c r="J942" t="s">
        <v>548</v>
      </c>
      <c r="K942">
        <v>220</v>
      </c>
      <c r="L942">
        <v>0.38756499999999999</v>
      </c>
      <c r="M942">
        <v>3</v>
      </c>
      <c r="N942">
        <v>39.152000000000001</v>
      </c>
      <c r="O942" t="s">
        <v>6617</v>
      </c>
      <c r="P942" t="s">
        <v>6586</v>
      </c>
      <c r="Q942">
        <v>1.0325599999999999</v>
      </c>
      <c r="R942" t="s">
        <v>3304</v>
      </c>
      <c r="S942">
        <v>15.6680085252928</v>
      </c>
    </row>
    <row r="943" spans="8:19">
      <c r="H943" t="s">
        <v>1286</v>
      </c>
      <c r="I943">
        <v>13</v>
      </c>
      <c r="J943" t="s">
        <v>548</v>
      </c>
      <c r="K943">
        <v>220</v>
      </c>
      <c r="L943">
        <v>0.38756499999999999</v>
      </c>
      <c r="M943">
        <v>4</v>
      </c>
      <c r="N943">
        <v>38.615000000000002</v>
      </c>
      <c r="O943" t="s">
        <v>6617</v>
      </c>
      <c r="P943" t="s">
        <v>6586</v>
      </c>
      <c r="Q943">
        <v>1.0325599999999999</v>
      </c>
      <c r="R943" t="s">
        <v>3304</v>
      </c>
      <c r="S943">
        <v>15.453109654785999</v>
      </c>
    </row>
    <row r="944" spans="8:19">
      <c r="H944" t="s">
        <v>1286</v>
      </c>
      <c r="I944">
        <v>13</v>
      </c>
      <c r="J944" t="s">
        <v>548</v>
      </c>
      <c r="K944">
        <v>220</v>
      </c>
      <c r="L944">
        <v>0.38756499999999999</v>
      </c>
      <c r="M944">
        <v>5</v>
      </c>
      <c r="N944">
        <v>46.902000000000001</v>
      </c>
      <c r="O944" t="s">
        <v>6617</v>
      </c>
      <c r="P944" t="s">
        <v>6586</v>
      </c>
      <c r="Q944">
        <v>1.0325599999999999</v>
      </c>
      <c r="R944" t="s">
        <v>3304</v>
      </c>
      <c r="S944">
        <v>18.7694354273928</v>
      </c>
    </row>
    <row r="945" spans="8:19">
      <c r="H945" t="s">
        <v>1286</v>
      </c>
      <c r="I945">
        <v>13</v>
      </c>
      <c r="J945" t="s">
        <v>548</v>
      </c>
      <c r="K945">
        <v>220</v>
      </c>
      <c r="L945">
        <v>0.38756499999999999</v>
      </c>
      <c r="M945">
        <v>6</v>
      </c>
      <c r="N945">
        <v>58.256</v>
      </c>
      <c r="O945" t="s">
        <v>6617</v>
      </c>
      <c r="P945" t="s">
        <v>6586</v>
      </c>
      <c r="Q945">
        <v>1.0325599999999999</v>
      </c>
      <c r="R945" t="s">
        <v>3304</v>
      </c>
      <c r="S945">
        <v>23.313125884998399</v>
      </c>
    </row>
    <row r="946" spans="8:19">
      <c r="H946" t="s">
        <v>1286</v>
      </c>
      <c r="I946">
        <v>13</v>
      </c>
      <c r="J946" t="s">
        <v>548</v>
      </c>
      <c r="K946">
        <v>220</v>
      </c>
      <c r="L946">
        <v>0.38756499999999999</v>
      </c>
      <c r="M946">
        <v>1</v>
      </c>
      <c r="N946">
        <v>66.899000000000001</v>
      </c>
      <c r="O946" t="s">
        <v>6485</v>
      </c>
      <c r="P946" t="s">
        <v>6586</v>
      </c>
      <c r="Q946">
        <v>1.0325599999999999</v>
      </c>
      <c r="R946" t="s">
        <v>3304</v>
      </c>
      <c r="S946">
        <v>26.7719172030436</v>
      </c>
    </row>
    <row r="947" spans="8:19">
      <c r="H947" t="s">
        <v>1286</v>
      </c>
      <c r="I947">
        <v>13</v>
      </c>
      <c r="J947" t="s">
        <v>548</v>
      </c>
      <c r="K947">
        <v>220</v>
      </c>
      <c r="L947">
        <v>0.38756499999999999</v>
      </c>
      <c r="M947">
        <v>2</v>
      </c>
      <c r="N947">
        <v>61.454000000000001</v>
      </c>
      <c r="O947" t="s">
        <v>6485</v>
      </c>
      <c r="P947" t="s">
        <v>6586</v>
      </c>
      <c r="Q947">
        <v>1.0325599999999999</v>
      </c>
      <c r="R947" t="s">
        <v>3304</v>
      </c>
      <c r="S947">
        <v>24.5929146892456</v>
      </c>
    </row>
    <row r="948" spans="8:19">
      <c r="H948" t="s">
        <v>1286</v>
      </c>
      <c r="I948">
        <v>13</v>
      </c>
      <c r="J948" t="s">
        <v>548</v>
      </c>
      <c r="K948">
        <v>220</v>
      </c>
      <c r="L948">
        <v>0.38756499999999999</v>
      </c>
      <c r="M948">
        <v>3</v>
      </c>
      <c r="N948">
        <v>32.872</v>
      </c>
      <c r="O948" t="s">
        <v>6485</v>
      </c>
      <c r="P948" t="s">
        <v>6586</v>
      </c>
      <c r="Q948">
        <v>1.0325599999999999</v>
      </c>
      <c r="R948" t="s">
        <v>3304</v>
      </c>
      <c r="S948">
        <v>13.154852274300801</v>
      </c>
    </row>
    <row r="949" spans="8:19">
      <c r="H949" t="s">
        <v>1286</v>
      </c>
      <c r="I949">
        <v>13</v>
      </c>
      <c r="J949" t="s">
        <v>548</v>
      </c>
      <c r="K949">
        <v>220</v>
      </c>
      <c r="L949">
        <v>0.38756499999999999</v>
      </c>
      <c r="M949">
        <v>4</v>
      </c>
      <c r="N949">
        <v>31.65</v>
      </c>
      <c r="O949" t="s">
        <v>6485</v>
      </c>
      <c r="P949" t="s">
        <v>6586</v>
      </c>
      <c r="Q949">
        <v>1.0325599999999999</v>
      </c>
      <c r="R949" t="s">
        <v>3304</v>
      </c>
      <c r="S949">
        <v>12.665827284060001</v>
      </c>
    </row>
    <row r="950" spans="8:19">
      <c r="H950" t="s">
        <v>1286</v>
      </c>
      <c r="I950">
        <v>13</v>
      </c>
      <c r="J950" t="s">
        <v>548</v>
      </c>
      <c r="K950">
        <v>220</v>
      </c>
      <c r="L950">
        <v>0.38756499999999999</v>
      </c>
      <c r="M950">
        <v>5</v>
      </c>
      <c r="N950">
        <v>46.981999999999999</v>
      </c>
      <c r="O950" t="s">
        <v>6485</v>
      </c>
      <c r="P950" t="s">
        <v>6586</v>
      </c>
      <c r="Q950">
        <v>1.0325599999999999</v>
      </c>
      <c r="R950" t="s">
        <v>3304</v>
      </c>
      <c r="S950">
        <v>18.801450156704799</v>
      </c>
    </row>
    <row r="951" spans="8:19">
      <c r="H951" t="s">
        <v>1286</v>
      </c>
      <c r="I951">
        <v>13</v>
      </c>
      <c r="J951" t="s">
        <v>548</v>
      </c>
      <c r="K951">
        <v>220</v>
      </c>
      <c r="L951">
        <v>0.38756499999999999</v>
      </c>
      <c r="M951">
        <v>6</v>
      </c>
      <c r="N951">
        <v>79.751999999999995</v>
      </c>
      <c r="O951" t="s">
        <v>6485</v>
      </c>
      <c r="P951" t="s">
        <v>6586</v>
      </c>
      <c r="Q951">
        <v>1.0325599999999999</v>
      </c>
      <c r="R951" t="s">
        <v>3304</v>
      </c>
      <c r="S951">
        <v>31.915483651132799</v>
      </c>
    </row>
    <row r="952" spans="8:19">
      <c r="H952" t="s">
        <v>1286</v>
      </c>
      <c r="I952">
        <v>13</v>
      </c>
      <c r="J952" t="s">
        <v>1197</v>
      </c>
      <c r="K952">
        <v>220</v>
      </c>
      <c r="L952">
        <v>2.5479999999999999E-3</v>
      </c>
      <c r="M952">
        <v>1</v>
      </c>
      <c r="N952">
        <v>55.825000000000003</v>
      </c>
      <c r="O952" t="s">
        <v>6617</v>
      </c>
      <c r="P952" t="s">
        <v>6586</v>
      </c>
      <c r="Q952">
        <v>1.0325599999999999</v>
      </c>
      <c r="R952" t="s">
        <v>3304</v>
      </c>
      <c r="S952">
        <v>0.146873502776</v>
      </c>
    </row>
    <row r="953" spans="8:19">
      <c r="H953" t="s">
        <v>1286</v>
      </c>
      <c r="I953">
        <v>13</v>
      </c>
      <c r="J953" t="s">
        <v>1197</v>
      </c>
      <c r="K953">
        <v>220</v>
      </c>
      <c r="L953">
        <v>2.5479999999999999E-3</v>
      </c>
      <c r="M953">
        <v>2</v>
      </c>
      <c r="N953">
        <v>56.061999999999998</v>
      </c>
      <c r="O953" t="s">
        <v>6617</v>
      </c>
      <c r="P953" t="s">
        <v>6586</v>
      </c>
      <c r="Q953">
        <v>1.0325599999999999</v>
      </c>
      <c r="R953" t="s">
        <v>3304</v>
      </c>
      <c r="S953">
        <v>0.14749704097856001</v>
      </c>
    </row>
    <row r="954" spans="8:19">
      <c r="H954" t="s">
        <v>1286</v>
      </c>
      <c r="I954">
        <v>13</v>
      </c>
      <c r="J954" t="s">
        <v>1197</v>
      </c>
      <c r="K954">
        <v>220</v>
      </c>
      <c r="L954">
        <v>2.5479999999999999E-3</v>
      </c>
      <c r="M954">
        <v>3</v>
      </c>
      <c r="N954">
        <v>39.136000000000003</v>
      </c>
      <c r="O954" t="s">
        <v>6617</v>
      </c>
      <c r="P954" t="s">
        <v>6586</v>
      </c>
      <c r="Q954">
        <v>1.0325599999999999</v>
      </c>
      <c r="R954" t="s">
        <v>3304</v>
      </c>
      <c r="S954">
        <v>0.10296536327168</v>
      </c>
    </row>
    <row r="955" spans="8:19">
      <c r="H955" t="s">
        <v>1286</v>
      </c>
      <c r="I955">
        <v>13</v>
      </c>
      <c r="J955" t="s">
        <v>1197</v>
      </c>
      <c r="K955">
        <v>220</v>
      </c>
      <c r="L955">
        <v>2.5479999999999999E-3</v>
      </c>
      <c r="M955">
        <v>4</v>
      </c>
      <c r="N955">
        <v>38.625</v>
      </c>
      <c r="O955" t="s">
        <v>6617</v>
      </c>
      <c r="P955" t="s">
        <v>6586</v>
      </c>
      <c r="Q955">
        <v>1.0325599999999999</v>
      </c>
      <c r="R955" t="s">
        <v>3304</v>
      </c>
      <c r="S955">
        <v>0.10162094124</v>
      </c>
    </row>
    <row r="956" spans="8:19">
      <c r="H956" t="s">
        <v>1286</v>
      </c>
      <c r="I956">
        <v>13</v>
      </c>
      <c r="J956" t="s">
        <v>1197</v>
      </c>
      <c r="K956">
        <v>220</v>
      </c>
      <c r="L956">
        <v>2.5479999999999999E-3</v>
      </c>
      <c r="M956">
        <v>5</v>
      </c>
      <c r="N956">
        <v>49.764000000000003</v>
      </c>
      <c r="O956" t="s">
        <v>6617</v>
      </c>
      <c r="P956" t="s">
        <v>6586</v>
      </c>
      <c r="Q956">
        <v>1.0325599999999999</v>
      </c>
      <c r="R956" t="s">
        <v>3304</v>
      </c>
      <c r="S956">
        <v>0.13092723676032</v>
      </c>
    </row>
    <row r="957" spans="8:19">
      <c r="H957" t="s">
        <v>1286</v>
      </c>
      <c r="I957">
        <v>13</v>
      </c>
      <c r="J957" t="s">
        <v>1197</v>
      </c>
      <c r="K957">
        <v>220</v>
      </c>
      <c r="L957">
        <v>2.5479999999999999E-3</v>
      </c>
      <c r="M957">
        <v>6</v>
      </c>
      <c r="N957">
        <v>61.481999999999999</v>
      </c>
      <c r="O957" t="s">
        <v>6617</v>
      </c>
      <c r="P957" t="s">
        <v>6586</v>
      </c>
      <c r="Q957">
        <v>1.0325599999999999</v>
      </c>
      <c r="R957" t="s">
        <v>3304</v>
      </c>
      <c r="S957">
        <v>0.16175685978816001</v>
      </c>
    </row>
    <row r="958" spans="8:19">
      <c r="H958" t="s">
        <v>1286</v>
      </c>
      <c r="I958">
        <v>13</v>
      </c>
      <c r="J958" t="s">
        <v>1197</v>
      </c>
      <c r="K958">
        <v>220</v>
      </c>
      <c r="L958">
        <v>2.5479999999999999E-3</v>
      </c>
      <c r="M958">
        <v>1</v>
      </c>
      <c r="N958">
        <v>70.069000000000003</v>
      </c>
      <c r="O958" t="s">
        <v>6485</v>
      </c>
      <c r="P958" t="s">
        <v>6586</v>
      </c>
      <c r="Q958">
        <v>1.0325599999999999</v>
      </c>
      <c r="R958" t="s">
        <v>3304</v>
      </c>
      <c r="S958">
        <v>0.18434893803871999</v>
      </c>
    </row>
    <row r="959" spans="8:19">
      <c r="H959" t="s">
        <v>1286</v>
      </c>
      <c r="I959">
        <v>13</v>
      </c>
      <c r="J959" t="s">
        <v>1197</v>
      </c>
      <c r="K959">
        <v>220</v>
      </c>
      <c r="L959">
        <v>2.5479999999999999E-3</v>
      </c>
      <c r="M959">
        <v>2</v>
      </c>
      <c r="N959">
        <v>63.207000000000001</v>
      </c>
      <c r="O959" t="s">
        <v>6485</v>
      </c>
      <c r="P959" t="s">
        <v>6586</v>
      </c>
      <c r="Q959">
        <v>1.0325599999999999</v>
      </c>
      <c r="R959" t="s">
        <v>3304</v>
      </c>
      <c r="S959">
        <v>0.16629527075615999</v>
      </c>
    </row>
    <row r="960" spans="8:19">
      <c r="H960" t="s">
        <v>1286</v>
      </c>
      <c r="I960">
        <v>13</v>
      </c>
      <c r="J960" t="s">
        <v>1197</v>
      </c>
      <c r="K960">
        <v>220</v>
      </c>
      <c r="L960">
        <v>2.5479999999999999E-3</v>
      </c>
      <c r="M960">
        <v>3</v>
      </c>
      <c r="N960">
        <v>32.453000000000003</v>
      </c>
      <c r="O960" t="s">
        <v>6485</v>
      </c>
      <c r="P960" t="s">
        <v>6586</v>
      </c>
      <c r="Q960">
        <v>1.0325599999999999</v>
      </c>
      <c r="R960" t="s">
        <v>3304</v>
      </c>
      <c r="S960">
        <v>8.5382638344640008E-2</v>
      </c>
    </row>
    <row r="961" spans="8:19">
      <c r="H961" t="s">
        <v>1286</v>
      </c>
      <c r="I961">
        <v>13</v>
      </c>
      <c r="J961" t="s">
        <v>1197</v>
      </c>
      <c r="K961">
        <v>220</v>
      </c>
      <c r="L961">
        <v>2.5479999999999999E-3</v>
      </c>
      <c r="M961">
        <v>4</v>
      </c>
      <c r="N961">
        <v>30.672000000000001</v>
      </c>
      <c r="O961" t="s">
        <v>6485</v>
      </c>
      <c r="P961" t="s">
        <v>6586</v>
      </c>
      <c r="Q961">
        <v>1.0325599999999999</v>
      </c>
      <c r="R961" t="s">
        <v>3304</v>
      </c>
      <c r="S961">
        <v>8.0696893455359991E-2</v>
      </c>
    </row>
    <row r="962" spans="8:19">
      <c r="H962" t="s">
        <v>1286</v>
      </c>
      <c r="I962">
        <v>13</v>
      </c>
      <c r="J962" t="s">
        <v>1197</v>
      </c>
      <c r="K962">
        <v>220</v>
      </c>
      <c r="L962">
        <v>2.5479999999999999E-3</v>
      </c>
      <c r="M962">
        <v>5</v>
      </c>
      <c r="N962">
        <v>51.459000000000003</v>
      </c>
      <c r="O962" t="s">
        <v>6485</v>
      </c>
      <c r="P962" t="s">
        <v>6586</v>
      </c>
      <c r="Q962">
        <v>1.0325599999999999</v>
      </c>
      <c r="R962" t="s">
        <v>3304</v>
      </c>
      <c r="S962">
        <v>0.13538671884192</v>
      </c>
    </row>
    <row r="963" spans="8:19">
      <c r="H963" t="s">
        <v>1286</v>
      </c>
      <c r="I963">
        <v>13</v>
      </c>
      <c r="J963" t="s">
        <v>1197</v>
      </c>
      <c r="K963">
        <v>220</v>
      </c>
      <c r="L963">
        <v>2.5479999999999999E-3</v>
      </c>
      <c r="M963">
        <v>6</v>
      </c>
      <c r="N963">
        <v>87.926000000000002</v>
      </c>
      <c r="O963" t="s">
        <v>6485</v>
      </c>
      <c r="P963" t="s">
        <v>6586</v>
      </c>
      <c r="Q963">
        <v>1.0325599999999999</v>
      </c>
      <c r="R963" t="s">
        <v>3304</v>
      </c>
      <c r="S963">
        <v>0.23133004218688</v>
      </c>
    </row>
    <row r="964" spans="8:19">
      <c r="H964" t="s">
        <v>1318</v>
      </c>
      <c r="I964">
        <v>13</v>
      </c>
      <c r="J964" t="s">
        <v>218</v>
      </c>
      <c r="K964">
        <v>220</v>
      </c>
      <c r="L964">
        <v>3.2744000000000002E-2</v>
      </c>
      <c r="M964">
        <v>1</v>
      </c>
      <c r="N964">
        <v>53.277000000000001</v>
      </c>
      <c r="O964" t="s">
        <v>6617</v>
      </c>
      <c r="P964" t="s">
        <v>6586</v>
      </c>
      <c r="Q964">
        <v>1.0325599999999999</v>
      </c>
      <c r="R964" t="s">
        <v>3304</v>
      </c>
      <c r="S964">
        <v>1.8013030759852799</v>
      </c>
    </row>
    <row r="965" spans="8:19">
      <c r="H965" t="s">
        <v>1318</v>
      </c>
      <c r="I965">
        <v>13</v>
      </c>
      <c r="J965" t="s">
        <v>218</v>
      </c>
      <c r="K965">
        <v>220</v>
      </c>
      <c r="L965">
        <v>3.2744000000000002E-2</v>
      </c>
      <c r="M965">
        <v>2</v>
      </c>
      <c r="N965">
        <v>53.445999999999998</v>
      </c>
      <c r="O965" t="s">
        <v>6617</v>
      </c>
      <c r="P965" t="s">
        <v>6586</v>
      </c>
      <c r="Q965">
        <v>1.0325599999999999</v>
      </c>
      <c r="R965" t="s">
        <v>3304</v>
      </c>
      <c r="S965">
        <v>1.80701699042944</v>
      </c>
    </row>
    <row r="966" spans="8:19">
      <c r="H966" t="s">
        <v>1318</v>
      </c>
      <c r="I966">
        <v>13</v>
      </c>
      <c r="J966" t="s">
        <v>218</v>
      </c>
      <c r="K966">
        <v>220</v>
      </c>
      <c r="L966">
        <v>3.2744000000000002E-2</v>
      </c>
      <c r="M966">
        <v>3</v>
      </c>
      <c r="N966">
        <v>39.104999999999997</v>
      </c>
      <c r="O966" t="s">
        <v>6617</v>
      </c>
      <c r="P966" t="s">
        <v>6586</v>
      </c>
      <c r="Q966">
        <v>1.0325599999999999</v>
      </c>
      <c r="R966" t="s">
        <v>3304</v>
      </c>
      <c r="S966">
        <v>1.3221457061472</v>
      </c>
    </row>
    <row r="967" spans="8:19">
      <c r="H967" t="s">
        <v>1318</v>
      </c>
      <c r="I967">
        <v>13</v>
      </c>
      <c r="J967" t="s">
        <v>218</v>
      </c>
      <c r="K967">
        <v>220</v>
      </c>
      <c r="L967">
        <v>3.2744000000000002E-2</v>
      </c>
      <c r="M967">
        <v>4</v>
      </c>
      <c r="N967">
        <v>38.667000000000002</v>
      </c>
      <c r="O967" t="s">
        <v>6617</v>
      </c>
      <c r="P967" t="s">
        <v>6586</v>
      </c>
      <c r="Q967">
        <v>1.0325599999999999</v>
      </c>
      <c r="R967" t="s">
        <v>3304</v>
      </c>
      <c r="S967">
        <v>1.30733686279488</v>
      </c>
    </row>
    <row r="968" spans="8:19">
      <c r="H968" t="s">
        <v>1318</v>
      </c>
      <c r="I968">
        <v>13</v>
      </c>
      <c r="J968" t="s">
        <v>218</v>
      </c>
      <c r="K968">
        <v>220</v>
      </c>
      <c r="L968">
        <v>3.2744000000000002E-2</v>
      </c>
      <c r="M968">
        <v>5</v>
      </c>
      <c r="N968">
        <v>49.026000000000003</v>
      </c>
      <c r="O968" t="s">
        <v>6617</v>
      </c>
      <c r="P968" t="s">
        <v>6586</v>
      </c>
      <c r="Q968">
        <v>1.0325599999999999</v>
      </c>
      <c r="R968" t="s">
        <v>3304</v>
      </c>
      <c r="S968">
        <v>1.6575761511206399</v>
      </c>
    </row>
    <row r="969" spans="8:19">
      <c r="H969" t="s">
        <v>1318</v>
      </c>
      <c r="I969">
        <v>13</v>
      </c>
      <c r="J969" t="s">
        <v>218</v>
      </c>
      <c r="K969">
        <v>220</v>
      </c>
      <c r="L969">
        <v>3.2744000000000002E-2</v>
      </c>
      <c r="M969">
        <v>6</v>
      </c>
      <c r="N969">
        <v>57.997</v>
      </c>
      <c r="O969" t="s">
        <v>6617</v>
      </c>
      <c r="P969" t="s">
        <v>6586</v>
      </c>
      <c r="Q969">
        <v>1.0325599999999999</v>
      </c>
      <c r="R969" t="s">
        <v>3304</v>
      </c>
      <c r="S969">
        <v>1.96088695868608</v>
      </c>
    </row>
    <row r="970" spans="8:19">
      <c r="H970" t="s">
        <v>1318</v>
      </c>
      <c r="I970">
        <v>13</v>
      </c>
      <c r="J970" t="s">
        <v>218</v>
      </c>
      <c r="K970">
        <v>220</v>
      </c>
      <c r="L970">
        <v>3.2744000000000002E-2</v>
      </c>
      <c r="M970">
        <v>1</v>
      </c>
      <c r="N970">
        <v>63.264000000000003</v>
      </c>
      <c r="O970" t="s">
        <v>6485</v>
      </c>
      <c r="P970" t="s">
        <v>6586</v>
      </c>
      <c r="Q970">
        <v>1.0325599999999999</v>
      </c>
      <c r="R970" t="s">
        <v>3304</v>
      </c>
      <c r="S970">
        <v>2.1389649905049599</v>
      </c>
    </row>
    <row r="971" spans="8:19">
      <c r="H971" t="s">
        <v>1318</v>
      </c>
      <c r="I971">
        <v>13</v>
      </c>
      <c r="J971" t="s">
        <v>218</v>
      </c>
      <c r="K971">
        <v>220</v>
      </c>
      <c r="L971">
        <v>3.2744000000000002E-2</v>
      </c>
      <c r="M971">
        <v>2</v>
      </c>
      <c r="N971">
        <v>58.51</v>
      </c>
      <c r="O971" t="s">
        <v>6485</v>
      </c>
      <c r="P971" t="s">
        <v>6586</v>
      </c>
      <c r="Q971">
        <v>1.0325599999999999</v>
      </c>
      <c r="R971" t="s">
        <v>3304</v>
      </c>
      <c r="S971">
        <v>1.9782315628864</v>
      </c>
    </row>
    <row r="972" spans="8:19">
      <c r="H972" t="s">
        <v>1318</v>
      </c>
      <c r="I972">
        <v>13</v>
      </c>
      <c r="J972" t="s">
        <v>218</v>
      </c>
      <c r="K972">
        <v>220</v>
      </c>
      <c r="L972">
        <v>3.2744000000000002E-2</v>
      </c>
      <c r="M972">
        <v>3</v>
      </c>
      <c r="N972">
        <v>32.847999999999999</v>
      </c>
      <c r="O972" t="s">
        <v>6485</v>
      </c>
      <c r="P972" t="s">
        <v>6586</v>
      </c>
      <c r="Q972">
        <v>1.0325599999999999</v>
      </c>
      <c r="R972" t="s">
        <v>3304</v>
      </c>
      <c r="S972">
        <v>1.11059563113472</v>
      </c>
    </row>
    <row r="973" spans="8:19">
      <c r="H973" t="s">
        <v>1318</v>
      </c>
      <c r="I973">
        <v>13</v>
      </c>
      <c r="J973" t="s">
        <v>218</v>
      </c>
      <c r="K973">
        <v>220</v>
      </c>
      <c r="L973">
        <v>3.2744000000000002E-2</v>
      </c>
      <c r="M973">
        <v>4</v>
      </c>
      <c r="N973">
        <v>32.058</v>
      </c>
      <c r="O973" t="s">
        <v>6485</v>
      </c>
      <c r="P973" t="s">
        <v>6586</v>
      </c>
      <c r="Q973">
        <v>1.0325599999999999</v>
      </c>
      <c r="R973" t="s">
        <v>3304</v>
      </c>
      <c r="S973">
        <v>1.08388561686912</v>
      </c>
    </row>
    <row r="974" spans="8:19">
      <c r="H974" t="s">
        <v>1318</v>
      </c>
      <c r="I974">
        <v>13</v>
      </c>
      <c r="J974" t="s">
        <v>218</v>
      </c>
      <c r="K974">
        <v>220</v>
      </c>
      <c r="L974">
        <v>3.2744000000000002E-2</v>
      </c>
      <c r="M974">
        <v>5</v>
      </c>
      <c r="N974">
        <v>50.432000000000002</v>
      </c>
      <c r="O974" t="s">
        <v>6485</v>
      </c>
      <c r="P974" t="s">
        <v>6586</v>
      </c>
      <c r="Q974">
        <v>1.0325599999999999</v>
      </c>
      <c r="R974" t="s">
        <v>3304</v>
      </c>
      <c r="S974">
        <v>1.7051132144844801</v>
      </c>
    </row>
    <row r="975" spans="8:19">
      <c r="H975" t="s">
        <v>1318</v>
      </c>
      <c r="I975">
        <v>13</v>
      </c>
      <c r="J975" t="s">
        <v>218</v>
      </c>
      <c r="K975">
        <v>220</v>
      </c>
      <c r="L975">
        <v>3.2744000000000002E-2</v>
      </c>
      <c r="M975">
        <v>6</v>
      </c>
      <c r="N975">
        <v>76.081000000000003</v>
      </c>
      <c r="O975" t="s">
        <v>6485</v>
      </c>
      <c r="P975" t="s">
        <v>6586</v>
      </c>
      <c r="Q975">
        <v>1.0325599999999999</v>
      </c>
      <c r="R975" t="s">
        <v>3304</v>
      </c>
      <c r="S975">
        <v>2.5723096143558402</v>
      </c>
    </row>
    <row r="976" spans="8:19">
      <c r="H976" t="s">
        <v>1318</v>
      </c>
      <c r="I976">
        <v>13</v>
      </c>
      <c r="J976" t="s">
        <v>248</v>
      </c>
      <c r="K976">
        <v>220</v>
      </c>
      <c r="L976">
        <v>0.95984999999999998</v>
      </c>
      <c r="M976">
        <v>1</v>
      </c>
      <c r="N976">
        <v>54.328000000000003</v>
      </c>
      <c r="O976" t="s">
        <v>6617</v>
      </c>
      <c r="P976" t="s">
        <v>6586</v>
      </c>
      <c r="Q976">
        <v>1.0325599999999999</v>
      </c>
      <c r="R976" t="s">
        <v>3304</v>
      </c>
      <c r="S976">
        <v>53.844628354847998</v>
      </c>
    </row>
    <row r="977" spans="8:19">
      <c r="H977" t="s">
        <v>1318</v>
      </c>
      <c r="I977">
        <v>13</v>
      </c>
      <c r="J977" t="s">
        <v>248</v>
      </c>
      <c r="K977">
        <v>220</v>
      </c>
      <c r="L977">
        <v>0.95984999999999998</v>
      </c>
      <c r="M977">
        <v>2</v>
      </c>
      <c r="N977">
        <v>54.436999999999998</v>
      </c>
      <c r="O977" t="s">
        <v>6617</v>
      </c>
      <c r="P977" t="s">
        <v>6586</v>
      </c>
      <c r="Q977">
        <v>1.0325599999999999</v>
      </c>
      <c r="R977" t="s">
        <v>3304</v>
      </c>
      <c r="S977">
        <v>53.952658550891989</v>
      </c>
    </row>
    <row r="978" spans="8:19">
      <c r="H978" t="s">
        <v>1318</v>
      </c>
      <c r="I978">
        <v>13</v>
      </c>
      <c r="J978" t="s">
        <v>248</v>
      </c>
      <c r="K978">
        <v>220</v>
      </c>
      <c r="L978">
        <v>0.95984999999999998</v>
      </c>
      <c r="M978">
        <v>3</v>
      </c>
      <c r="N978">
        <v>39.161000000000001</v>
      </c>
      <c r="O978" t="s">
        <v>6617</v>
      </c>
      <c r="P978" t="s">
        <v>6586</v>
      </c>
      <c r="Q978">
        <v>1.0325599999999999</v>
      </c>
      <c r="R978" t="s">
        <v>3304</v>
      </c>
      <c r="S978">
        <v>38.812573461276003</v>
      </c>
    </row>
    <row r="979" spans="8:19">
      <c r="H979" t="s">
        <v>1318</v>
      </c>
      <c r="I979">
        <v>13</v>
      </c>
      <c r="J979" t="s">
        <v>248</v>
      </c>
      <c r="K979">
        <v>220</v>
      </c>
      <c r="L979">
        <v>0.95984999999999998</v>
      </c>
      <c r="M979">
        <v>4</v>
      </c>
      <c r="N979">
        <v>38.674999999999997</v>
      </c>
      <c r="O979" t="s">
        <v>6617</v>
      </c>
      <c r="P979" t="s">
        <v>6586</v>
      </c>
      <c r="Q979">
        <v>1.0325599999999999</v>
      </c>
      <c r="R979" t="s">
        <v>3304</v>
      </c>
      <c r="S979">
        <v>38.33089754129999</v>
      </c>
    </row>
    <row r="980" spans="8:19">
      <c r="H980" t="s">
        <v>1318</v>
      </c>
      <c r="I980">
        <v>13</v>
      </c>
      <c r="J980" t="s">
        <v>248</v>
      </c>
      <c r="K980">
        <v>220</v>
      </c>
      <c r="L980">
        <v>0.95984999999999998</v>
      </c>
      <c r="M980">
        <v>5</v>
      </c>
      <c r="N980">
        <v>49.055</v>
      </c>
      <c r="O980" t="s">
        <v>6617</v>
      </c>
      <c r="P980" t="s">
        <v>6586</v>
      </c>
      <c r="Q980">
        <v>1.0325599999999999</v>
      </c>
      <c r="R980" t="s">
        <v>3304</v>
      </c>
      <c r="S980">
        <v>48.618543733380001</v>
      </c>
    </row>
    <row r="981" spans="8:19">
      <c r="H981" t="s">
        <v>1318</v>
      </c>
      <c r="I981">
        <v>13</v>
      </c>
      <c r="J981" t="s">
        <v>248</v>
      </c>
      <c r="K981">
        <v>220</v>
      </c>
      <c r="L981">
        <v>0.95984999999999998</v>
      </c>
      <c r="M981">
        <v>6</v>
      </c>
      <c r="N981">
        <v>58.87</v>
      </c>
      <c r="O981" t="s">
        <v>6617</v>
      </c>
      <c r="P981" t="s">
        <v>6586</v>
      </c>
      <c r="Q981">
        <v>1.0325599999999999</v>
      </c>
      <c r="R981" t="s">
        <v>3304</v>
      </c>
      <c r="S981">
        <v>58.34621689091999</v>
      </c>
    </row>
    <row r="982" spans="8:19">
      <c r="H982" t="s">
        <v>1318</v>
      </c>
      <c r="I982">
        <v>13</v>
      </c>
      <c r="J982" t="s">
        <v>248</v>
      </c>
      <c r="K982">
        <v>220</v>
      </c>
      <c r="L982">
        <v>0.95984999999999998</v>
      </c>
      <c r="M982">
        <v>1</v>
      </c>
      <c r="N982">
        <v>65.05</v>
      </c>
      <c r="O982" t="s">
        <v>6485</v>
      </c>
      <c r="P982" t="s">
        <v>6586</v>
      </c>
      <c r="Q982">
        <v>1.0325599999999999</v>
      </c>
      <c r="R982" t="s">
        <v>3304</v>
      </c>
      <c r="S982">
        <v>64.471231675799984</v>
      </c>
    </row>
    <row r="983" spans="8:19">
      <c r="H983" t="s">
        <v>1318</v>
      </c>
      <c r="I983">
        <v>13</v>
      </c>
      <c r="J983" t="s">
        <v>248</v>
      </c>
      <c r="K983">
        <v>220</v>
      </c>
      <c r="L983">
        <v>0.95984999999999998</v>
      </c>
      <c r="M983">
        <v>2</v>
      </c>
      <c r="N983">
        <v>60.055999999999997</v>
      </c>
      <c r="O983" t="s">
        <v>6485</v>
      </c>
      <c r="P983" t="s">
        <v>6586</v>
      </c>
      <c r="Q983">
        <v>1.0325599999999999</v>
      </c>
      <c r="R983" t="s">
        <v>3304</v>
      </c>
      <c r="S983">
        <v>59.521664712095998</v>
      </c>
    </row>
    <row r="984" spans="8:19">
      <c r="H984" t="s">
        <v>1318</v>
      </c>
      <c r="I984">
        <v>13</v>
      </c>
      <c r="J984" t="s">
        <v>248</v>
      </c>
      <c r="K984">
        <v>220</v>
      </c>
      <c r="L984">
        <v>0.95984999999999998</v>
      </c>
      <c r="M984">
        <v>3</v>
      </c>
      <c r="N984">
        <v>33.075000000000003</v>
      </c>
      <c r="O984" t="s">
        <v>6485</v>
      </c>
      <c r="P984" t="s">
        <v>6586</v>
      </c>
      <c r="Q984">
        <v>1.0325599999999999</v>
      </c>
      <c r="R984" t="s">
        <v>3304</v>
      </c>
      <c r="S984">
        <v>32.780722331699998</v>
      </c>
    </row>
    <row r="985" spans="8:19">
      <c r="H985" t="s">
        <v>1318</v>
      </c>
      <c r="I985">
        <v>13</v>
      </c>
      <c r="J985" t="s">
        <v>248</v>
      </c>
      <c r="K985">
        <v>220</v>
      </c>
      <c r="L985">
        <v>0.95984999999999998</v>
      </c>
      <c r="M985">
        <v>4</v>
      </c>
      <c r="N985">
        <v>32.075000000000003</v>
      </c>
      <c r="O985" t="s">
        <v>6485</v>
      </c>
      <c r="P985" t="s">
        <v>6586</v>
      </c>
      <c r="Q985">
        <v>1.0325599999999999</v>
      </c>
      <c r="R985" t="s">
        <v>3304</v>
      </c>
      <c r="S985">
        <v>31.789619615700001</v>
      </c>
    </row>
    <row r="986" spans="8:19">
      <c r="H986" t="s">
        <v>1318</v>
      </c>
      <c r="I986">
        <v>13</v>
      </c>
      <c r="J986" t="s">
        <v>248</v>
      </c>
      <c r="K986">
        <v>220</v>
      </c>
      <c r="L986">
        <v>0.95984999999999998</v>
      </c>
      <c r="M986">
        <v>5</v>
      </c>
      <c r="N986">
        <v>50.77</v>
      </c>
      <c r="O986" t="s">
        <v>6485</v>
      </c>
      <c r="P986" t="s">
        <v>6586</v>
      </c>
      <c r="Q986">
        <v>1.0325599999999999</v>
      </c>
      <c r="R986" t="s">
        <v>3304</v>
      </c>
      <c r="S986">
        <v>50.318284891319998</v>
      </c>
    </row>
    <row r="987" spans="8:19">
      <c r="H987" t="s">
        <v>1318</v>
      </c>
      <c r="I987">
        <v>13</v>
      </c>
      <c r="J987" t="s">
        <v>248</v>
      </c>
      <c r="K987">
        <v>220</v>
      </c>
      <c r="L987">
        <v>0.95984999999999998</v>
      </c>
      <c r="M987">
        <v>6</v>
      </c>
      <c r="N987">
        <v>78.662999999999997</v>
      </c>
      <c r="O987" t="s">
        <v>6485</v>
      </c>
      <c r="P987" t="s">
        <v>6586</v>
      </c>
      <c r="Q987">
        <v>1.0325599999999999</v>
      </c>
      <c r="R987" t="s">
        <v>3304</v>
      </c>
      <c r="S987">
        <v>77.963112948707987</v>
      </c>
    </row>
    <row r="988" spans="8:19">
      <c r="H988" t="s">
        <v>1318</v>
      </c>
      <c r="I988">
        <v>13</v>
      </c>
      <c r="J988" t="s">
        <v>1454</v>
      </c>
      <c r="K988">
        <v>220</v>
      </c>
      <c r="L988">
        <v>7.4060000000000003E-3</v>
      </c>
      <c r="M988">
        <v>1</v>
      </c>
      <c r="N988">
        <v>53.829000000000001</v>
      </c>
      <c r="O988" t="s">
        <v>6617</v>
      </c>
      <c r="P988" t="s">
        <v>6586</v>
      </c>
      <c r="Q988">
        <v>1.0325599999999999</v>
      </c>
      <c r="R988" t="s">
        <v>3304</v>
      </c>
      <c r="S988">
        <v>0.41163786460944002</v>
      </c>
    </row>
    <row r="989" spans="8:19">
      <c r="H989" t="s">
        <v>1318</v>
      </c>
      <c r="I989">
        <v>13</v>
      </c>
      <c r="J989" t="s">
        <v>1454</v>
      </c>
      <c r="K989">
        <v>220</v>
      </c>
      <c r="L989">
        <v>7.4060000000000003E-3</v>
      </c>
      <c r="M989">
        <v>2</v>
      </c>
      <c r="N989">
        <v>53.953000000000003</v>
      </c>
      <c r="O989" t="s">
        <v>6617</v>
      </c>
      <c r="P989" t="s">
        <v>6586</v>
      </c>
      <c r="Q989">
        <v>1.0325599999999999</v>
      </c>
      <c r="R989" t="s">
        <v>3304</v>
      </c>
      <c r="S989">
        <v>0.41258610989007999</v>
      </c>
    </row>
    <row r="990" spans="8:19">
      <c r="H990" t="s">
        <v>1318</v>
      </c>
      <c r="I990">
        <v>13</v>
      </c>
      <c r="J990" t="s">
        <v>1454</v>
      </c>
      <c r="K990">
        <v>220</v>
      </c>
      <c r="L990">
        <v>7.4060000000000003E-3</v>
      </c>
      <c r="M990">
        <v>3</v>
      </c>
      <c r="N990">
        <v>39.148000000000003</v>
      </c>
      <c r="O990" t="s">
        <v>6617</v>
      </c>
      <c r="P990" t="s">
        <v>6586</v>
      </c>
      <c r="Q990">
        <v>1.0325599999999999</v>
      </c>
      <c r="R990" t="s">
        <v>3304</v>
      </c>
      <c r="S990">
        <v>0.29937021166527999</v>
      </c>
    </row>
    <row r="991" spans="8:19">
      <c r="H991" t="s">
        <v>1318</v>
      </c>
      <c r="I991">
        <v>13</v>
      </c>
      <c r="J991" t="s">
        <v>1454</v>
      </c>
      <c r="K991">
        <v>220</v>
      </c>
      <c r="L991">
        <v>7.4060000000000003E-3</v>
      </c>
      <c r="M991">
        <v>4</v>
      </c>
      <c r="N991">
        <v>38.685000000000002</v>
      </c>
      <c r="O991" t="s">
        <v>6617</v>
      </c>
      <c r="P991" t="s">
        <v>6586</v>
      </c>
      <c r="Q991">
        <v>1.0325599999999999</v>
      </c>
      <c r="R991" t="s">
        <v>3304</v>
      </c>
      <c r="S991">
        <v>0.29582958614159999</v>
      </c>
    </row>
    <row r="992" spans="8:19">
      <c r="H992" t="s">
        <v>1318</v>
      </c>
      <c r="I992">
        <v>13</v>
      </c>
      <c r="J992" t="s">
        <v>1454</v>
      </c>
      <c r="K992">
        <v>220</v>
      </c>
      <c r="L992">
        <v>7.4060000000000003E-3</v>
      </c>
      <c r="M992">
        <v>5</v>
      </c>
      <c r="N992">
        <v>48.414000000000001</v>
      </c>
      <c r="O992" t="s">
        <v>6617</v>
      </c>
      <c r="P992" t="s">
        <v>6586</v>
      </c>
      <c r="Q992">
        <v>1.0325599999999999</v>
      </c>
      <c r="R992" t="s">
        <v>3304</v>
      </c>
      <c r="S992">
        <v>0.37022860497504001</v>
      </c>
    </row>
    <row r="993" spans="8:19">
      <c r="H993" t="s">
        <v>1318</v>
      </c>
      <c r="I993">
        <v>13</v>
      </c>
      <c r="J993" t="s">
        <v>1454</v>
      </c>
      <c r="K993">
        <v>220</v>
      </c>
      <c r="L993">
        <v>7.4060000000000003E-3</v>
      </c>
      <c r="M993">
        <v>6</v>
      </c>
      <c r="N993">
        <v>58.081000000000003</v>
      </c>
      <c r="O993" t="s">
        <v>6617</v>
      </c>
      <c r="P993" t="s">
        <v>6586</v>
      </c>
      <c r="Q993">
        <v>1.0325599999999999</v>
      </c>
      <c r="R993" t="s">
        <v>3304</v>
      </c>
      <c r="S993">
        <v>0.44415350116815999</v>
      </c>
    </row>
    <row r="994" spans="8:19">
      <c r="H994" t="s">
        <v>1318</v>
      </c>
      <c r="I994">
        <v>13</v>
      </c>
      <c r="J994" t="s">
        <v>1454</v>
      </c>
      <c r="K994">
        <v>220</v>
      </c>
      <c r="L994">
        <v>7.4060000000000003E-3</v>
      </c>
      <c r="M994">
        <v>1</v>
      </c>
      <c r="N994">
        <v>63.616</v>
      </c>
      <c r="O994" t="s">
        <v>6485</v>
      </c>
      <c r="P994" t="s">
        <v>6586</v>
      </c>
      <c r="Q994">
        <v>1.0325599999999999</v>
      </c>
      <c r="R994" t="s">
        <v>3304</v>
      </c>
      <c r="S994">
        <v>0.48648041752575999</v>
      </c>
    </row>
    <row r="995" spans="8:19">
      <c r="H995" t="s">
        <v>1318</v>
      </c>
      <c r="I995">
        <v>13</v>
      </c>
      <c r="J995" t="s">
        <v>1454</v>
      </c>
      <c r="K995">
        <v>220</v>
      </c>
      <c r="L995">
        <v>7.4060000000000003E-3</v>
      </c>
      <c r="M995">
        <v>2</v>
      </c>
      <c r="N995">
        <v>58.975000000000001</v>
      </c>
      <c r="O995" t="s">
        <v>6485</v>
      </c>
      <c r="P995" t="s">
        <v>6586</v>
      </c>
      <c r="Q995">
        <v>1.0325599999999999</v>
      </c>
      <c r="R995" t="s">
        <v>3304</v>
      </c>
      <c r="S995">
        <v>0.45099004375599999</v>
      </c>
    </row>
    <row r="996" spans="8:19">
      <c r="H996" t="s">
        <v>1318</v>
      </c>
      <c r="I996">
        <v>13</v>
      </c>
      <c r="J996" t="s">
        <v>1454</v>
      </c>
      <c r="K996">
        <v>220</v>
      </c>
      <c r="L996">
        <v>7.4060000000000003E-3</v>
      </c>
      <c r="M996">
        <v>3</v>
      </c>
      <c r="N996">
        <v>33.026000000000003</v>
      </c>
      <c r="O996" t="s">
        <v>6485</v>
      </c>
      <c r="P996" t="s">
        <v>6586</v>
      </c>
      <c r="Q996">
        <v>1.0325599999999999</v>
      </c>
      <c r="R996" t="s">
        <v>3304</v>
      </c>
      <c r="S996">
        <v>0.25255442450336002</v>
      </c>
    </row>
    <row r="997" spans="8:19">
      <c r="H997" t="s">
        <v>1318</v>
      </c>
      <c r="I997">
        <v>13</v>
      </c>
      <c r="J997" t="s">
        <v>1454</v>
      </c>
      <c r="K997">
        <v>220</v>
      </c>
      <c r="L997">
        <v>7.4060000000000003E-3</v>
      </c>
      <c r="M997">
        <v>4</v>
      </c>
      <c r="N997">
        <v>32.063000000000002</v>
      </c>
      <c r="O997" t="s">
        <v>6485</v>
      </c>
      <c r="P997" t="s">
        <v>6586</v>
      </c>
      <c r="Q997">
        <v>1.0325599999999999</v>
      </c>
      <c r="R997" t="s">
        <v>3304</v>
      </c>
      <c r="S997">
        <v>0.24519022929968001</v>
      </c>
    </row>
    <row r="998" spans="8:19">
      <c r="H998" t="s">
        <v>1318</v>
      </c>
      <c r="I998">
        <v>13</v>
      </c>
      <c r="J998" t="s">
        <v>1454</v>
      </c>
      <c r="K998">
        <v>220</v>
      </c>
      <c r="L998">
        <v>7.4060000000000003E-3</v>
      </c>
      <c r="M998">
        <v>5</v>
      </c>
      <c r="N998">
        <v>49.460999999999999</v>
      </c>
      <c r="O998" t="s">
        <v>6485</v>
      </c>
      <c r="P998" t="s">
        <v>6586</v>
      </c>
      <c r="Q998">
        <v>1.0325599999999999</v>
      </c>
      <c r="R998" t="s">
        <v>3304</v>
      </c>
      <c r="S998">
        <v>0.37823515988495998</v>
      </c>
    </row>
    <row r="999" spans="8:19">
      <c r="H999" t="s">
        <v>1318</v>
      </c>
      <c r="I999">
        <v>13</v>
      </c>
      <c r="J999" t="s">
        <v>1454</v>
      </c>
      <c r="K999">
        <v>220</v>
      </c>
      <c r="L999">
        <v>7.4060000000000003E-3</v>
      </c>
      <c r="M999">
        <v>6</v>
      </c>
      <c r="N999">
        <v>76.272000000000006</v>
      </c>
      <c r="O999" t="s">
        <v>6485</v>
      </c>
      <c r="P999" t="s">
        <v>6586</v>
      </c>
      <c r="Q999">
        <v>1.0325599999999999</v>
      </c>
      <c r="R999" t="s">
        <v>3304</v>
      </c>
      <c r="S999">
        <v>0.58326261326591999</v>
      </c>
    </row>
    <row r="1000" spans="8:19">
      <c r="H1000" t="s">
        <v>1347</v>
      </c>
      <c r="I1000">
        <v>23</v>
      </c>
      <c r="J1000" t="s">
        <v>9</v>
      </c>
      <c r="K1000">
        <v>220</v>
      </c>
      <c r="L1000">
        <v>1.273E-3</v>
      </c>
      <c r="M1000">
        <v>1</v>
      </c>
      <c r="N1000">
        <v>55.936</v>
      </c>
      <c r="O1000" t="s">
        <v>6617</v>
      </c>
      <c r="P1000" t="s">
        <v>6586</v>
      </c>
      <c r="Q1000">
        <v>1.0325599999999999</v>
      </c>
      <c r="R1000" t="s">
        <v>3304</v>
      </c>
      <c r="S1000">
        <v>7.3525012551679994E-2</v>
      </c>
    </row>
    <row r="1001" spans="8:19">
      <c r="H1001" t="s">
        <v>1347</v>
      </c>
      <c r="I1001">
        <v>23</v>
      </c>
      <c r="J1001" t="s">
        <v>9</v>
      </c>
      <c r="K1001">
        <v>220</v>
      </c>
      <c r="L1001">
        <v>1.273E-3</v>
      </c>
      <c r="M1001">
        <v>2</v>
      </c>
      <c r="N1001">
        <v>56.033999999999999</v>
      </c>
      <c r="O1001" t="s">
        <v>6617</v>
      </c>
      <c r="P1001" t="s">
        <v>6586</v>
      </c>
      <c r="Q1001">
        <v>1.0325599999999999</v>
      </c>
      <c r="R1001" t="s">
        <v>3304</v>
      </c>
      <c r="S1001">
        <v>7.3653828541919986E-2</v>
      </c>
    </row>
    <row r="1002" spans="8:19">
      <c r="H1002" t="s">
        <v>1347</v>
      </c>
      <c r="I1002">
        <v>23</v>
      </c>
      <c r="J1002" t="s">
        <v>9</v>
      </c>
      <c r="K1002">
        <v>220</v>
      </c>
      <c r="L1002">
        <v>1.273E-3</v>
      </c>
      <c r="M1002">
        <v>3</v>
      </c>
      <c r="N1002">
        <v>39.116999999999997</v>
      </c>
      <c r="O1002" t="s">
        <v>6617</v>
      </c>
      <c r="P1002" t="s">
        <v>6586</v>
      </c>
      <c r="Q1002">
        <v>1.0325599999999999</v>
      </c>
      <c r="R1002" t="s">
        <v>3304</v>
      </c>
      <c r="S1002">
        <v>5.1417296838959993E-2</v>
      </c>
    </row>
    <row r="1003" spans="8:19">
      <c r="H1003" t="s">
        <v>1347</v>
      </c>
      <c r="I1003">
        <v>23</v>
      </c>
      <c r="J1003" t="s">
        <v>9</v>
      </c>
      <c r="K1003">
        <v>220</v>
      </c>
      <c r="L1003">
        <v>1.273E-3</v>
      </c>
      <c r="M1003">
        <v>4</v>
      </c>
      <c r="N1003">
        <v>38.668999999999997</v>
      </c>
      <c r="O1003" t="s">
        <v>6617</v>
      </c>
      <c r="P1003" t="s">
        <v>6586</v>
      </c>
      <c r="Q1003">
        <v>1.0325599999999999</v>
      </c>
      <c r="R1003" t="s">
        <v>3304</v>
      </c>
      <c r="S1003">
        <v>5.082842374071999E-2</v>
      </c>
    </row>
    <row r="1004" spans="8:19">
      <c r="H1004" t="s">
        <v>1347</v>
      </c>
      <c r="I1004">
        <v>23</v>
      </c>
      <c r="J1004" t="s">
        <v>9</v>
      </c>
      <c r="K1004">
        <v>220</v>
      </c>
      <c r="L1004">
        <v>1.273E-3</v>
      </c>
      <c r="M1004">
        <v>5</v>
      </c>
      <c r="N1004">
        <v>51.475999999999999</v>
      </c>
      <c r="O1004" t="s">
        <v>6617</v>
      </c>
      <c r="P1004" t="s">
        <v>6586</v>
      </c>
      <c r="Q1004">
        <v>1.0325599999999999</v>
      </c>
      <c r="R1004" t="s">
        <v>3304</v>
      </c>
      <c r="S1004">
        <v>6.7662570546880005E-2</v>
      </c>
    </row>
    <row r="1005" spans="8:19">
      <c r="H1005" t="s">
        <v>1347</v>
      </c>
      <c r="I1005">
        <v>23</v>
      </c>
      <c r="J1005" t="s">
        <v>9</v>
      </c>
      <c r="K1005">
        <v>220</v>
      </c>
      <c r="L1005">
        <v>1.273E-3</v>
      </c>
      <c r="M1005">
        <v>6</v>
      </c>
      <c r="N1005">
        <v>62.256999999999998</v>
      </c>
      <c r="O1005" t="s">
        <v>6617</v>
      </c>
      <c r="P1005" t="s">
        <v>6586</v>
      </c>
      <c r="Q1005">
        <v>1.0325599999999999</v>
      </c>
      <c r="R1005" t="s">
        <v>3304</v>
      </c>
      <c r="S1005">
        <v>8.1833643922159999E-2</v>
      </c>
    </row>
    <row r="1006" spans="8:19">
      <c r="H1006" t="s">
        <v>1347</v>
      </c>
      <c r="I1006">
        <v>23</v>
      </c>
      <c r="J1006" t="s">
        <v>9</v>
      </c>
      <c r="K1006">
        <v>220</v>
      </c>
      <c r="L1006">
        <v>1.273E-3</v>
      </c>
      <c r="M1006">
        <v>1</v>
      </c>
      <c r="N1006">
        <v>69.262</v>
      </c>
      <c r="O1006" t="s">
        <v>6485</v>
      </c>
      <c r="P1006" t="s">
        <v>6586</v>
      </c>
      <c r="Q1006">
        <v>1.0325599999999999</v>
      </c>
      <c r="R1006" t="s">
        <v>3304</v>
      </c>
      <c r="S1006">
        <v>9.104135832655999E-2</v>
      </c>
    </row>
    <row r="1007" spans="8:19">
      <c r="H1007" t="s">
        <v>1347</v>
      </c>
      <c r="I1007">
        <v>23</v>
      </c>
      <c r="J1007" t="s">
        <v>9</v>
      </c>
      <c r="K1007">
        <v>220</v>
      </c>
      <c r="L1007">
        <v>1.273E-3</v>
      </c>
      <c r="M1007">
        <v>2</v>
      </c>
      <c r="N1007">
        <v>62.783000000000001</v>
      </c>
      <c r="O1007" t="s">
        <v>6485</v>
      </c>
      <c r="P1007" t="s">
        <v>6586</v>
      </c>
      <c r="Q1007">
        <v>1.0325599999999999</v>
      </c>
      <c r="R1007" t="s">
        <v>3304</v>
      </c>
      <c r="S1007">
        <v>8.2525044033040007E-2</v>
      </c>
    </row>
    <row r="1008" spans="8:19">
      <c r="H1008" t="s">
        <v>1347</v>
      </c>
      <c r="I1008">
        <v>23</v>
      </c>
      <c r="J1008" t="s">
        <v>9</v>
      </c>
      <c r="K1008">
        <v>220</v>
      </c>
      <c r="L1008">
        <v>1.273E-3</v>
      </c>
      <c r="M1008">
        <v>3</v>
      </c>
      <c r="N1008">
        <v>32.915999999999997</v>
      </c>
      <c r="O1008" t="s">
        <v>6485</v>
      </c>
      <c r="P1008" t="s">
        <v>6586</v>
      </c>
      <c r="Q1008">
        <v>1.0325599999999999</v>
      </c>
      <c r="R1008" t="s">
        <v>3304</v>
      </c>
      <c r="S1008">
        <v>4.3266399334079997E-2</v>
      </c>
    </row>
    <row r="1009" spans="8:19">
      <c r="H1009" t="s">
        <v>1347</v>
      </c>
      <c r="I1009">
        <v>23</v>
      </c>
      <c r="J1009" t="s">
        <v>9</v>
      </c>
      <c r="K1009">
        <v>220</v>
      </c>
      <c r="L1009">
        <v>1.273E-3</v>
      </c>
      <c r="M1009">
        <v>4</v>
      </c>
      <c r="N1009">
        <v>32.179000000000002</v>
      </c>
      <c r="O1009" t="s">
        <v>6485</v>
      </c>
      <c r="P1009" t="s">
        <v>6586</v>
      </c>
      <c r="Q1009">
        <v>1.0325599999999999</v>
      </c>
      <c r="R1009" t="s">
        <v>3304</v>
      </c>
      <c r="S1009">
        <v>4.2297650509519988E-2</v>
      </c>
    </row>
    <row r="1010" spans="8:19">
      <c r="H1010" t="s">
        <v>1347</v>
      </c>
      <c r="I1010">
        <v>23</v>
      </c>
      <c r="J1010" t="s">
        <v>9</v>
      </c>
      <c r="K1010">
        <v>220</v>
      </c>
      <c r="L1010">
        <v>1.273E-3</v>
      </c>
      <c r="M1010">
        <v>5</v>
      </c>
      <c r="N1010">
        <v>54.389000000000003</v>
      </c>
      <c r="O1010" t="s">
        <v>6485</v>
      </c>
      <c r="P1010" t="s">
        <v>6586</v>
      </c>
      <c r="Q1010">
        <v>1.0325599999999999</v>
      </c>
      <c r="R1010" t="s">
        <v>3304</v>
      </c>
      <c r="S1010">
        <v>7.1491560134319995E-2</v>
      </c>
    </row>
    <row r="1011" spans="8:19">
      <c r="H1011" t="s">
        <v>1347</v>
      </c>
      <c r="I1011">
        <v>23</v>
      </c>
      <c r="J1011" t="s">
        <v>9</v>
      </c>
      <c r="K1011">
        <v>220</v>
      </c>
      <c r="L1011">
        <v>1.273E-3</v>
      </c>
      <c r="M1011">
        <v>6</v>
      </c>
      <c r="N1011">
        <v>88.427000000000007</v>
      </c>
      <c r="O1011" t="s">
        <v>6485</v>
      </c>
      <c r="P1011" t="s">
        <v>6586</v>
      </c>
      <c r="Q1011">
        <v>1.0325599999999999</v>
      </c>
      <c r="R1011" t="s">
        <v>3304</v>
      </c>
      <c r="S1011">
        <v>0.11623277111176</v>
      </c>
    </row>
    <row r="1012" spans="8:19">
      <c r="H1012" t="s">
        <v>1347</v>
      </c>
      <c r="I1012">
        <v>23</v>
      </c>
      <c r="J1012" t="s">
        <v>14</v>
      </c>
      <c r="K1012">
        <v>220</v>
      </c>
      <c r="L1012">
        <v>0.168714</v>
      </c>
      <c r="M1012">
        <v>1</v>
      </c>
      <c r="N1012">
        <v>56.027999999999999</v>
      </c>
      <c r="O1012" t="s">
        <v>6617</v>
      </c>
      <c r="P1012" t="s">
        <v>6586</v>
      </c>
      <c r="Q1012">
        <v>1.0325599999999999</v>
      </c>
      <c r="R1012" t="s">
        <v>3304</v>
      </c>
      <c r="S1012">
        <v>9.7604881642195203</v>
      </c>
    </row>
    <row r="1013" spans="8:19">
      <c r="H1013" t="s">
        <v>1347</v>
      </c>
      <c r="I1013">
        <v>23</v>
      </c>
      <c r="J1013" t="s">
        <v>14</v>
      </c>
      <c r="K1013">
        <v>220</v>
      </c>
      <c r="L1013">
        <v>0.168714</v>
      </c>
      <c r="M1013">
        <v>2</v>
      </c>
      <c r="N1013">
        <v>56.122999999999998</v>
      </c>
      <c r="O1013" t="s">
        <v>6617</v>
      </c>
      <c r="P1013" t="s">
        <v>6586</v>
      </c>
      <c r="Q1013">
        <v>1.0325599999999999</v>
      </c>
      <c r="R1013" t="s">
        <v>3304</v>
      </c>
      <c r="S1013">
        <v>9.7770378603643184</v>
      </c>
    </row>
    <row r="1014" spans="8:19">
      <c r="H1014" t="s">
        <v>1347</v>
      </c>
      <c r="I1014">
        <v>23</v>
      </c>
      <c r="J1014" t="s">
        <v>14</v>
      </c>
      <c r="K1014">
        <v>220</v>
      </c>
      <c r="L1014">
        <v>0.168714</v>
      </c>
      <c r="M1014">
        <v>3</v>
      </c>
      <c r="N1014">
        <v>39.145000000000003</v>
      </c>
      <c r="O1014" t="s">
        <v>6617</v>
      </c>
      <c r="P1014" t="s">
        <v>6586</v>
      </c>
      <c r="Q1014">
        <v>1.0325599999999999</v>
      </c>
      <c r="R1014" t="s">
        <v>3304</v>
      </c>
      <c r="S1014">
        <v>6.8193458482968001</v>
      </c>
    </row>
    <row r="1015" spans="8:19">
      <c r="H1015" t="s">
        <v>1347</v>
      </c>
      <c r="I1015">
        <v>23</v>
      </c>
      <c r="J1015" t="s">
        <v>14</v>
      </c>
      <c r="K1015">
        <v>220</v>
      </c>
      <c r="L1015">
        <v>0.168714</v>
      </c>
      <c r="M1015">
        <v>4</v>
      </c>
      <c r="N1015">
        <v>38.646999999999998</v>
      </c>
      <c r="O1015" t="s">
        <v>6617</v>
      </c>
      <c r="P1015" t="s">
        <v>6586</v>
      </c>
      <c r="Q1015">
        <v>1.0325599999999999</v>
      </c>
      <c r="R1015" t="s">
        <v>3304</v>
      </c>
      <c r="S1015">
        <v>6.7325905990324797</v>
      </c>
    </row>
    <row r="1016" spans="8:19">
      <c r="H1016" t="s">
        <v>1347</v>
      </c>
      <c r="I1016">
        <v>23</v>
      </c>
      <c r="J1016" t="s">
        <v>14</v>
      </c>
      <c r="K1016">
        <v>220</v>
      </c>
      <c r="L1016">
        <v>0.168714</v>
      </c>
      <c r="M1016">
        <v>5</v>
      </c>
      <c r="N1016">
        <v>49.831000000000003</v>
      </c>
      <c r="O1016" t="s">
        <v>6617</v>
      </c>
      <c r="P1016" t="s">
        <v>6586</v>
      </c>
      <c r="Q1016">
        <v>1.0325599999999999</v>
      </c>
      <c r="R1016" t="s">
        <v>3304</v>
      </c>
      <c r="S1016">
        <v>8.6809253535950415</v>
      </c>
    </row>
    <row r="1017" spans="8:19">
      <c r="H1017" t="s">
        <v>1347</v>
      </c>
      <c r="I1017">
        <v>23</v>
      </c>
      <c r="J1017" t="s">
        <v>14</v>
      </c>
      <c r="K1017">
        <v>220</v>
      </c>
      <c r="L1017">
        <v>0.168714</v>
      </c>
      <c r="M1017">
        <v>6</v>
      </c>
      <c r="N1017">
        <v>61.533000000000001</v>
      </c>
      <c r="O1017" t="s">
        <v>6617</v>
      </c>
      <c r="P1017" t="s">
        <v>6586</v>
      </c>
      <c r="Q1017">
        <v>1.0325599999999999</v>
      </c>
      <c r="R1017" t="s">
        <v>3304</v>
      </c>
      <c r="S1017">
        <v>10.719499503978721</v>
      </c>
    </row>
    <row r="1018" spans="8:19">
      <c r="H1018" t="s">
        <v>1347</v>
      </c>
      <c r="I1018">
        <v>23</v>
      </c>
      <c r="J1018" t="s">
        <v>14</v>
      </c>
      <c r="K1018">
        <v>220</v>
      </c>
      <c r="L1018">
        <v>0.168714</v>
      </c>
      <c r="M1018">
        <v>1</v>
      </c>
      <c r="N1018">
        <v>70.548000000000002</v>
      </c>
      <c r="O1018" t="s">
        <v>6485</v>
      </c>
      <c r="P1018" t="s">
        <v>6586</v>
      </c>
      <c r="Q1018">
        <v>1.0325599999999999</v>
      </c>
      <c r="R1018" t="s">
        <v>3304</v>
      </c>
      <c r="S1018">
        <v>12.28997856445632</v>
      </c>
    </row>
    <row r="1019" spans="8:19">
      <c r="H1019" t="s">
        <v>1347</v>
      </c>
      <c r="I1019">
        <v>23</v>
      </c>
      <c r="J1019" t="s">
        <v>14</v>
      </c>
      <c r="K1019">
        <v>220</v>
      </c>
      <c r="L1019">
        <v>0.168714</v>
      </c>
      <c r="M1019">
        <v>2</v>
      </c>
      <c r="N1019">
        <v>63.55</v>
      </c>
      <c r="O1019" t="s">
        <v>6485</v>
      </c>
      <c r="P1019" t="s">
        <v>6586</v>
      </c>
      <c r="Q1019">
        <v>1.0325599999999999</v>
      </c>
      <c r="R1019" t="s">
        <v>3304</v>
      </c>
      <c r="S1019">
        <v>11.070875684232</v>
      </c>
    </row>
    <row r="1020" spans="8:19">
      <c r="H1020" t="s">
        <v>1347</v>
      </c>
      <c r="I1020">
        <v>23</v>
      </c>
      <c r="J1020" t="s">
        <v>14</v>
      </c>
      <c r="K1020">
        <v>220</v>
      </c>
      <c r="L1020">
        <v>0.168714</v>
      </c>
      <c r="M1020">
        <v>3</v>
      </c>
      <c r="N1020">
        <v>32.978000000000002</v>
      </c>
      <c r="O1020" t="s">
        <v>6485</v>
      </c>
      <c r="P1020" t="s">
        <v>6586</v>
      </c>
      <c r="Q1020">
        <v>1.0325599999999999</v>
      </c>
      <c r="R1020" t="s">
        <v>3304</v>
      </c>
      <c r="S1020">
        <v>5.7450092575075198</v>
      </c>
    </row>
    <row r="1021" spans="8:19">
      <c r="H1021" t="s">
        <v>1347</v>
      </c>
      <c r="I1021">
        <v>23</v>
      </c>
      <c r="J1021" t="s">
        <v>14</v>
      </c>
      <c r="K1021">
        <v>220</v>
      </c>
      <c r="L1021">
        <v>0.168714</v>
      </c>
      <c r="M1021">
        <v>4</v>
      </c>
      <c r="N1021">
        <v>31.867000000000001</v>
      </c>
      <c r="O1021" t="s">
        <v>6485</v>
      </c>
      <c r="P1021" t="s">
        <v>6586</v>
      </c>
      <c r="Q1021">
        <v>1.0325599999999999</v>
      </c>
      <c r="R1021" t="s">
        <v>3304</v>
      </c>
      <c r="S1021">
        <v>5.55146491627728</v>
      </c>
    </row>
    <row r="1022" spans="8:19">
      <c r="H1022" t="s">
        <v>1347</v>
      </c>
      <c r="I1022">
        <v>23</v>
      </c>
      <c r="J1022" t="s">
        <v>14</v>
      </c>
      <c r="K1022">
        <v>220</v>
      </c>
      <c r="L1022">
        <v>0.168714</v>
      </c>
      <c r="M1022">
        <v>5</v>
      </c>
      <c r="N1022">
        <v>51.658000000000001</v>
      </c>
      <c r="O1022" t="s">
        <v>6485</v>
      </c>
      <c r="P1022" t="s">
        <v>6586</v>
      </c>
      <c r="Q1022">
        <v>1.0325599999999999</v>
      </c>
      <c r="R1022" t="s">
        <v>3304</v>
      </c>
      <c r="S1022">
        <v>8.9992021415587189</v>
      </c>
    </row>
    <row r="1023" spans="8:19">
      <c r="H1023" t="s">
        <v>1347</v>
      </c>
      <c r="I1023">
        <v>23</v>
      </c>
      <c r="J1023" t="s">
        <v>14</v>
      </c>
      <c r="K1023">
        <v>220</v>
      </c>
      <c r="L1023">
        <v>0.168714</v>
      </c>
      <c r="M1023">
        <v>6</v>
      </c>
      <c r="N1023">
        <v>88.040999999999997</v>
      </c>
      <c r="O1023" t="s">
        <v>6485</v>
      </c>
      <c r="P1023" t="s">
        <v>6586</v>
      </c>
      <c r="Q1023">
        <v>1.0325599999999999</v>
      </c>
      <c r="R1023" t="s">
        <v>3304</v>
      </c>
      <c r="S1023">
        <v>15.337387350361441</v>
      </c>
    </row>
    <row r="1024" spans="8:19">
      <c r="H1024" t="s">
        <v>1347</v>
      </c>
      <c r="I1024">
        <v>23</v>
      </c>
      <c r="J1024" t="s">
        <v>248</v>
      </c>
      <c r="K1024">
        <v>220</v>
      </c>
      <c r="L1024">
        <v>2.0049999999999998E-3</v>
      </c>
      <c r="M1024">
        <v>1</v>
      </c>
      <c r="N1024">
        <v>54.328000000000003</v>
      </c>
      <c r="O1024" t="s">
        <v>6617</v>
      </c>
      <c r="P1024" t="s">
        <v>6586</v>
      </c>
      <c r="Q1024">
        <v>1.0325599999999999</v>
      </c>
      <c r="R1024" t="s">
        <v>3304</v>
      </c>
      <c r="S1024">
        <v>0.1124743239584</v>
      </c>
    </row>
    <row r="1025" spans="8:19">
      <c r="H1025" t="s">
        <v>1347</v>
      </c>
      <c r="I1025">
        <v>23</v>
      </c>
      <c r="J1025" t="s">
        <v>248</v>
      </c>
      <c r="K1025">
        <v>220</v>
      </c>
      <c r="L1025">
        <v>2.0049999999999998E-3</v>
      </c>
      <c r="M1025">
        <v>2</v>
      </c>
      <c r="N1025">
        <v>54.436999999999998</v>
      </c>
      <c r="O1025" t="s">
        <v>6617</v>
      </c>
      <c r="P1025" t="s">
        <v>6586</v>
      </c>
      <c r="Q1025">
        <v>1.0325599999999999</v>
      </c>
      <c r="R1025" t="s">
        <v>3304</v>
      </c>
      <c r="S1025">
        <v>0.11269998478359999</v>
      </c>
    </row>
    <row r="1026" spans="8:19">
      <c r="H1026" t="s">
        <v>1347</v>
      </c>
      <c r="I1026">
        <v>23</v>
      </c>
      <c r="J1026" t="s">
        <v>248</v>
      </c>
      <c r="K1026">
        <v>220</v>
      </c>
      <c r="L1026">
        <v>2.0049999999999998E-3</v>
      </c>
      <c r="M1026">
        <v>3</v>
      </c>
      <c r="N1026">
        <v>39.161000000000001</v>
      </c>
      <c r="O1026" t="s">
        <v>6617</v>
      </c>
      <c r="P1026" t="s">
        <v>6586</v>
      </c>
      <c r="Q1026">
        <v>1.0325599999999999</v>
      </c>
      <c r="R1026" t="s">
        <v>3304</v>
      </c>
      <c r="S1026">
        <v>8.1074344730799996E-2</v>
      </c>
    </row>
    <row r="1027" spans="8:19">
      <c r="H1027" t="s">
        <v>1347</v>
      </c>
      <c r="I1027">
        <v>23</v>
      </c>
      <c r="J1027" t="s">
        <v>248</v>
      </c>
      <c r="K1027">
        <v>220</v>
      </c>
      <c r="L1027">
        <v>2.0049999999999998E-3</v>
      </c>
      <c r="M1027">
        <v>4</v>
      </c>
      <c r="N1027">
        <v>38.674999999999997</v>
      </c>
      <c r="O1027" t="s">
        <v>6617</v>
      </c>
      <c r="P1027" t="s">
        <v>6586</v>
      </c>
      <c r="Q1027">
        <v>1.0325599999999999</v>
      </c>
      <c r="R1027" t="s">
        <v>3304</v>
      </c>
      <c r="S1027">
        <v>8.0068187289999981E-2</v>
      </c>
    </row>
    <row r="1028" spans="8:19">
      <c r="H1028" t="s">
        <v>1347</v>
      </c>
      <c r="I1028">
        <v>23</v>
      </c>
      <c r="J1028" t="s">
        <v>248</v>
      </c>
      <c r="K1028">
        <v>220</v>
      </c>
      <c r="L1028">
        <v>2.0049999999999998E-3</v>
      </c>
      <c r="M1028">
        <v>5</v>
      </c>
      <c r="N1028">
        <v>49.055</v>
      </c>
      <c r="O1028" t="s">
        <v>6617</v>
      </c>
      <c r="P1028" t="s">
        <v>6586</v>
      </c>
      <c r="Q1028">
        <v>1.0325599999999999</v>
      </c>
      <c r="R1028" t="s">
        <v>3304</v>
      </c>
      <c r="S1028">
        <v>0.101557722754</v>
      </c>
    </row>
    <row r="1029" spans="8:19">
      <c r="H1029" t="s">
        <v>1347</v>
      </c>
      <c r="I1029">
        <v>23</v>
      </c>
      <c r="J1029" t="s">
        <v>248</v>
      </c>
      <c r="K1029">
        <v>220</v>
      </c>
      <c r="L1029">
        <v>2.0049999999999998E-3</v>
      </c>
      <c r="M1029">
        <v>6</v>
      </c>
      <c r="N1029">
        <v>58.87</v>
      </c>
      <c r="O1029" t="s">
        <v>6617</v>
      </c>
      <c r="P1029" t="s">
        <v>6586</v>
      </c>
      <c r="Q1029">
        <v>1.0325599999999999</v>
      </c>
      <c r="R1029" t="s">
        <v>3304</v>
      </c>
      <c r="S1029">
        <v>0.121877548436</v>
      </c>
    </row>
    <row r="1030" spans="8:19">
      <c r="H1030" t="s">
        <v>1347</v>
      </c>
      <c r="I1030">
        <v>23</v>
      </c>
      <c r="J1030" t="s">
        <v>248</v>
      </c>
      <c r="K1030">
        <v>220</v>
      </c>
      <c r="L1030">
        <v>2.0049999999999998E-3</v>
      </c>
      <c r="M1030">
        <v>1</v>
      </c>
      <c r="N1030">
        <v>65.05</v>
      </c>
      <c r="O1030" t="s">
        <v>6485</v>
      </c>
      <c r="P1030" t="s">
        <v>6586</v>
      </c>
      <c r="Q1030">
        <v>1.0325599999999999</v>
      </c>
      <c r="R1030" t="s">
        <v>3304</v>
      </c>
      <c r="S1030">
        <v>0.13467189614</v>
      </c>
    </row>
    <row r="1031" spans="8:19">
      <c r="H1031" t="s">
        <v>1347</v>
      </c>
      <c r="I1031">
        <v>23</v>
      </c>
      <c r="J1031" t="s">
        <v>248</v>
      </c>
      <c r="K1031">
        <v>220</v>
      </c>
      <c r="L1031">
        <v>2.0049999999999998E-3</v>
      </c>
      <c r="M1031">
        <v>2</v>
      </c>
      <c r="N1031">
        <v>60.055999999999997</v>
      </c>
      <c r="O1031" t="s">
        <v>6485</v>
      </c>
      <c r="P1031" t="s">
        <v>6586</v>
      </c>
      <c r="Q1031">
        <v>1.0325599999999999</v>
      </c>
      <c r="R1031" t="s">
        <v>3304</v>
      </c>
      <c r="S1031">
        <v>0.1243329038368</v>
      </c>
    </row>
    <row r="1032" spans="8:19">
      <c r="H1032" t="s">
        <v>1347</v>
      </c>
      <c r="I1032">
        <v>23</v>
      </c>
      <c r="J1032" t="s">
        <v>248</v>
      </c>
      <c r="K1032">
        <v>220</v>
      </c>
      <c r="L1032">
        <v>2.0049999999999998E-3</v>
      </c>
      <c r="M1032">
        <v>3</v>
      </c>
      <c r="N1032">
        <v>33.075000000000003</v>
      </c>
      <c r="O1032" t="s">
        <v>6485</v>
      </c>
      <c r="P1032" t="s">
        <v>6586</v>
      </c>
      <c r="Q1032">
        <v>1.0325599999999999</v>
      </c>
      <c r="R1032" t="s">
        <v>3304</v>
      </c>
      <c r="S1032">
        <v>6.847460360999999E-2</v>
      </c>
    </row>
    <row r="1033" spans="8:19">
      <c r="H1033" t="s">
        <v>1347</v>
      </c>
      <c r="I1033">
        <v>23</v>
      </c>
      <c r="J1033" t="s">
        <v>248</v>
      </c>
      <c r="K1033">
        <v>220</v>
      </c>
      <c r="L1033">
        <v>2.0049999999999998E-3</v>
      </c>
      <c r="M1033">
        <v>4</v>
      </c>
      <c r="N1033">
        <v>32.075000000000003</v>
      </c>
      <c r="O1033" t="s">
        <v>6485</v>
      </c>
      <c r="P1033" t="s">
        <v>6586</v>
      </c>
      <c r="Q1033">
        <v>1.0325599999999999</v>
      </c>
      <c r="R1033" t="s">
        <v>3304</v>
      </c>
      <c r="S1033">
        <v>6.640432081E-2</v>
      </c>
    </row>
    <row r="1034" spans="8:19">
      <c r="H1034" t="s">
        <v>1347</v>
      </c>
      <c r="I1034">
        <v>23</v>
      </c>
      <c r="J1034" t="s">
        <v>248</v>
      </c>
      <c r="K1034">
        <v>220</v>
      </c>
      <c r="L1034">
        <v>2.0049999999999998E-3</v>
      </c>
      <c r="M1034">
        <v>5</v>
      </c>
      <c r="N1034">
        <v>50.77</v>
      </c>
      <c r="O1034" t="s">
        <v>6485</v>
      </c>
      <c r="P1034" t="s">
        <v>6586</v>
      </c>
      <c r="Q1034">
        <v>1.0325599999999999</v>
      </c>
      <c r="R1034" t="s">
        <v>3304</v>
      </c>
      <c r="S1034">
        <v>0.105108257756</v>
      </c>
    </row>
    <row r="1035" spans="8:19">
      <c r="H1035" t="s">
        <v>1347</v>
      </c>
      <c r="I1035">
        <v>23</v>
      </c>
      <c r="J1035" t="s">
        <v>248</v>
      </c>
      <c r="K1035">
        <v>220</v>
      </c>
      <c r="L1035">
        <v>2.0049999999999998E-3</v>
      </c>
      <c r="M1035">
        <v>6</v>
      </c>
      <c r="N1035">
        <v>78.662999999999997</v>
      </c>
      <c r="O1035" t="s">
        <v>6485</v>
      </c>
      <c r="P1035" t="s">
        <v>6586</v>
      </c>
      <c r="Q1035">
        <v>1.0325599999999999</v>
      </c>
      <c r="R1035" t="s">
        <v>3304</v>
      </c>
      <c r="S1035">
        <v>0.1628546558964</v>
      </c>
    </row>
    <row r="1036" spans="8:19">
      <c r="H1036" t="s">
        <v>1347</v>
      </c>
      <c r="I1036">
        <v>23</v>
      </c>
      <c r="J1036" t="s">
        <v>548</v>
      </c>
      <c r="K1036">
        <v>220</v>
      </c>
      <c r="L1036">
        <v>6.3480000000000003E-3</v>
      </c>
      <c r="M1036">
        <v>1</v>
      </c>
      <c r="N1036">
        <v>55.128</v>
      </c>
      <c r="O1036" t="s">
        <v>6617</v>
      </c>
      <c r="P1036" t="s">
        <v>6586</v>
      </c>
      <c r="Q1036">
        <v>1.0325599999999999</v>
      </c>
      <c r="R1036" t="s">
        <v>3304</v>
      </c>
      <c r="S1036">
        <v>0.36134699883263999</v>
      </c>
    </row>
    <row r="1037" spans="8:19">
      <c r="H1037" t="s">
        <v>1347</v>
      </c>
      <c r="I1037">
        <v>23</v>
      </c>
      <c r="J1037" t="s">
        <v>548</v>
      </c>
      <c r="K1037">
        <v>220</v>
      </c>
      <c r="L1037">
        <v>6.3480000000000003E-3</v>
      </c>
      <c r="M1037">
        <v>2</v>
      </c>
      <c r="N1037">
        <v>55.256999999999998</v>
      </c>
      <c r="O1037" t="s">
        <v>6617</v>
      </c>
      <c r="P1037" t="s">
        <v>6586</v>
      </c>
      <c r="Q1037">
        <v>1.0325599999999999</v>
      </c>
      <c r="R1037" t="s">
        <v>3304</v>
      </c>
      <c r="S1037">
        <v>0.36219255395616001</v>
      </c>
    </row>
    <row r="1038" spans="8:19">
      <c r="H1038" t="s">
        <v>1347</v>
      </c>
      <c r="I1038">
        <v>23</v>
      </c>
      <c r="J1038" t="s">
        <v>548</v>
      </c>
      <c r="K1038">
        <v>220</v>
      </c>
      <c r="L1038">
        <v>6.3480000000000003E-3</v>
      </c>
      <c r="M1038">
        <v>3</v>
      </c>
      <c r="N1038">
        <v>39.152000000000001</v>
      </c>
      <c r="O1038" t="s">
        <v>6617</v>
      </c>
      <c r="P1038" t="s">
        <v>6586</v>
      </c>
      <c r="Q1038">
        <v>1.0325599999999999</v>
      </c>
      <c r="R1038" t="s">
        <v>3304</v>
      </c>
      <c r="S1038">
        <v>0.25662925733376002</v>
      </c>
    </row>
    <row r="1039" spans="8:19">
      <c r="H1039" t="s">
        <v>1347</v>
      </c>
      <c r="I1039">
        <v>23</v>
      </c>
      <c r="J1039" t="s">
        <v>548</v>
      </c>
      <c r="K1039">
        <v>220</v>
      </c>
      <c r="L1039">
        <v>6.3480000000000003E-3</v>
      </c>
      <c r="M1039">
        <v>4</v>
      </c>
      <c r="N1039">
        <v>38.615000000000002</v>
      </c>
      <c r="O1039" t="s">
        <v>6617</v>
      </c>
      <c r="P1039" t="s">
        <v>6586</v>
      </c>
      <c r="Q1039">
        <v>1.0325599999999999</v>
      </c>
      <c r="R1039" t="s">
        <v>3304</v>
      </c>
      <c r="S1039">
        <v>0.2531093883312</v>
      </c>
    </row>
    <row r="1040" spans="8:19">
      <c r="H1040" t="s">
        <v>1347</v>
      </c>
      <c r="I1040">
        <v>23</v>
      </c>
      <c r="J1040" t="s">
        <v>548</v>
      </c>
      <c r="K1040">
        <v>220</v>
      </c>
      <c r="L1040">
        <v>6.3480000000000003E-3</v>
      </c>
      <c r="M1040">
        <v>5</v>
      </c>
      <c r="N1040">
        <v>46.902000000000001</v>
      </c>
      <c r="O1040" t="s">
        <v>6617</v>
      </c>
      <c r="P1040" t="s">
        <v>6586</v>
      </c>
      <c r="Q1040">
        <v>1.0325599999999999</v>
      </c>
      <c r="R1040" t="s">
        <v>3304</v>
      </c>
      <c r="S1040">
        <v>0.30742811165375999</v>
      </c>
    </row>
    <row r="1041" spans="8:19">
      <c r="H1041" t="s">
        <v>1347</v>
      </c>
      <c r="I1041">
        <v>23</v>
      </c>
      <c r="J1041" t="s">
        <v>548</v>
      </c>
      <c r="K1041">
        <v>220</v>
      </c>
      <c r="L1041">
        <v>6.3480000000000003E-3</v>
      </c>
      <c r="M1041">
        <v>6</v>
      </c>
      <c r="N1041">
        <v>58.256</v>
      </c>
      <c r="O1041" t="s">
        <v>6617</v>
      </c>
      <c r="P1041" t="s">
        <v>6586</v>
      </c>
      <c r="Q1041">
        <v>1.0325599999999999</v>
      </c>
      <c r="R1041" t="s">
        <v>3304</v>
      </c>
      <c r="S1041">
        <v>0.38185007190527998</v>
      </c>
    </row>
    <row r="1042" spans="8:19">
      <c r="H1042" t="s">
        <v>1347</v>
      </c>
      <c r="I1042">
        <v>23</v>
      </c>
      <c r="J1042" t="s">
        <v>548</v>
      </c>
      <c r="K1042">
        <v>220</v>
      </c>
      <c r="L1042">
        <v>6.3480000000000003E-3</v>
      </c>
      <c r="M1042">
        <v>1</v>
      </c>
      <c r="N1042">
        <v>66.899000000000001</v>
      </c>
      <c r="O1042" t="s">
        <v>6485</v>
      </c>
      <c r="P1042" t="s">
        <v>6586</v>
      </c>
      <c r="Q1042">
        <v>1.0325599999999999</v>
      </c>
      <c r="R1042" t="s">
        <v>3304</v>
      </c>
      <c r="S1042">
        <v>0.43850226518112001</v>
      </c>
    </row>
    <row r="1043" spans="8:19">
      <c r="H1043" t="s">
        <v>1347</v>
      </c>
      <c r="I1043">
        <v>23</v>
      </c>
      <c r="J1043" t="s">
        <v>548</v>
      </c>
      <c r="K1043">
        <v>220</v>
      </c>
      <c r="L1043">
        <v>6.3480000000000003E-3</v>
      </c>
      <c r="M1043">
        <v>2</v>
      </c>
      <c r="N1043">
        <v>61.454000000000001</v>
      </c>
      <c r="O1043" t="s">
        <v>6485</v>
      </c>
      <c r="P1043" t="s">
        <v>6586</v>
      </c>
      <c r="Q1043">
        <v>1.0325599999999999</v>
      </c>
      <c r="R1043" t="s">
        <v>3304</v>
      </c>
      <c r="S1043">
        <v>0.40281197333952001</v>
      </c>
    </row>
    <row r="1044" spans="8:19">
      <c r="H1044" t="s">
        <v>1347</v>
      </c>
      <c r="I1044">
        <v>23</v>
      </c>
      <c r="J1044" t="s">
        <v>548</v>
      </c>
      <c r="K1044">
        <v>220</v>
      </c>
      <c r="L1044">
        <v>6.3480000000000003E-3</v>
      </c>
      <c r="M1044">
        <v>3</v>
      </c>
      <c r="N1044">
        <v>32.872</v>
      </c>
      <c r="O1044" t="s">
        <v>6485</v>
      </c>
      <c r="P1044" t="s">
        <v>6586</v>
      </c>
      <c r="Q1044">
        <v>1.0325599999999999</v>
      </c>
      <c r="R1044" t="s">
        <v>3304</v>
      </c>
      <c r="S1044">
        <v>0.21546579860736001</v>
      </c>
    </row>
    <row r="1045" spans="8:19">
      <c r="H1045" t="s">
        <v>1347</v>
      </c>
      <c r="I1045">
        <v>23</v>
      </c>
      <c r="J1045" t="s">
        <v>548</v>
      </c>
      <c r="K1045">
        <v>220</v>
      </c>
      <c r="L1045">
        <v>6.3480000000000003E-3</v>
      </c>
      <c r="M1045">
        <v>4</v>
      </c>
      <c r="N1045">
        <v>31.65</v>
      </c>
      <c r="O1045" t="s">
        <v>6485</v>
      </c>
      <c r="P1045" t="s">
        <v>6586</v>
      </c>
      <c r="Q1045">
        <v>1.0325599999999999</v>
      </c>
      <c r="R1045" t="s">
        <v>3304</v>
      </c>
      <c r="S1045">
        <v>0.207455966352</v>
      </c>
    </row>
    <row r="1046" spans="8:19">
      <c r="H1046" t="s">
        <v>1347</v>
      </c>
      <c r="I1046">
        <v>23</v>
      </c>
      <c r="J1046" t="s">
        <v>548</v>
      </c>
      <c r="K1046">
        <v>220</v>
      </c>
      <c r="L1046">
        <v>6.3480000000000003E-3</v>
      </c>
      <c r="M1046">
        <v>5</v>
      </c>
      <c r="N1046">
        <v>46.981999999999999</v>
      </c>
      <c r="O1046" t="s">
        <v>6485</v>
      </c>
      <c r="P1046" t="s">
        <v>6586</v>
      </c>
      <c r="Q1046">
        <v>1.0325599999999999</v>
      </c>
      <c r="R1046" t="s">
        <v>3304</v>
      </c>
      <c r="S1046">
        <v>0.30795248692416</v>
      </c>
    </row>
    <row r="1047" spans="8:19">
      <c r="H1047" t="s">
        <v>1347</v>
      </c>
      <c r="I1047">
        <v>23</v>
      </c>
      <c r="J1047" t="s">
        <v>548</v>
      </c>
      <c r="K1047">
        <v>220</v>
      </c>
      <c r="L1047">
        <v>6.3480000000000003E-3</v>
      </c>
      <c r="M1047">
        <v>6</v>
      </c>
      <c r="N1047">
        <v>79.751999999999995</v>
      </c>
      <c r="O1047" t="s">
        <v>6485</v>
      </c>
      <c r="P1047" t="s">
        <v>6586</v>
      </c>
      <c r="Q1047">
        <v>1.0325599999999999</v>
      </c>
      <c r="R1047" t="s">
        <v>3304</v>
      </c>
      <c r="S1047">
        <v>0.52274970706176005</v>
      </c>
    </row>
    <row r="1048" spans="8:19">
      <c r="H1048" t="s">
        <v>1347</v>
      </c>
      <c r="I1048">
        <v>23</v>
      </c>
      <c r="J1048" t="s">
        <v>1197</v>
      </c>
      <c r="K1048">
        <v>220</v>
      </c>
      <c r="L1048">
        <v>0.82165999999999995</v>
      </c>
      <c r="M1048">
        <v>1</v>
      </c>
      <c r="N1048">
        <v>55.825000000000003</v>
      </c>
      <c r="O1048" t="s">
        <v>6617</v>
      </c>
      <c r="P1048" t="s">
        <v>6586</v>
      </c>
      <c r="Q1048">
        <v>1.0325599999999999</v>
      </c>
      <c r="R1048" t="s">
        <v>3304</v>
      </c>
      <c r="S1048">
        <v>47.362669658919998</v>
      </c>
    </row>
    <row r="1049" spans="8:19">
      <c r="H1049" t="s">
        <v>1347</v>
      </c>
      <c r="I1049">
        <v>23</v>
      </c>
      <c r="J1049" t="s">
        <v>1197</v>
      </c>
      <c r="K1049">
        <v>220</v>
      </c>
      <c r="L1049">
        <v>0.82165999999999995</v>
      </c>
      <c r="M1049">
        <v>2</v>
      </c>
      <c r="N1049">
        <v>56.061999999999998</v>
      </c>
      <c r="O1049" t="s">
        <v>6617</v>
      </c>
      <c r="P1049" t="s">
        <v>6586</v>
      </c>
      <c r="Q1049">
        <v>1.0325599999999999</v>
      </c>
      <c r="R1049" t="s">
        <v>3304</v>
      </c>
      <c r="S1049">
        <v>47.563743599075202</v>
      </c>
    </row>
    <row r="1050" spans="8:19">
      <c r="H1050" t="s">
        <v>1347</v>
      </c>
      <c r="I1050">
        <v>23</v>
      </c>
      <c r="J1050" t="s">
        <v>1197</v>
      </c>
      <c r="K1050">
        <v>220</v>
      </c>
      <c r="L1050">
        <v>0.82165999999999995</v>
      </c>
      <c r="M1050">
        <v>3</v>
      </c>
      <c r="N1050">
        <v>39.136000000000003</v>
      </c>
      <c r="O1050" t="s">
        <v>6617</v>
      </c>
      <c r="P1050" t="s">
        <v>6586</v>
      </c>
      <c r="Q1050">
        <v>1.0325599999999999</v>
      </c>
      <c r="R1050" t="s">
        <v>3304</v>
      </c>
      <c r="S1050">
        <v>33.203500936345598</v>
      </c>
    </row>
    <row r="1051" spans="8:19">
      <c r="H1051" t="s">
        <v>1347</v>
      </c>
      <c r="I1051">
        <v>23</v>
      </c>
      <c r="J1051" t="s">
        <v>1197</v>
      </c>
      <c r="K1051">
        <v>220</v>
      </c>
      <c r="L1051">
        <v>0.82165999999999995</v>
      </c>
      <c r="M1051">
        <v>4</v>
      </c>
      <c r="N1051">
        <v>38.625</v>
      </c>
      <c r="O1051" t="s">
        <v>6617</v>
      </c>
      <c r="P1051" t="s">
        <v>6586</v>
      </c>
      <c r="Q1051">
        <v>1.0325599999999999</v>
      </c>
      <c r="R1051" t="s">
        <v>3304</v>
      </c>
      <c r="S1051">
        <v>32.769961765799998</v>
      </c>
    </row>
    <row r="1052" spans="8:19">
      <c r="H1052" t="s">
        <v>1347</v>
      </c>
      <c r="I1052">
        <v>23</v>
      </c>
      <c r="J1052" t="s">
        <v>1197</v>
      </c>
      <c r="K1052">
        <v>220</v>
      </c>
      <c r="L1052">
        <v>0.82165999999999995</v>
      </c>
      <c r="M1052">
        <v>5</v>
      </c>
      <c r="N1052">
        <v>49.764000000000003</v>
      </c>
      <c r="O1052" t="s">
        <v>6617</v>
      </c>
      <c r="P1052" t="s">
        <v>6586</v>
      </c>
      <c r="Q1052">
        <v>1.0325599999999999</v>
      </c>
      <c r="R1052" t="s">
        <v>3304</v>
      </c>
      <c r="S1052">
        <v>42.220436953094399</v>
      </c>
    </row>
    <row r="1053" spans="8:19">
      <c r="H1053" t="s">
        <v>1347</v>
      </c>
      <c r="I1053">
        <v>23</v>
      </c>
      <c r="J1053" t="s">
        <v>1197</v>
      </c>
      <c r="K1053">
        <v>220</v>
      </c>
      <c r="L1053">
        <v>0.82165999999999995</v>
      </c>
      <c r="M1053">
        <v>6</v>
      </c>
      <c r="N1053">
        <v>61.481999999999999</v>
      </c>
      <c r="O1053" t="s">
        <v>6617</v>
      </c>
      <c r="P1053" t="s">
        <v>6586</v>
      </c>
      <c r="Q1053">
        <v>1.0325599999999999</v>
      </c>
      <c r="R1053" t="s">
        <v>3304</v>
      </c>
      <c r="S1053">
        <v>52.162143411907188</v>
      </c>
    </row>
    <row r="1054" spans="8:19">
      <c r="H1054" t="s">
        <v>1347</v>
      </c>
      <c r="I1054">
        <v>23</v>
      </c>
      <c r="J1054" t="s">
        <v>1197</v>
      </c>
      <c r="K1054">
        <v>220</v>
      </c>
      <c r="L1054">
        <v>0.82165999999999995</v>
      </c>
      <c r="M1054">
        <v>1</v>
      </c>
      <c r="N1054">
        <v>70.069000000000003</v>
      </c>
      <c r="O1054" t="s">
        <v>6485</v>
      </c>
      <c r="P1054" t="s">
        <v>6586</v>
      </c>
      <c r="Q1054">
        <v>1.0325599999999999</v>
      </c>
      <c r="R1054" t="s">
        <v>3304</v>
      </c>
      <c r="S1054">
        <v>59.447467986222392</v>
      </c>
    </row>
    <row r="1055" spans="8:19">
      <c r="H1055" t="s">
        <v>1347</v>
      </c>
      <c r="I1055">
        <v>23</v>
      </c>
      <c r="J1055" t="s">
        <v>1197</v>
      </c>
      <c r="K1055">
        <v>220</v>
      </c>
      <c r="L1055">
        <v>0.82165999999999995</v>
      </c>
      <c r="M1055">
        <v>2</v>
      </c>
      <c r="N1055">
        <v>63.207000000000001</v>
      </c>
      <c r="O1055" t="s">
        <v>6485</v>
      </c>
      <c r="P1055" t="s">
        <v>6586</v>
      </c>
      <c r="Q1055">
        <v>1.0325599999999999</v>
      </c>
      <c r="R1055" t="s">
        <v>3304</v>
      </c>
      <c r="S1055">
        <v>53.625656267467193</v>
      </c>
    </row>
    <row r="1056" spans="8:19">
      <c r="H1056" t="s">
        <v>1347</v>
      </c>
      <c r="I1056">
        <v>23</v>
      </c>
      <c r="J1056" t="s">
        <v>1197</v>
      </c>
      <c r="K1056">
        <v>220</v>
      </c>
      <c r="L1056">
        <v>0.82165999999999995</v>
      </c>
      <c r="M1056">
        <v>3</v>
      </c>
      <c r="N1056">
        <v>32.453000000000003</v>
      </c>
      <c r="O1056" t="s">
        <v>6485</v>
      </c>
      <c r="P1056" t="s">
        <v>6586</v>
      </c>
      <c r="Q1056">
        <v>1.0325599999999999</v>
      </c>
      <c r="R1056" t="s">
        <v>3304</v>
      </c>
      <c r="S1056">
        <v>27.5335551892688</v>
      </c>
    </row>
    <row r="1057" spans="8:19">
      <c r="H1057" t="s">
        <v>1347</v>
      </c>
      <c r="I1057">
        <v>23</v>
      </c>
      <c r="J1057" t="s">
        <v>1197</v>
      </c>
      <c r="K1057">
        <v>220</v>
      </c>
      <c r="L1057">
        <v>0.82165999999999995</v>
      </c>
      <c r="M1057">
        <v>4</v>
      </c>
      <c r="N1057">
        <v>30.672000000000001</v>
      </c>
      <c r="O1057" t="s">
        <v>6485</v>
      </c>
      <c r="P1057" t="s">
        <v>6586</v>
      </c>
      <c r="Q1057">
        <v>1.0325599999999999</v>
      </c>
      <c r="R1057" t="s">
        <v>3304</v>
      </c>
      <c r="S1057">
        <v>26.022531191731201</v>
      </c>
    </row>
    <row r="1058" spans="8:19">
      <c r="H1058" t="s">
        <v>1347</v>
      </c>
      <c r="I1058">
        <v>23</v>
      </c>
      <c r="J1058" t="s">
        <v>1197</v>
      </c>
      <c r="K1058">
        <v>220</v>
      </c>
      <c r="L1058">
        <v>0.82165999999999995</v>
      </c>
      <c r="M1058">
        <v>5</v>
      </c>
      <c r="N1058">
        <v>51.459000000000003</v>
      </c>
      <c r="O1058" t="s">
        <v>6485</v>
      </c>
      <c r="P1058" t="s">
        <v>6586</v>
      </c>
      <c r="Q1058">
        <v>1.0325599999999999</v>
      </c>
      <c r="R1058" t="s">
        <v>3304</v>
      </c>
      <c r="S1058">
        <v>43.658497411166401</v>
      </c>
    </row>
    <row r="1059" spans="8:19">
      <c r="H1059" t="s">
        <v>1347</v>
      </c>
      <c r="I1059">
        <v>23</v>
      </c>
      <c r="J1059" t="s">
        <v>1197</v>
      </c>
      <c r="K1059">
        <v>220</v>
      </c>
      <c r="L1059">
        <v>0.82165999999999995</v>
      </c>
      <c r="M1059">
        <v>6</v>
      </c>
      <c r="N1059">
        <v>87.926000000000002</v>
      </c>
      <c r="O1059" t="s">
        <v>6485</v>
      </c>
      <c r="P1059" t="s">
        <v>6586</v>
      </c>
      <c r="Q1059">
        <v>1.0325599999999999</v>
      </c>
      <c r="R1059" t="s">
        <v>3304</v>
      </c>
      <c r="S1059">
        <v>74.597583384329596</v>
      </c>
    </row>
    <row r="1060" spans="8:19">
      <c r="H1060" t="s">
        <v>1373</v>
      </c>
      <c r="I1060">
        <v>13</v>
      </c>
      <c r="J1060" t="s">
        <v>9</v>
      </c>
      <c r="K1060">
        <v>220</v>
      </c>
      <c r="L1060">
        <v>0.36537999999999998</v>
      </c>
      <c r="M1060">
        <v>1</v>
      </c>
      <c r="N1060">
        <v>55.936</v>
      </c>
      <c r="O1060" t="s">
        <v>6617</v>
      </c>
      <c r="P1060" t="s">
        <v>6586</v>
      </c>
      <c r="Q1060">
        <v>1.0325599999999999</v>
      </c>
      <c r="R1060" t="s">
        <v>3304</v>
      </c>
      <c r="S1060">
        <v>21.1033535633408</v>
      </c>
    </row>
    <row r="1061" spans="8:19">
      <c r="H1061" t="s">
        <v>1373</v>
      </c>
      <c r="I1061">
        <v>13</v>
      </c>
      <c r="J1061" t="s">
        <v>9</v>
      </c>
      <c r="K1061">
        <v>220</v>
      </c>
      <c r="L1061">
        <v>0.36537999999999998</v>
      </c>
      <c r="M1061">
        <v>2</v>
      </c>
      <c r="N1061">
        <v>56.033999999999999</v>
      </c>
      <c r="O1061" t="s">
        <v>6617</v>
      </c>
      <c r="P1061" t="s">
        <v>6586</v>
      </c>
      <c r="Q1061">
        <v>1.0325599999999999</v>
      </c>
      <c r="R1061" t="s">
        <v>3304</v>
      </c>
      <c r="S1061">
        <v>21.140326687075191</v>
      </c>
    </row>
    <row r="1062" spans="8:19">
      <c r="H1062" t="s">
        <v>1373</v>
      </c>
      <c r="I1062">
        <v>13</v>
      </c>
      <c r="J1062" t="s">
        <v>9</v>
      </c>
      <c r="K1062">
        <v>220</v>
      </c>
      <c r="L1062">
        <v>0.36537999999999998</v>
      </c>
      <c r="M1062">
        <v>3</v>
      </c>
      <c r="N1062">
        <v>39.116999999999997</v>
      </c>
      <c r="O1062" t="s">
        <v>6617</v>
      </c>
      <c r="P1062" t="s">
        <v>6586</v>
      </c>
      <c r="Q1062">
        <v>1.0325599999999999</v>
      </c>
      <c r="R1062" t="s">
        <v>3304</v>
      </c>
      <c r="S1062">
        <v>14.7579355216176</v>
      </c>
    </row>
    <row r="1063" spans="8:19">
      <c r="H1063" t="s">
        <v>1373</v>
      </c>
      <c r="I1063">
        <v>13</v>
      </c>
      <c r="J1063" t="s">
        <v>9</v>
      </c>
      <c r="K1063">
        <v>220</v>
      </c>
      <c r="L1063">
        <v>0.36537999999999998</v>
      </c>
      <c r="M1063">
        <v>4</v>
      </c>
      <c r="N1063">
        <v>38.668999999999997</v>
      </c>
      <c r="O1063" t="s">
        <v>6617</v>
      </c>
      <c r="P1063" t="s">
        <v>6586</v>
      </c>
      <c r="Q1063">
        <v>1.0325599999999999</v>
      </c>
      <c r="R1063" t="s">
        <v>3304</v>
      </c>
      <c r="S1063">
        <v>14.5889155274032</v>
      </c>
    </row>
    <row r="1064" spans="8:19">
      <c r="H1064" t="s">
        <v>1373</v>
      </c>
      <c r="I1064">
        <v>13</v>
      </c>
      <c r="J1064" t="s">
        <v>9</v>
      </c>
      <c r="K1064">
        <v>220</v>
      </c>
      <c r="L1064">
        <v>0.36537999999999998</v>
      </c>
      <c r="M1064">
        <v>5</v>
      </c>
      <c r="N1064">
        <v>51.475999999999999</v>
      </c>
      <c r="O1064" t="s">
        <v>6617</v>
      </c>
      <c r="P1064" t="s">
        <v>6586</v>
      </c>
      <c r="Q1064">
        <v>1.0325599999999999</v>
      </c>
      <c r="R1064" t="s">
        <v>3304</v>
      </c>
      <c r="S1064">
        <v>19.420699156652791</v>
      </c>
    </row>
    <row r="1065" spans="8:19">
      <c r="H1065" t="s">
        <v>1373</v>
      </c>
      <c r="I1065">
        <v>13</v>
      </c>
      <c r="J1065" t="s">
        <v>9</v>
      </c>
      <c r="K1065">
        <v>220</v>
      </c>
      <c r="L1065">
        <v>0.36537999999999998</v>
      </c>
      <c r="M1065">
        <v>6</v>
      </c>
      <c r="N1065">
        <v>62.256999999999998</v>
      </c>
      <c r="O1065" t="s">
        <v>6617</v>
      </c>
      <c r="P1065" t="s">
        <v>6586</v>
      </c>
      <c r="Q1065">
        <v>1.0325599999999999</v>
      </c>
      <c r="R1065" t="s">
        <v>3304</v>
      </c>
      <c r="S1065">
        <v>23.488120044209591</v>
      </c>
    </row>
    <row r="1066" spans="8:19">
      <c r="H1066" t="s">
        <v>1373</v>
      </c>
      <c r="I1066">
        <v>13</v>
      </c>
      <c r="J1066" t="s">
        <v>9</v>
      </c>
      <c r="K1066">
        <v>220</v>
      </c>
      <c r="L1066">
        <v>0.36537999999999998</v>
      </c>
      <c r="M1066">
        <v>1</v>
      </c>
      <c r="N1066">
        <v>69.262</v>
      </c>
      <c r="O1066" t="s">
        <v>6485</v>
      </c>
      <c r="P1066" t="s">
        <v>6586</v>
      </c>
      <c r="Q1066">
        <v>1.0325599999999999</v>
      </c>
      <c r="R1066" t="s">
        <v>3304</v>
      </c>
      <c r="S1066">
        <v>26.130943837673598</v>
      </c>
    </row>
    <row r="1067" spans="8:19">
      <c r="H1067" t="s">
        <v>1373</v>
      </c>
      <c r="I1067">
        <v>13</v>
      </c>
      <c r="J1067" t="s">
        <v>9</v>
      </c>
      <c r="K1067">
        <v>220</v>
      </c>
      <c r="L1067">
        <v>0.36537999999999998</v>
      </c>
      <c r="M1067">
        <v>2</v>
      </c>
      <c r="N1067">
        <v>62.783000000000001</v>
      </c>
      <c r="O1067" t="s">
        <v>6485</v>
      </c>
      <c r="P1067" t="s">
        <v>6586</v>
      </c>
      <c r="Q1067">
        <v>1.0325599999999999</v>
      </c>
      <c r="R1067" t="s">
        <v>3304</v>
      </c>
      <c r="S1067">
        <v>23.686567626702399</v>
      </c>
    </row>
    <row r="1068" spans="8:19">
      <c r="H1068" t="s">
        <v>1373</v>
      </c>
      <c r="I1068">
        <v>13</v>
      </c>
      <c r="J1068" t="s">
        <v>9</v>
      </c>
      <c r="K1068">
        <v>220</v>
      </c>
      <c r="L1068">
        <v>0.36537999999999998</v>
      </c>
      <c r="M1068">
        <v>3</v>
      </c>
      <c r="N1068">
        <v>32.915999999999997</v>
      </c>
      <c r="O1068" t="s">
        <v>6485</v>
      </c>
      <c r="P1068" t="s">
        <v>6586</v>
      </c>
      <c r="Q1068">
        <v>1.0325599999999999</v>
      </c>
      <c r="R1068" t="s">
        <v>3304</v>
      </c>
      <c r="S1068">
        <v>12.4184422534848</v>
      </c>
    </row>
    <row r="1069" spans="8:19">
      <c r="H1069" t="s">
        <v>1373</v>
      </c>
      <c r="I1069">
        <v>13</v>
      </c>
      <c r="J1069" t="s">
        <v>9</v>
      </c>
      <c r="K1069">
        <v>220</v>
      </c>
      <c r="L1069">
        <v>0.36537999999999998</v>
      </c>
      <c r="M1069">
        <v>4</v>
      </c>
      <c r="N1069">
        <v>32.179000000000002</v>
      </c>
      <c r="O1069" t="s">
        <v>6485</v>
      </c>
      <c r="P1069" t="s">
        <v>6586</v>
      </c>
      <c r="Q1069">
        <v>1.0325599999999999</v>
      </c>
      <c r="R1069" t="s">
        <v>3304</v>
      </c>
      <c r="S1069">
        <v>12.1403892719312</v>
      </c>
    </row>
    <row r="1070" spans="8:19">
      <c r="H1070" t="s">
        <v>1373</v>
      </c>
      <c r="I1070">
        <v>13</v>
      </c>
      <c r="J1070" t="s">
        <v>9</v>
      </c>
      <c r="K1070">
        <v>220</v>
      </c>
      <c r="L1070">
        <v>0.36537999999999998</v>
      </c>
      <c r="M1070">
        <v>5</v>
      </c>
      <c r="N1070">
        <v>54.389000000000003</v>
      </c>
      <c r="O1070" t="s">
        <v>6485</v>
      </c>
      <c r="P1070" t="s">
        <v>6586</v>
      </c>
      <c r="Q1070">
        <v>1.0325599999999999</v>
      </c>
      <c r="R1070" t="s">
        <v>3304</v>
      </c>
      <c r="S1070">
        <v>20.519706395819199</v>
      </c>
    </row>
    <row r="1071" spans="8:19">
      <c r="H1071" t="s">
        <v>1373</v>
      </c>
      <c r="I1071">
        <v>13</v>
      </c>
      <c r="J1071" t="s">
        <v>9</v>
      </c>
      <c r="K1071">
        <v>220</v>
      </c>
      <c r="L1071">
        <v>0.36537999999999998</v>
      </c>
      <c r="M1071">
        <v>6</v>
      </c>
      <c r="N1071">
        <v>88.427000000000007</v>
      </c>
      <c r="O1071" t="s">
        <v>6485</v>
      </c>
      <c r="P1071" t="s">
        <v>6586</v>
      </c>
      <c r="Q1071">
        <v>1.0325599999999999</v>
      </c>
      <c r="R1071" t="s">
        <v>3304</v>
      </c>
      <c r="S1071">
        <v>33.361453188385603</v>
      </c>
    </row>
    <row r="1072" spans="8:19">
      <c r="H1072" t="s">
        <v>1373</v>
      </c>
      <c r="I1072">
        <v>13</v>
      </c>
      <c r="J1072" t="s">
        <v>14</v>
      </c>
      <c r="K1072">
        <v>220</v>
      </c>
      <c r="L1072">
        <v>1.6487999999999999E-2</v>
      </c>
      <c r="M1072">
        <v>1</v>
      </c>
      <c r="N1072">
        <v>56.027999999999999</v>
      </c>
      <c r="O1072" t="s">
        <v>6617</v>
      </c>
      <c r="P1072" t="s">
        <v>6586</v>
      </c>
      <c r="Q1072">
        <v>1.0325599999999999</v>
      </c>
      <c r="R1072" t="s">
        <v>3304</v>
      </c>
      <c r="S1072">
        <v>0.95386825545983989</v>
      </c>
    </row>
    <row r="1073" spans="8:19">
      <c r="H1073" t="s">
        <v>1373</v>
      </c>
      <c r="I1073">
        <v>13</v>
      </c>
      <c r="J1073" t="s">
        <v>14</v>
      </c>
      <c r="K1073">
        <v>220</v>
      </c>
      <c r="L1073">
        <v>1.6487999999999999E-2</v>
      </c>
      <c r="M1073">
        <v>2</v>
      </c>
      <c r="N1073">
        <v>56.122999999999998</v>
      </c>
      <c r="O1073" t="s">
        <v>6617</v>
      </c>
      <c r="P1073" t="s">
        <v>6586</v>
      </c>
      <c r="Q1073">
        <v>1.0325599999999999</v>
      </c>
      <c r="R1073" t="s">
        <v>3304</v>
      </c>
      <c r="S1073">
        <v>0.9554856161414399</v>
      </c>
    </row>
    <row r="1074" spans="8:19">
      <c r="H1074" t="s">
        <v>1373</v>
      </c>
      <c r="I1074">
        <v>13</v>
      </c>
      <c r="J1074" t="s">
        <v>14</v>
      </c>
      <c r="K1074">
        <v>220</v>
      </c>
      <c r="L1074">
        <v>1.6487999999999999E-2</v>
      </c>
      <c r="M1074">
        <v>3</v>
      </c>
      <c r="N1074">
        <v>39.145000000000003</v>
      </c>
      <c r="O1074" t="s">
        <v>6617</v>
      </c>
      <c r="P1074" t="s">
        <v>6586</v>
      </c>
      <c r="Q1074">
        <v>1.0325599999999999</v>
      </c>
      <c r="R1074" t="s">
        <v>3304</v>
      </c>
      <c r="S1074">
        <v>0.66643772506559995</v>
      </c>
    </row>
    <row r="1075" spans="8:19">
      <c r="H1075" t="s">
        <v>1373</v>
      </c>
      <c r="I1075">
        <v>13</v>
      </c>
      <c r="J1075" t="s">
        <v>14</v>
      </c>
      <c r="K1075">
        <v>220</v>
      </c>
      <c r="L1075">
        <v>1.6487999999999999E-2</v>
      </c>
      <c r="M1075">
        <v>4</v>
      </c>
      <c r="N1075">
        <v>38.646999999999998</v>
      </c>
      <c r="O1075" t="s">
        <v>6617</v>
      </c>
      <c r="P1075" t="s">
        <v>6586</v>
      </c>
      <c r="Q1075">
        <v>1.0325599999999999</v>
      </c>
      <c r="R1075" t="s">
        <v>3304</v>
      </c>
      <c r="S1075">
        <v>0.65795935012415985</v>
      </c>
    </row>
    <row r="1076" spans="8:19">
      <c r="H1076" t="s">
        <v>1373</v>
      </c>
      <c r="I1076">
        <v>13</v>
      </c>
      <c r="J1076" t="s">
        <v>14</v>
      </c>
      <c r="K1076">
        <v>220</v>
      </c>
      <c r="L1076">
        <v>1.6487999999999999E-2</v>
      </c>
      <c r="M1076">
        <v>5</v>
      </c>
      <c r="N1076">
        <v>49.831000000000003</v>
      </c>
      <c r="O1076" t="s">
        <v>6617</v>
      </c>
      <c r="P1076" t="s">
        <v>6586</v>
      </c>
      <c r="Q1076">
        <v>1.0325599999999999</v>
      </c>
      <c r="R1076" t="s">
        <v>3304</v>
      </c>
      <c r="S1076">
        <v>0.84836526447167993</v>
      </c>
    </row>
    <row r="1077" spans="8:19">
      <c r="H1077" t="s">
        <v>1373</v>
      </c>
      <c r="I1077">
        <v>13</v>
      </c>
      <c r="J1077" t="s">
        <v>14</v>
      </c>
      <c r="K1077">
        <v>220</v>
      </c>
      <c r="L1077">
        <v>1.6487999999999999E-2</v>
      </c>
      <c r="M1077">
        <v>6</v>
      </c>
      <c r="N1077">
        <v>61.533000000000001</v>
      </c>
      <c r="O1077" t="s">
        <v>6617</v>
      </c>
      <c r="P1077" t="s">
        <v>6586</v>
      </c>
      <c r="Q1077">
        <v>1.0325599999999999</v>
      </c>
      <c r="R1077" t="s">
        <v>3304</v>
      </c>
      <c r="S1077">
        <v>1.0475900507462399</v>
      </c>
    </row>
    <row r="1078" spans="8:19">
      <c r="H1078" t="s">
        <v>1373</v>
      </c>
      <c r="I1078">
        <v>13</v>
      </c>
      <c r="J1078" t="s">
        <v>14</v>
      </c>
      <c r="K1078">
        <v>220</v>
      </c>
      <c r="L1078">
        <v>1.6487999999999999E-2</v>
      </c>
      <c r="M1078">
        <v>1</v>
      </c>
      <c r="N1078">
        <v>70.548000000000002</v>
      </c>
      <c r="O1078" t="s">
        <v>6485</v>
      </c>
      <c r="P1078" t="s">
        <v>6586</v>
      </c>
      <c r="Q1078">
        <v>1.0325599999999999</v>
      </c>
      <c r="R1078" t="s">
        <v>3304</v>
      </c>
      <c r="S1078">
        <v>1.20106906700544</v>
      </c>
    </row>
    <row r="1079" spans="8:19">
      <c r="H1079" t="s">
        <v>1373</v>
      </c>
      <c r="I1079">
        <v>13</v>
      </c>
      <c r="J1079" t="s">
        <v>14</v>
      </c>
      <c r="K1079">
        <v>220</v>
      </c>
      <c r="L1079">
        <v>1.6487999999999999E-2</v>
      </c>
      <c r="M1079">
        <v>2</v>
      </c>
      <c r="N1079">
        <v>63.55</v>
      </c>
      <c r="O1079" t="s">
        <v>6485</v>
      </c>
      <c r="P1079" t="s">
        <v>6586</v>
      </c>
      <c r="Q1079">
        <v>1.0325599999999999</v>
      </c>
      <c r="R1079" t="s">
        <v>3304</v>
      </c>
      <c r="S1079">
        <v>1.0819291717440001</v>
      </c>
    </row>
    <row r="1080" spans="8:19">
      <c r="H1080" t="s">
        <v>1373</v>
      </c>
      <c r="I1080">
        <v>13</v>
      </c>
      <c r="J1080" t="s">
        <v>14</v>
      </c>
      <c r="K1080">
        <v>220</v>
      </c>
      <c r="L1080">
        <v>1.6487999999999999E-2</v>
      </c>
      <c r="M1080">
        <v>3</v>
      </c>
      <c r="N1080">
        <v>32.978000000000002</v>
      </c>
      <c r="O1080" t="s">
        <v>6485</v>
      </c>
      <c r="P1080" t="s">
        <v>6586</v>
      </c>
      <c r="Q1080">
        <v>1.0325599999999999</v>
      </c>
      <c r="R1080" t="s">
        <v>3304</v>
      </c>
      <c r="S1080">
        <v>0.56144547955584001</v>
      </c>
    </row>
    <row r="1081" spans="8:19">
      <c r="H1081" t="s">
        <v>1373</v>
      </c>
      <c r="I1081">
        <v>13</v>
      </c>
      <c r="J1081" t="s">
        <v>14</v>
      </c>
      <c r="K1081">
        <v>220</v>
      </c>
      <c r="L1081">
        <v>1.6487999999999999E-2</v>
      </c>
      <c r="M1081">
        <v>4</v>
      </c>
      <c r="N1081">
        <v>31.867000000000001</v>
      </c>
      <c r="O1081" t="s">
        <v>6485</v>
      </c>
      <c r="P1081" t="s">
        <v>6586</v>
      </c>
      <c r="Q1081">
        <v>1.0325599999999999</v>
      </c>
      <c r="R1081" t="s">
        <v>3304</v>
      </c>
      <c r="S1081">
        <v>0.54253087200576</v>
      </c>
    </row>
    <row r="1082" spans="8:19">
      <c r="H1082" t="s">
        <v>1373</v>
      </c>
      <c r="I1082">
        <v>13</v>
      </c>
      <c r="J1082" t="s">
        <v>14</v>
      </c>
      <c r="K1082">
        <v>220</v>
      </c>
      <c r="L1082">
        <v>1.6487999999999999E-2</v>
      </c>
      <c r="M1082">
        <v>5</v>
      </c>
      <c r="N1082">
        <v>51.658000000000001</v>
      </c>
      <c r="O1082" t="s">
        <v>6485</v>
      </c>
      <c r="P1082" t="s">
        <v>6586</v>
      </c>
      <c r="Q1082">
        <v>1.0325599999999999</v>
      </c>
      <c r="R1082" t="s">
        <v>3304</v>
      </c>
      <c r="S1082">
        <v>0.87946966410623995</v>
      </c>
    </row>
    <row r="1083" spans="8:19">
      <c r="H1083" t="s">
        <v>1373</v>
      </c>
      <c r="I1083">
        <v>13</v>
      </c>
      <c r="J1083" t="s">
        <v>14</v>
      </c>
      <c r="K1083">
        <v>220</v>
      </c>
      <c r="L1083">
        <v>1.6487999999999999E-2</v>
      </c>
      <c r="M1083">
        <v>6</v>
      </c>
      <c r="N1083">
        <v>88.040999999999997</v>
      </c>
      <c r="O1083" t="s">
        <v>6485</v>
      </c>
      <c r="P1083" t="s">
        <v>6586</v>
      </c>
      <c r="Q1083">
        <v>1.0325599999999999</v>
      </c>
      <c r="R1083" t="s">
        <v>3304</v>
      </c>
      <c r="S1083">
        <v>1.4988847554604801</v>
      </c>
    </row>
    <row r="1084" spans="8:19">
      <c r="H1084" t="s">
        <v>1373</v>
      </c>
      <c r="I1084">
        <v>13</v>
      </c>
      <c r="J1084" t="s">
        <v>248</v>
      </c>
      <c r="K1084">
        <v>220</v>
      </c>
      <c r="L1084">
        <v>0.18507299999999999</v>
      </c>
      <c r="M1084">
        <v>1</v>
      </c>
      <c r="N1084">
        <v>54.328000000000003</v>
      </c>
      <c r="O1084" t="s">
        <v>6617</v>
      </c>
      <c r="P1084" t="s">
        <v>6586</v>
      </c>
      <c r="Q1084">
        <v>1.0325599999999999</v>
      </c>
      <c r="R1084" t="s">
        <v>3304</v>
      </c>
      <c r="S1084">
        <v>10.38202521593664</v>
      </c>
    </row>
    <row r="1085" spans="8:19">
      <c r="H1085" t="s">
        <v>1373</v>
      </c>
      <c r="I1085">
        <v>13</v>
      </c>
      <c r="J1085" t="s">
        <v>248</v>
      </c>
      <c r="K1085">
        <v>220</v>
      </c>
      <c r="L1085">
        <v>0.18507299999999999</v>
      </c>
      <c r="M1085">
        <v>2</v>
      </c>
      <c r="N1085">
        <v>54.436999999999998</v>
      </c>
      <c r="O1085" t="s">
        <v>6617</v>
      </c>
      <c r="P1085" t="s">
        <v>6586</v>
      </c>
      <c r="Q1085">
        <v>1.0325599999999999</v>
      </c>
      <c r="R1085" t="s">
        <v>3304</v>
      </c>
      <c r="S1085">
        <v>10.40285500441656</v>
      </c>
    </row>
    <row r="1086" spans="8:19">
      <c r="H1086" t="s">
        <v>1373</v>
      </c>
      <c r="I1086">
        <v>13</v>
      </c>
      <c r="J1086" t="s">
        <v>248</v>
      </c>
      <c r="K1086">
        <v>220</v>
      </c>
      <c r="L1086">
        <v>0.18507299999999999</v>
      </c>
      <c r="M1086">
        <v>3</v>
      </c>
      <c r="N1086">
        <v>39.161000000000001</v>
      </c>
      <c r="O1086" t="s">
        <v>6617</v>
      </c>
      <c r="P1086" t="s">
        <v>6586</v>
      </c>
      <c r="Q1086">
        <v>1.0325599999999999</v>
      </c>
      <c r="R1086" t="s">
        <v>3304</v>
      </c>
      <c r="S1086">
        <v>7.4836270335976796</v>
      </c>
    </row>
    <row r="1087" spans="8:19">
      <c r="H1087" t="s">
        <v>1373</v>
      </c>
      <c r="I1087">
        <v>13</v>
      </c>
      <c r="J1087" t="s">
        <v>248</v>
      </c>
      <c r="K1087">
        <v>220</v>
      </c>
      <c r="L1087">
        <v>0.18507299999999999</v>
      </c>
      <c r="M1087">
        <v>4</v>
      </c>
      <c r="N1087">
        <v>38.674999999999997</v>
      </c>
      <c r="O1087" t="s">
        <v>6617</v>
      </c>
      <c r="P1087" t="s">
        <v>6586</v>
      </c>
      <c r="Q1087">
        <v>1.0325599999999999</v>
      </c>
      <c r="R1087" t="s">
        <v>3304</v>
      </c>
      <c r="S1087">
        <v>7.3907529308339983</v>
      </c>
    </row>
    <row r="1088" spans="8:19">
      <c r="H1088" t="s">
        <v>1373</v>
      </c>
      <c r="I1088">
        <v>13</v>
      </c>
      <c r="J1088" t="s">
        <v>248</v>
      </c>
      <c r="K1088">
        <v>220</v>
      </c>
      <c r="L1088">
        <v>0.18507299999999999</v>
      </c>
      <c r="M1088">
        <v>5</v>
      </c>
      <c r="N1088">
        <v>49.055</v>
      </c>
      <c r="O1088" t="s">
        <v>6617</v>
      </c>
      <c r="P1088" t="s">
        <v>6586</v>
      </c>
      <c r="Q1088">
        <v>1.0325599999999999</v>
      </c>
      <c r="R1088" t="s">
        <v>3304</v>
      </c>
      <c r="S1088">
        <v>9.3743603108483988</v>
      </c>
    </row>
    <row r="1089" spans="8:19">
      <c r="H1089" t="s">
        <v>1373</v>
      </c>
      <c r="I1089">
        <v>13</v>
      </c>
      <c r="J1089" t="s">
        <v>248</v>
      </c>
      <c r="K1089">
        <v>220</v>
      </c>
      <c r="L1089">
        <v>0.18507299999999999</v>
      </c>
      <c r="M1089">
        <v>6</v>
      </c>
      <c r="N1089">
        <v>58.87</v>
      </c>
      <c r="O1089" t="s">
        <v>6617</v>
      </c>
      <c r="P1089" t="s">
        <v>6586</v>
      </c>
      <c r="Q1089">
        <v>1.0325599999999999</v>
      </c>
      <c r="R1089" t="s">
        <v>3304</v>
      </c>
      <c r="S1089">
        <v>11.2499967689256</v>
      </c>
    </row>
    <row r="1090" spans="8:19">
      <c r="H1090" t="s">
        <v>1373</v>
      </c>
      <c r="I1090">
        <v>13</v>
      </c>
      <c r="J1090" t="s">
        <v>248</v>
      </c>
      <c r="K1090">
        <v>220</v>
      </c>
      <c r="L1090">
        <v>0.18507299999999999</v>
      </c>
      <c r="M1090">
        <v>1</v>
      </c>
      <c r="N1090">
        <v>65.05</v>
      </c>
      <c r="O1090" t="s">
        <v>6485</v>
      </c>
      <c r="P1090" t="s">
        <v>6586</v>
      </c>
      <c r="Q1090">
        <v>1.0325599999999999</v>
      </c>
      <c r="R1090" t="s">
        <v>3304</v>
      </c>
      <c r="S1090">
        <v>12.430988446043999</v>
      </c>
    </row>
    <row r="1091" spans="8:19">
      <c r="H1091" t="s">
        <v>1373</v>
      </c>
      <c r="I1091">
        <v>13</v>
      </c>
      <c r="J1091" t="s">
        <v>248</v>
      </c>
      <c r="K1091">
        <v>220</v>
      </c>
      <c r="L1091">
        <v>0.18507299999999999</v>
      </c>
      <c r="M1091">
        <v>2</v>
      </c>
      <c r="N1091">
        <v>60.055999999999997</v>
      </c>
      <c r="O1091" t="s">
        <v>6485</v>
      </c>
      <c r="P1091" t="s">
        <v>6586</v>
      </c>
      <c r="Q1091">
        <v>1.0325599999999999</v>
      </c>
      <c r="R1091" t="s">
        <v>3304</v>
      </c>
      <c r="S1091">
        <v>11.476640155505279</v>
      </c>
    </row>
    <row r="1092" spans="8:19">
      <c r="H1092" t="s">
        <v>1373</v>
      </c>
      <c r="I1092">
        <v>13</v>
      </c>
      <c r="J1092" t="s">
        <v>248</v>
      </c>
      <c r="K1092">
        <v>220</v>
      </c>
      <c r="L1092">
        <v>0.18507299999999999</v>
      </c>
      <c r="M1092">
        <v>3</v>
      </c>
      <c r="N1092">
        <v>33.075000000000003</v>
      </c>
      <c r="O1092" t="s">
        <v>6485</v>
      </c>
      <c r="P1092" t="s">
        <v>6586</v>
      </c>
      <c r="Q1092">
        <v>1.0325599999999999</v>
      </c>
      <c r="R1092" t="s">
        <v>3304</v>
      </c>
      <c r="S1092">
        <v>6.3205986603059996</v>
      </c>
    </row>
    <row r="1093" spans="8:19">
      <c r="H1093" t="s">
        <v>1373</v>
      </c>
      <c r="I1093">
        <v>13</v>
      </c>
      <c r="J1093" t="s">
        <v>248</v>
      </c>
      <c r="K1093">
        <v>220</v>
      </c>
      <c r="L1093">
        <v>0.18507299999999999</v>
      </c>
      <c r="M1093">
        <v>4</v>
      </c>
      <c r="N1093">
        <v>32.075000000000003</v>
      </c>
      <c r="O1093" t="s">
        <v>6485</v>
      </c>
      <c r="P1093" t="s">
        <v>6586</v>
      </c>
      <c r="Q1093">
        <v>1.0325599999999999</v>
      </c>
      <c r="R1093" t="s">
        <v>3304</v>
      </c>
      <c r="S1093">
        <v>6.1294996834259994</v>
      </c>
    </row>
    <row r="1094" spans="8:19">
      <c r="H1094" t="s">
        <v>1373</v>
      </c>
      <c r="I1094">
        <v>13</v>
      </c>
      <c r="J1094" t="s">
        <v>248</v>
      </c>
      <c r="K1094">
        <v>220</v>
      </c>
      <c r="L1094">
        <v>0.18507299999999999</v>
      </c>
      <c r="M1094">
        <v>5</v>
      </c>
      <c r="N1094">
        <v>50.77</v>
      </c>
      <c r="O1094" t="s">
        <v>6485</v>
      </c>
      <c r="P1094" t="s">
        <v>6586</v>
      </c>
      <c r="Q1094">
        <v>1.0325599999999999</v>
      </c>
      <c r="R1094" t="s">
        <v>3304</v>
      </c>
      <c r="S1094">
        <v>9.7020950561975976</v>
      </c>
    </row>
    <row r="1095" spans="8:19">
      <c r="H1095" t="s">
        <v>1373</v>
      </c>
      <c r="I1095">
        <v>13</v>
      </c>
      <c r="J1095" t="s">
        <v>248</v>
      </c>
      <c r="K1095">
        <v>220</v>
      </c>
      <c r="L1095">
        <v>0.18507299999999999</v>
      </c>
      <c r="M1095">
        <v>6</v>
      </c>
      <c r="N1095">
        <v>78.662999999999997</v>
      </c>
      <c r="O1095" t="s">
        <v>6485</v>
      </c>
      <c r="P1095" t="s">
        <v>6586</v>
      </c>
      <c r="Q1095">
        <v>1.0325599999999999</v>
      </c>
      <c r="R1095" t="s">
        <v>3304</v>
      </c>
      <c r="S1095">
        <v>15.03241881831144</v>
      </c>
    </row>
    <row r="1096" spans="8:19">
      <c r="H1096" t="s">
        <v>1373</v>
      </c>
      <c r="I1096">
        <v>13</v>
      </c>
      <c r="J1096" t="s">
        <v>548</v>
      </c>
      <c r="K1096">
        <v>220</v>
      </c>
      <c r="L1096">
        <v>0.42437900000000001</v>
      </c>
      <c r="M1096">
        <v>1</v>
      </c>
      <c r="N1096">
        <v>55.128</v>
      </c>
      <c r="O1096" t="s">
        <v>6617</v>
      </c>
      <c r="P1096" t="s">
        <v>6586</v>
      </c>
      <c r="Q1096">
        <v>1.0325599999999999</v>
      </c>
      <c r="R1096" t="s">
        <v>3304</v>
      </c>
      <c r="S1096">
        <v>24.15691210107072</v>
      </c>
    </row>
    <row r="1097" spans="8:19">
      <c r="H1097" t="s">
        <v>1373</v>
      </c>
      <c r="I1097">
        <v>13</v>
      </c>
      <c r="J1097" t="s">
        <v>548</v>
      </c>
      <c r="K1097">
        <v>220</v>
      </c>
      <c r="L1097">
        <v>0.42437900000000001</v>
      </c>
      <c r="M1097">
        <v>2</v>
      </c>
      <c r="N1097">
        <v>55.256999999999998</v>
      </c>
      <c r="O1097" t="s">
        <v>6617</v>
      </c>
      <c r="P1097" t="s">
        <v>6586</v>
      </c>
      <c r="Q1097">
        <v>1.0325599999999999</v>
      </c>
      <c r="R1097" t="s">
        <v>3304</v>
      </c>
      <c r="S1097">
        <v>24.213439485721679</v>
      </c>
    </row>
    <row r="1098" spans="8:19">
      <c r="H1098" t="s">
        <v>1373</v>
      </c>
      <c r="I1098">
        <v>13</v>
      </c>
      <c r="J1098" t="s">
        <v>548</v>
      </c>
      <c r="K1098">
        <v>220</v>
      </c>
      <c r="L1098">
        <v>0.42437900000000001</v>
      </c>
      <c r="M1098">
        <v>3</v>
      </c>
      <c r="N1098">
        <v>39.152000000000001</v>
      </c>
      <c r="O1098" t="s">
        <v>6617</v>
      </c>
      <c r="P1098" t="s">
        <v>6586</v>
      </c>
      <c r="Q1098">
        <v>1.0325599999999999</v>
      </c>
      <c r="R1098" t="s">
        <v>3304</v>
      </c>
      <c r="S1098">
        <v>17.156280339956481</v>
      </c>
    </row>
    <row r="1099" spans="8:19">
      <c r="H1099" t="s">
        <v>1373</v>
      </c>
      <c r="I1099">
        <v>13</v>
      </c>
      <c r="J1099" t="s">
        <v>548</v>
      </c>
      <c r="K1099">
        <v>220</v>
      </c>
      <c r="L1099">
        <v>0.42437900000000001</v>
      </c>
      <c r="M1099">
        <v>4</v>
      </c>
      <c r="N1099">
        <v>38.615000000000002</v>
      </c>
      <c r="O1099" t="s">
        <v>6617</v>
      </c>
      <c r="P1099" t="s">
        <v>6586</v>
      </c>
      <c r="Q1099">
        <v>1.0325599999999999</v>
      </c>
      <c r="R1099" t="s">
        <v>3304</v>
      </c>
      <c r="S1099">
        <v>16.9209686689676</v>
      </c>
    </row>
    <row r="1100" spans="8:19">
      <c r="H1100" t="s">
        <v>1373</v>
      </c>
      <c r="I1100">
        <v>13</v>
      </c>
      <c r="J1100" t="s">
        <v>548</v>
      </c>
      <c r="K1100">
        <v>220</v>
      </c>
      <c r="L1100">
        <v>0.42437900000000001</v>
      </c>
      <c r="M1100">
        <v>5</v>
      </c>
      <c r="N1100">
        <v>46.902000000000001</v>
      </c>
      <c r="O1100" t="s">
        <v>6617</v>
      </c>
      <c r="P1100" t="s">
        <v>6586</v>
      </c>
      <c r="Q1100">
        <v>1.0325599999999999</v>
      </c>
      <c r="R1100" t="s">
        <v>3304</v>
      </c>
      <c r="S1100">
        <v>20.552305386816482</v>
      </c>
    </row>
    <row r="1101" spans="8:19">
      <c r="H1101" t="s">
        <v>1373</v>
      </c>
      <c r="I1101">
        <v>13</v>
      </c>
      <c r="J1101" t="s">
        <v>548</v>
      </c>
      <c r="K1101">
        <v>220</v>
      </c>
      <c r="L1101">
        <v>0.42437900000000001</v>
      </c>
      <c r="M1101">
        <v>6</v>
      </c>
      <c r="N1101">
        <v>58.256</v>
      </c>
      <c r="O1101" t="s">
        <v>6617</v>
      </c>
      <c r="P1101" t="s">
        <v>6586</v>
      </c>
      <c r="Q1101">
        <v>1.0325599999999999</v>
      </c>
      <c r="R1101" t="s">
        <v>3304</v>
      </c>
      <c r="S1101">
        <v>25.52759162966144</v>
      </c>
    </row>
    <row r="1102" spans="8:19">
      <c r="H1102" t="s">
        <v>1373</v>
      </c>
      <c r="I1102">
        <v>13</v>
      </c>
      <c r="J1102" t="s">
        <v>548</v>
      </c>
      <c r="K1102">
        <v>220</v>
      </c>
      <c r="L1102">
        <v>0.42437900000000001</v>
      </c>
      <c r="M1102">
        <v>1</v>
      </c>
      <c r="N1102">
        <v>66.899000000000001</v>
      </c>
      <c r="O1102" t="s">
        <v>6485</v>
      </c>
      <c r="P1102" t="s">
        <v>6586</v>
      </c>
      <c r="Q1102">
        <v>1.0325599999999999</v>
      </c>
      <c r="R1102" t="s">
        <v>3304</v>
      </c>
      <c r="S1102">
        <v>29.314926401275759</v>
      </c>
    </row>
    <row r="1103" spans="8:19">
      <c r="H1103" t="s">
        <v>1373</v>
      </c>
      <c r="I1103">
        <v>13</v>
      </c>
      <c r="J1103" t="s">
        <v>548</v>
      </c>
      <c r="K1103">
        <v>220</v>
      </c>
      <c r="L1103">
        <v>0.42437900000000001</v>
      </c>
      <c r="M1103">
        <v>2</v>
      </c>
      <c r="N1103">
        <v>61.454000000000001</v>
      </c>
      <c r="O1103" t="s">
        <v>6485</v>
      </c>
      <c r="P1103" t="s">
        <v>6586</v>
      </c>
      <c r="Q1103">
        <v>1.0325599999999999</v>
      </c>
      <c r="R1103" t="s">
        <v>3304</v>
      </c>
      <c r="S1103">
        <v>26.928944932868959</v>
      </c>
    </row>
    <row r="1104" spans="8:19">
      <c r="H1104" t="s">
        <v>1373</v>
      </c>
      <c r="I1104">
        <v>13</v>
      </c>
      <c r="J1104" t="s">
        <v>548</v>
      </c>
      <c r="K1104">
        <v>220</v>
      </c>
      <c r="L1104">
        <v>0.42437900000000001</v>
      </c>
      <c r="M1104">
        <v>3</v>
      </c>
      <c r="N1104">
        <v>32.872</v>
      </c>
      <c r="O1104" t="s">
        <v>6485</v>
      </c>
      <c r="P1104" t="s">
        <v>6586</v>
      </c>
      <c r="Q1104">
        <v>1.0325599999999999</v>
      </c>
      <c r="R1104" t="s">
        <v>3304</v>
      </c>
      <c r="S1104">
        <v>14.404404560049279</v>
      </c>
    </row>
    <row r="1105" spans="8:19">
      <c r="H1105" t="s">
        <v>1373</v>
      </c>
      <c r="I1105">
        <v>13</v>
      </c>
      <c r="J1105" t="s">
        <v>548</v>
      </c>
      <c r="K1105">
        <v>220</v>
      </c>
      <c r="L1105">
        <v>0.42437900000000001</v>
      </c>
      <c r="M1105">
        <v>4</v>
      </c>
      <c r="N1105">
        <v>31.65</v>
      </c>
      <c r="O1105" t="s">
        <v>6485</v>
      </c>
      <c r="P1105" t="s">
        <v>6586</v>
      </c>
      <c r="Q1105">
        <v>1.0325599999999999</v>
      </c>
      <c r="R1105" t="s">
        <v>3304</v>
      </c>
      <c r="S1105">
        <v>13.868928094596001</v>
      </c>
    </row>
    <row r="1106" spans="8:19">
      <c r="H1106" t="s">
        <v>1373</v>
      </c>
      <c r="I1106">
        <v>13</v>
      </c>
      <c r="J1106" t="s">
        <v>548</v>
      </c>
      <c r="K1106">
        <v>220</v>
      </c>
      <c r="L1106">
        <v>0.42437900000000001</v>
      </c>
      <c r="M1106">
        <v>5</v>
      </c>
      <c r="N1106">
        <v>46.981999999999999</v>
      </c>
      <c r="O1106" t="s">
        <v>6485</v>
      </c>
      <c r="P1106" t="s">
        <v>6586</v>
      </c>
      <c r="Q1106">
        <v>1.0325599999999999</v>
      </c>
      <c r="R1106" t="s">
        <v>3304</v>
      </c>
      <c r="S1106">
        <v>20.587361129235681</v>
      </c>
    </row>
    <row r="1107" spans="8:19">
      <c r="H1107" t="s">
        <v>1373</v>
      </c>
      <c r="I1107">
        <v>13</v>
      </c>
      <c r="J1107" t="s">
        <v>548</v>
      </c>
      <c r="K1107">
        <v>220</v>
      </c>
      <c r="L1107">
        <v>0.42437900000000001</v>
      </c>
      <c r="M1107">
        <v>6</v>
      </c>
      <c r="N1107">
        <v>79.751999999999995</v>
      </c>
      <c r="O1107" t="s">
        <v>6485</v>
      </c>
      <c r="P1107" t="s">
        <v>6586</v>
      </c>
      <c r="Q1107">
        <v>1.0325599999999999</v>
      </c>
      <c r="R1107" t="s">
        <v>3304</v>
      </c>
      <c r="S1107">
        <v>34.947069617700478</v>
      </c>
    </row>
    <row r="1108" spans="8:19">
      <c r="H1108" t="s">
        <v>1373</v>
      </c>
      <c r="I1108">
        <v>13</v>
      </c>
      <c r="J1108" t="s">
        <v>1197</v>
      </c>
      <c r="K1108">
        <v>220</v>
      </c>
      <c r="L1108">
        <v>8.6800000000000002E-3</v>
      </c>
      <c r="M1108">
        <v>1</v>
      </c>
      <c r="N1108">
        <v>55.825000000000003</v>
      </c>
      <c r="O1108" t="s">
        <v>6617</v>
      </c>
      <c r="P1108" t="s">
        <v>6586</v>
      </c>
      <c r="Q1108">
        <v>1.0325599999999999</v>
      </c>
      <c r="R1108" t="s">
        <v>3304</v>
      </c>
      <c r="S1108">
        <v>0.50033830615999997</v>
      </c>
    </row>
    <row r="1109" spans="8:19">
      <c r="H1109" t="s">
        <v>1373</v>
      </c>
      <c r="I1109">
        <v>13</v>
      </c>
      <c r="J1109" t="s">
        <v>1197</v>
      </c>
      <c r="K1109">
        <v>220</v>
      </c>
      <c r="L1109">
        <v>8.6800000000000002E-3</v>
      </c>
      <c r="M1109">
        <v>2</v>
      </c>
      <c r="N1109">
        <v>56.061999999999998</v>
      </c>
      <c r="O1109" t="s">
        <v>6617</v>
      </c>
      <c r="P1109" t="s">
        <v>6586</v>
      </c>
      <c r="Q1109">
        <v>1.0325599999999999</v>
      </c>
      <c r="R1109" t="s">
        <v>3304</v>
      </c>
      <c r="S1109">
        <v>0.50246244728959988</v>
      </c>
    </row>
    <row r="1110" spans="8:19">
      <c r="H1110" t="s">
        <v>1373</v>
      </c>
      <c r="I1110">
        <v>13</v>
      </c>
      <c r="J1110" t="s">
        <v>1197</v>
      </c>
      <c r="K1110">
        <v>220</v>
      </c>
      <c r="L1110">
        <v>8.6800000000000002E-3</v>
      </c>
      <c r="M1110">
        <v>3</v>
      </c>
      <c r="N1110">
        <v>39.136000000000003</v>
      </c>
      <c r="O1110" t="s">
        <v>6617</v>
      </c>
      <c r="P1110" t="s">
        <v>6586</v>
      </c>
      <c r="Q1110">
        <v>1.0325599999999999</v>
      </c>
      <c r="R1110" t="s">
        <v>3304</v>
      </c>
      <c r="S1110">
        <v>0.35076112762880002</v>
      </c>
    </row>
    <row r="1111" spans="8:19">
      <c r="H1111" t="s">
        <v>1373</v>
      </c>
      <c r="I1111">
        <v>13</v>
      </c>
      <c r="J1111" t="s">
        <v>1197</v>
      </c>
      <c r="K1111">
        <v>220</v>
      </c>
      <c r="L1111">
        <v>8.6800000000000002E-3</v>
      </c>
      <c r="M1111">
        <v>4</v>
      </c>
      <c r="N1111">
        <v>38.625</v>
      </c>
      <c r="O1111" t="s">
        <v>6617</v>
      </c>
      <c r="P1111" t="s">
        <v>6586</v>
      </c>
      <c r="Q1111">
        <v>1.0325599999999999</v>
      </c>
      <c r="R1111" t="s">
        <v>3304</v>
      </c>
      <c r="S1111">
        <v>0.34618122839999999</v>
      </c>
    </row>
    <row r="1112" spans="8:19">
      <c r="H1112" t="s">
        <v>1373</v>
      </c>
      <c r="I1112">
        <v>13</v>
      </c>
      <c r="J1112" t="s">
        <v>1197</v>
      </c>
      <c r="K1112">
        <v>220</v>
      </c>
      <c r="L1112">
        <v>8.6800000000000002E-3</v>
      </c>
      <c r="M1112">
        <v>5</v>
      </c>
      <c r="N1112">
        <v>49.764000000000003</v>
      </c>
      <c r="O1112" t="s">
        <v>6617</v>
      </c>
      <c r="P1112" t="s">
        <v>6586</v>
      </c>
      <c r="Q1112">
        <v>1.0325599999999999</v>
      </c>
      <c r="R1112" t="s">
        <v>3304</v>
      </c>
      <c r="S1112">
        <v>0.44601586149119998</v>
      </c>
    </row>
    <row r="1113" spans="8:19">
      <c r="H1113" t="s">
        <v>1373</v>
      </c>
      <c r="I1113">
        <v>13</v>
      </c>
      <c r="J1113" t="s">
        <v>1197</v>
      </c>
      <c r="K1113">
        <v>220</v>
      </c>
      <c r="L1113">
        <v>8.6800000000000002E-3</v>
      </c>
      <c r="M1113">
        <v>6</v>
      </c>
      <c r="N1113">
        <v>61.481999999999999</v>
      </c>
      <c r="O1113" t="s">
        <v>6617</v>
      </c>
      <c r="P1113" t="s">
        <v>6586</v>
      </c>
      <c r="Q1113">
        <v>1.0325599999999999</v>
      </c>
      <c r="R1113" t="s">
        <v>3304</v>
      </c>
      <c r="S1113">
        <v>0.55103985202560002</v>
      </c>
    </row>
    <row r="1114" spans="8:19">
      <c r="H1114" t="s">
        <v>1373</v>
      </c>
      <c r="I1114">
        <v>13</v>
      </c>
      <c r="J1114" t="s">
        <v>1197</v>
      </c>
      <c r="K1114">
        <v>220</v>
      </c>
      <c r="L1114">
        <v>8.6800000000000002E-3</v>
      </c>
      <c r="M1114">
        <v>1</v>
      </c>
      <c r="N1114">
        <v>70.069000000000003</v>
      </c>
      <c r="O1114" t="s">
        <v>6485</v>
      </c>
      <c r="P1114" t="s">
        <v>6586</v>
      </c>
      <c r="Q1114">
        <v>1.0325599999999999</v>
      </c>
      <c r="R1114" t="s">
        <v>3304</v>
      </c>
      <c r="S1114">
        <v>0.62800187683520003</v>
      </c>
    </row>
    <row r="1115" spans="8:19">
      <c r="H1115" t="s">
        <v>1373</v>
      </c>
      <c r="I1115">
        <v>13</v>
      </c>
      <c r="J1115" t="s">
        <v>1197</v>
      </c>
      <c r="K1115">
        <v>220</v>
      </c>
      <c r="L1115">
        <v>8.6800000000000002E-3</v>
      </c>
      <c r="M1115">
        <v>2</v>
      </c>
      <c r="N1115">
        <v>63.207000000000001</v>
      </c>
      <c r="O1115" t="s">
        <v>6485</v>
      </c>
      <c r="P1115" t="s">
        <v>6586</v>
      </c>
      <c r="Q1115">
        <v>1.0325599999999999</v>
      </c>
      <c r="R1115" t="s">
        <v>3304</v>
      </c>
      <c r="S1115">
        <v>0.56650037290560007</v>
      </c>
    </row>
    <row r="1116" spans="8:19">
      <c r="H1116" t="s">
        <v>1373</v>
      </c>
      <c r="I1116">
        <v>13</v>
      </c>
      <c r="J1116" t="s">
        <v>1197</v>
      </c>
      <c r="K1116">
        <v>220</v>
      </c>
      <c r="L1116">
        <v>8.6800000000000002E-3</v>
      </c>
      <c r="M1116">
        <v>3</v>
      </c>
      <c r="N1116">
        <v>32.453000000000003</v>
      </c>
      <c r="O1116" t="s">
        <v>6485</v>
      </c>
      <c r="P1116" t="s">
        <v>6586</v>
      </c>
      <c r="Q1116">
        <v>1.0325599999999999</v>
      </c>
      <c r="R1116" t="s">
        <v>3304</v>
      </c>
      <c r="S1116">
        <v>0.29086393282239997</v>
      </c>
    </row>
    <row r="1117" spans="8:19">
      <c r="H1117" t="s">
        <v>1373</v>
      </c>
      <c r="I1117">
        <v>13</v>
      </c>
      <c r="J1117" t="s">
        <v>1197</v>
      </c>
      <c r="K1117">
        <v>220</v>
      </c>
      <c r="L1117">
        <v>8.6800000000000002E-3</v>
      </c>
      <c r="M1117">
        <v>4</v>
      </c>
      <c r="N1117">
        <v>30.672000000000001</v>
      </c>
      <c r="O1117" t="s">
        <v>6485</v>
      </c>
      <c r="P1117" t="s">
        <v>6586</v>
      </c>
      <c r="Q1117">
        <v>1.0325599999999999</v>
      </c>
      <c r="R1117" t="s">
        <v>3304</v>
      </c>
      <c r="S1117">
        <v>0.27490150517759998</v>
      </c>
    </row>
    <row r="1118" spans="8:19">
      <c r="H1118" t="s">
        <v>1373</v>
      </c>
      <c r="I1118">
        <v>13</v>
      </c>
      <c r="J1118" t="s">
        <v>1197</v>
      </c>
      <c r="K1118">
        <v>220</v>
      </c>
      <c r="L1118">
        <v>8.6800000000000002E-3</v>
      </c>
      <c r="M1118">
        <v>5</v>
      </c>
      <c r="N1118">
        <v>51.459000000000003</v>
      </c>
      <c r="O1118" t="s">
        <v>6485</v>
      </c>
      <c r="P1118" t="s">
        <v>6586</v>
      </c>
      <c r="Q1118">
        <v>1.0325599999999999</v>
      </c>
      <c r="R1118" t="s">
        <v>3304</v>
      </c>
      <c r="S1118">
        <v>0.46120750374719999</v>
      </c>
    </row>
    <row r="1119" spans="8:19">
      <c r="H1119" t="s">
        <v>1373</v>
      </c>
      <c r="I1119">
        <v>13</v>
      </c>
      <c r="J1119" t="s">
        <v>1197</v>
      </c>
      <c r="K1119">
        <v>220</v>
      </c>
      <c r="L1119">
        <v>8.6800000000000002E-3</v>
      </c>
      <c r="M1119">
        <v>6</v>
      </c>
      <c r="N1119">
        <v>87.926000000000002</v>
      </c>
      <c r="O1119" t="s">
        <v>6485</v>
      </c>
      <c r="P1119" t="s">
        <v>6586</v>
      </c>
      <c r="Q1119">
        <v>1.0325599999999999</v>
      </c>
      <c r="R1119" t="s">
        <v>3304</v>
      </c>
      <c r="S1119">
        <v>0.78804739646079991</v>
      </c>
    </row>
    <row r="1120" spans="8:19">
      <c r="H1120" t="s">
        <v>1401</v>
      </c>
      <c r="I1120">
        <v>66</v>
      </c>
      <c r="J1120" t="s">
        <v>9</v>
      </c>
      <c r="K1120">
        <v>220</v>
      </c>
      <c r="L1120">
        <v>3.1331999999999999E-2</v>
      </c>
      <c r="M1120">
        <v>1</v>
      </c>
      <c r="N1120">
        <v>55.936</v>
      </c>
      <c r="O1120" t="s">
        <v>6617</v>
      </c>
      <c r="P1120" t="s">
        <v>6586</v>
      </c>
      <c r="Q1120">
        <v>1.0325599999999999</v>
      </c>
      <c r="R1120" t="s">
        <v>3304</v>
      </c>
      <c r="S1120">
        <v>1.8096509766451201</v>
      </c>
    </row>
    <row r="1121" spans="8:19">
      <c r="H1121" t="s">
        <v>1401</v>
      </c>
      <c r="I1121">
        <v>66</v>
      </c>
      <c r="J1121" t="s">
        <v>9</v>
      </c>
      <c r="K1121">
        <v>220</v>
      </c>
      <c r="L1121">
        <v>3.1331999999999999E-2</v>
      </c>
      <c r="M1121">
        <v>2</v>
      </c>
      <c r="N1121">
        <v>56.033999999999999</v>
      </c>
      <c r="O1121" t="s">
        <v>6617</v>
      </c>
      <c r="P1121" t="s">
        <v>6586</v>
      </c>
      <c r="Q1121">
        <v>1.0325599999999999</v>
      </c>
      <c r="R1121" t="s">
        <v>3304</v>
      </c>
      <c r="S1121">
        <v>1.81282148929728</v>
      </c>
    </row>
    <row r="1122" spans="8:19">
      <c r="H1122" t="s">
        <v>1401</v>
      </c>
      <c r="I1122">
        <v>66</v>
      </c>
      <c r="J1122" t="s">
        <v>9</v>
      </c>
      <c r="K1122">
        <v>220</v>
      </c>
      <c r="L1122">
        <v>3.1331999999999999E-2</v>
      </c>
      <c r="M1122">
        <v>3</v>
      </c>
      <c r="N1122">
        <v>39.116999999999997</v>
      </c>
      <c r="O1122" t="s">
        <v>6617</v>
      </c>
      <c r="P1122" t="s">
        <v>6586</v>
      </c>
      <c r="Q1122">
        <v>1.0325599999999999</v>
      </c>
      <c r="R1122" t="s">
        <v>3304</v>
      </c>
      <c r="S1122">
        <v>1.2655198307606399</v>
      </c>
    </row>
    <row r="1123" spans="8:19">
      <c r="H1123" t="s">
        <v>1401</v>
      </c>
      <c r="I1123">
        <v>66</v>
      </c>
      <c r="J1123" t="s">
        <v>9</v>
      </c>
      <c r="K1123">
        <v>220</v>
      </c>
      <c r="L1123">
        <v>3.1331999999999999E-2</v>
      </c>
      <c r="M1123">
        <v>4</v>
      </c>
      <c r="N1123">
        <v>38.668999999999997</v>
      </c>
      <c r="O1123" t="s">
        <v>6617</v>
      </c>
      <c r="P1123" t="s">
        <v>6586</v>
      </c>
      <c r="Q1123">
        <v>1.0325599999999999</v>
      </c>
      <c r="R1123" t="s">
        <v>3304</v>
      </c>
      <c r="S1123">
        <v>1.2510260586364801</v>
      </c>
    </row>
    <row r="1124" spans="8:19">
      <c r="H1124" t="s">
        <v>1401</v>
      </c>
      <c r="I1124">
        <v>66</v>
      </c>
      <c r="J1124" t="s">
        <v>9</v>
      </c>
      <c r="K1124">
        <v>220</v>
      </c>
      <c r="L1124">
        <v>3.1331999999999999E-2</v>
      </c>
      <c r="M1124">
        <v>5</v>
      </c>
      <c r="N1124">
        <v>51.475999999999999</v>
      </c>
      <c r="O1124" t="s">
        <v>6617</v>
      </c>
      <c r="P1124" t="s">
        <v>6586</v>
      </c>
      <c r="Q1124">
        <v>1.0325599999999999</v>
      </c>
      <c r="R1124" t="s">
        <v>3304</v>
      </c>
      <c r="S1124">
        <v>1.66536029880192</v>
      </c>
    </row>
    <row r="1125" spans="8:19">
      <c r="H1125" t="s">
        <v>1401</v>
      </c>
      <c r="I1125">
        <v>66</v>
      </c>
      <c r="J1125" t="s">
        <v>9</v>
      </c>
      <c r="K1125">
        <v>220</v>
      </c>
      <c r="L1125">
        <v>3.1331999999999999E-2</v>
      </c>
      <c r="M1125">
        <v>6</v>
      </c>
      <c r="N1125">
        <v>62.256999999999998</v>
      </c>
      <c r="O1125" t="s">
        <v>6617</v>
      </c>
      <c r="P1125" t="s">
        <v>6586</v>
      </c>
      <c r="Q1125">
        <v>1.0325599999999999</v>
      </c>
      <c r="R1125" t="s">
        <v>3304</v>
      </c>
      <c r="S1125">
        <v>2.0141490427094402</v>
      </c>
    </row>
    <row r="1126" spans="8:19">
      <c r="H1126" t="s">
        <v>1401</v>
      </c>
      <c r="I1126">
        <v>66</v>
      </c>
      <c r="J1126" t="s">
        <v>9</v>
      </c>
      <c r="K1126">
        <v>220</v>
      </c>
      <c r="L1126">
        <v>3.1331999999999999E-2</v>
      </c>
      <c r="M1126">
        <v>1</v>
      </c>
      <c r="N1126">
        <v>69.262</v>
      </c>
      <c r="O1126" t="s">
        <v>6485</v>
      </c>
      <c r="P1126" t="s">
        <v>6586</v>
      </c>
      <c r="Q1126">
        <v>1.0325599999999999</v>
      </c>
      <c r="R1126" t="s">
        <v>3304</v>
      </c>
      <c r="S1126">
        <v>2.2407759929990401</v>
      </c>
    </row>
    <row r="1127" spans="8:19">
      <c r="H1127" t="s">
        <v>1401</v>
      </c>
      <c r="I1127">
        <v>66</v>
      </c>
      <c r="J1127" t="s">
        <v>9</v>
      </c>
      <c r="K1127">
        <v>220</v>
      </c>
      <c r="L1127">
        <v>3.1331999999999999E-2</v>
      </c>
      <c r="M1127">
        <v>2</v>
      </c>
      <c r="N1127">
        <v>62.783000000000001</v>
      </c>
      <c r="O1127" t="s">
        <v>6485</v>
      </c>
      <c r="P1127" t="s">
        <v>6586</v>
      </c>
      <c r="Q1127">
        <v>1.0325599999999999</v>
      </c>
      <c r="R1127" t="s">
        <v>3304</v>
      </c>
      <c r="S1127">
        <v>2.0311662840873601</v>
      </c>
    </row>
    <row r="1128" spans="8:19">
      <c r="H1128" t="s">
        <v>1401</v>
      </c>
      <c r="I1128">
        <v>66</v>
      </c>
      <c r="J1128" t="s">
        <v>9</v>
      </c>
      <c r="K1128">
        <v>220</v>
      </c>
      <c r="L1128">
        <v>3.1331999999999999E-2</v>
      </c>
      <c r="M1128">
        <v>3</v>
      </c>
      <c r="N1128">
        <v>32.915999999999997</v>
      </c>
      <c r="O1128" t="s">
        <v>6485</v>
      </c>
      <c r="P1128" t="s">
        <v>6586</v>
      </c>
      <c r="Q1128">
        <v>1.0325599999999999</v>
      </c>
      <c r="R1128" t="s">
        <v>3304</v>
      </c>
      <c r="S1128">
        <v>1.0649040250867201</v>
      </c>
    </row>
    <row r="1129" spans="8:19">
      <c r="H1129" t="s">
        <v>1401</v>
      </c>
      <c r="I1129">
        <v>66</v>
      </c>
      <c r="J1129" t="s">
        <v>9</v>
      </c>
      <c r="K1129">
        <v>220</v>
      </c>
      <c r="L1129">
        <v>3.1331999999999999E-2</v>
      </c>
      <c r="M1129">
        <v>4</v>
      </c>
      <c r="N1129">
        <v>32.179000000000002</v>
      </c>
      <c r="O1129" t="s">
        <v>6485</v>
      </c>
      <c r="P1129" t="s">
        <v>6586</v>
      </c>
      <c r="Q1129">
        <v>1.0325599999999999</v>
      </c>
      <c r="R1129" t="s">
        <v>3304</v>
      </c>
      <c r="S1129">
        <v>1.0410604758556801</v>
      </c>
    </row>
    <row r="1130" spans="8:19">
      <c r="H1130" t="s">
        <v>1401</v>
      </c>
      <c r="I1130">
        <v>66</v>
      </c>
      <c r="J1130" t="s">
        <v>9</v>
      </c>
      <c r="K1130">
        <v>220</v>
      </c>
      <c r="L1130">
        <v>3.1331999999999999E-2</v>
      </c>
      <c r="M1130">
        <v>5</v>
      </c>
      <c r="N1130">
        <v>54.389000000000003</v>
      </c>
      <c r="O1130" t="s">
        <v>6485</v>
      </c>
      <c r="P1130" t="s">
        <v>6586</v>
      </c>
      <c r="Q1130">
        <v>1.0325599999999999</v>
      </c>
      <c r="R1130" t="s">
        <v>3304</v>
      </c>
      <c r="S1130">
        <v>1.75960216977888</v>
      </c>
    </row>
    <row r="1131" spans="8:19">
      <c r="H1131" t="s">
        <v>1401</v>
      </c>
      <c r="I1131">
        <v>66</v>
      </c>
      <c r="J1131" t="s">
        <v>9</v>
      </c>
      <c r="K1131">
        <v>220</v>
      </c>
      <c r="L1131">
        <v>3.1331999999999999E-2</v>
      </c>
      <c r="M1131">
        <v>6</v>
      </c>
      <c r="N1131">
        <v>88.427000000000007</v>
      </c>
      <c r="O1131" t="s">
        <v>6485</v>
      </c>
      <c r="P1131" t="s">
        <v>6586</v>
      </c>
      <c r="Q1131">
        <v>1.0325599999999999</v>
      </c>
      <c r="R1131" t="s">
        <v>3304</v>
      </c>
      <c r="S1131">
        <v>2.86080532951584</v>
      </c>
    </row>
    <row r="1132" spans="8:19">
      <c r="H1132" t="s">
        <v>1401</v>
      </c>
      <c r="I1132">
        <v>66</v>
      </c>
      <c r="J1132" t="s">
        <v>14</v>
      </c>
      <c r="K1132">
        <v>220</v>
      </c>
      <c r="L1132">
        <v>6.0600000000000003E-3</v>
      </c>
      <c r="M1132">
        <v>1</v>
      </c>
      <c r="N1132">
        <v>56.027999999999999</v>
      </c>
      <c r="O1132" t="s">
        <v>6617</v>
      </c>
      <c r="P1132" t="s">
        <v>6586</v>
      </c>
      <c r="Q1132">
        <v>1.0325599999999999</v>
      </c>
      <c r="R1132" t="s">
        <v>3304</v>
      </c>
      <c r="S1132">
        <v>0.35058476638079999</v>
      </c>
    </row>
    <row r="1133" spans="8:19">
      <c r="H1133" t="s">
        <v>1401</v>
      </c>
      <c r="I1133">
        <v>66</v>
      </c>
      <c r="J1133" t="s">
        <v>14</v>
      </c>
      <c r="K1133">
        <v>220</v>
      </c>
      <c r="L1133">
        <v>6.0600000000000003E-3</v>
      </c>
      <c r="M1133">
        <v>2</v>
      </c>
      <c r="N1133">
        <v>56.122999999999998</v>
      </c>
      <c r="O1133" t="s">
        <v>6617</v>
      </c>
      <c r="P1133" t="s">
        <v>6586</v>
      </c>
      <c r="Q1133">
        <v>1.0325599999999999</v>
      </c>
      <c r="R1133" t="s">
        <v>3304</v>
      </c>
      <c r="S1133">
        <v>0.35117921117279999</v>
      </c>
    </row>
    <row r="1134" spans="8:19">
      <c r="H1134" t="s">
        <v>1401</v>
      </c>
      <c r="I1134">
        <v>66</v>
      </c>
      <c r="J1134" t="s">
        <v>14</v>
      </c>
      <c r="K1134">
        <v>220</v>
      </c>
      <c r="L1134">
        <v>6.0600000000000003E-3</v>
      </c>
      <c r="M1134">
        <v>3</v>
      </c>
      <c r="N1134">
        <v>39.145000000000003</v>
      </c>
      <c r="O1134" t="s">
        <v>6617</v>
      </c>
      <c r="P1134" t="s">
        <v>6586</v>
      </c>
      <c r="Q1134">
        <v>1.0325599999999999</v>
      </c>
      <c r="R1134" t="s">
        <v>3304</v>
      </c>
      <c r="S1134">
        <v>0.24494254087199999</v>
      </c>
    </row>
    <row r="1135" spans="8:19">
      <c r="H1135" t="s">
        <v>1401</v>
      </c>
      <c r="I1135">
        <v>66</v>
      </c>
      <c r="J1135" t="s">
        <v>14</v>
      </c>
      <c r="K1135">
        <v>220</v>
      </c>
      <c r="L1135">
        <v>6.0600000000000003E-3</v>
      </c>
      <c r="M1135">
        <v>4</v>
      </c>
      <c r="N1135">
        <v>38.646999999999998</v>
      </c>
      <c r="O1135" t="s">
        <v>6617</v>
      </c>
      <c r="P1135" t="s">
        <v>6586</v>
      </c>
      <c r="Q1135">
        <v>1.0325599999999999</v>
      </c>
      <c r="R1135" t="s">
        <v>3304</v>
      </c>
      <c r="S1135">
        <v>0.2418263986992</v>
      </c>
    </row>
    <row r="1136" spans="8:19">
      <c r="H1136" t="s">
        <v>1401</v>
      </c>
      <c r="I1136">
        <v>66</v>
      </c>
      <c r="J1136" t="s">
        <v>14</v>
      </c>
      <c r="K1136">
        <v>220</v>
      </c>
      <c r="L1136">
        <v>6.0600000000000003E-3</v>
      </c>
      <c r="M1136">
        <v>5</v>
      </c>
      <c r="N1136">
        <v>49.831000000000003</v>
      </c>
      <c r="O1136" t="s">
        <v>6617</v>
      </c>
      <c r="P1136" t="s">
        <v>6586</v>
      </c>
      <c r="Q1136">
        <v>1.0325599999999999</v>
      </c>
      <c r="R1136" t="s">
        <v>3304</v>
      </c>
      <c r="S1136">
        <v>0.31180819400159998</v>
      </c>
    </row>
    <row r="1137" spans="8:19">
      <c r="H1137" t="s">
        <v>1401</v>
      </c>
      <c r="I1137">
        <v>66</v>
      </c>
      <c r="J1137" t="s">
        <v>14</v>
      </c>
      <c r="K1137">
        <v>220</v>
      </c>
      <c r="L1137">
        <v>6.0600000000000003E-3</v>
      </c>
      <c r="M1137">
        <v>6</v>
      </c>
      <c r="N1137">
        <v>61.533000000000001</v>
      </c>
      <c r="O1137" t="s">
        <v>6617</v>
      </c>
      <c r="P1137" t="s">
        <v>6586</v>
      </c>
      <c r="Q1137">
        <v>1.0325599999999999</v>
      </c>
      <c r="R1137" t="s">
        <v>3304</v>
      </c>
      <c r="S1137">
        <v>0.38503127774880003</v>
      </c>
    </row>
    <row r="1138" spans="8:19">
      <c r="H1138" t="s">
        <v>1401</v>
      </c>
      <c r="I1138">
        <v>66</v>
      </c>
      <c r="J1138" t="s">
        <v>14</v>
      </c>
      <c r="K1138">
        <v>220</v>
      </c>
      <c r="L1138">
        <v>6.0600000000000003E-3</v>
      </c>
      <c r="M1138">
        <v>1</v>
      </c>
      <c r="N1138">
        <v>70.548000000000002</v>
      </c>
      <c r="O1138" t="s">
        <v>6485</v>
      </c>
      <c r="P1138" t="s">
        <v>6586</v>
      </c>
      <c r="Q1138">
        <v>1.0325599999999999</v>
      </c>
      <c r="R1138" t="s">
        <v>3304</v>
      </c>
      <c r="S1138">
        <v>0.44144095985280002</v>
      </c>
    </row>
    <row r="1139" spans="8:19">
      <c r="H1139" t="s">
        <v>1401</v>
      </c>
      <c r="I1139">
        <v>66</v>
      </c>
      <c r="J1139" t="s">
        <v>14</v>
      </c>
      <c r="K1139">
        <v>220</v>
      </c>
      <c r="L1139">
        <v>6.0600000000000003E-3</v>
      </c>
      <c r="M1139">
        <v>2</v>
      </c>
      <c r="N1139">
        <v>63.55</v>
      </c>
      <c r="O1139" t="s">
        <v>6485</v>
      </c>
      <c r="P1139" t="s">
        <v>6586</v>
      </c>
      <c r="Q1139">
        <v>1.0325599999999999</v>
      </c>
      <c r="R1139" t="s">
        <v>3304</v>
      </c>
      <c r="S1139">
        <v>0.39765227928000002</v>
      </c>
    </row>
    <row r="1140" spans="8:19">
      <c r="H1140" t="s">
        <v>1401</v>
      </c>
      <c r="I1140">
        <v>66</v>
      </c>
      <c r="J1140" t="s">
        <v>14</v>
      </c>
      <c r="K1140">
        <v>220</v>
      </c>
      <c r="L1140">
        <v>6.0600000000000003E-3</v>
      </c>
      <c r="M1140">
        <v>3</v>
      </c>
      <c r="N1140">
        <v>32.978000000000002</v>
      </c>
      <c r="O1140" t="s">
        <v>6485</v>
      </c>
      <c r="P1140" t="s">
        <v>6586</v>
      </c>
      <c r="Q1140">
        <v>1.0325599999999999</v>
      </c>
      <c r="R1140" t="s">
        <v>3304</v>
      </c>
      <c r="S1140">
        <v>0.2063536879008</v>
      </c>
    </row>
    <row r="1141" spans="8:19">
      <c r="H1141" t="s">
        <v>1401</v>
      </c>
      <c r="I1141">
        <v>66</v>
      </c>
      <c r="J1141" t="s">
        <v>14</v>
      </c>
      <c r="K1141">
        <v>220</v>
      </c>
      <c r="L1141">
        <v>6.0600000000000003E-3</v>
      </c>
      <c r="M1141">
        <v>4</v>
      </c>
      <c r="N1141">
        <v>31.867000000000001</v>
      </c>
      <c r="O1141" t="s">
        <v>6485</v>
      </c>
      <c r="P1141" t="s">
        <v>6586</v>
      </c>
      <c r="Q1141">
        <v>1.0325599999999999</v>
      </c>
      <c r="R1141" t="s">
        <v>3304</v>
      </c>
      <c r="S1141">
        <v>0.19940181249120001</v>
      </c>
    </row>
    <row r="1142" spans="8:19">
      <c r="H1142" t="s">
        <v>1401</v>
      </c>
      <c r="I1142">
        <v>66</v>
      </c>
      <c r="J1142" t="s">
        <v>14</v>
      </c>
      <c r="K1142">
        <v>220</v>
      </c>
      <c r="L1142">
        <v>6.0600000000000003E-3</v>
      </c>
      <c r="M1142">
        <v>5</v>
      </c>
      <c r="N1142">
        <v>51.658000000000001</v>
      </c>
      <c r="O1142" t="s">
        <v>6485</v>
      </c>
      <c r="P1142" t="s">
        <v>6586</v>
      </c>
      <c r="Q1142">
        <v>1.0325599999999999</v>
      </c>
      <c r="R1142" t="s">
        <v>3304</v>
      </c>
      <c r="S1142">
        <v>0.32324030594879999</v>
      </c>
    </row>
    <row r="1143" spans="8:19">
      <c r="H1143" t="s">
        <v>1401</v>
      </c>
      <c r="I1143">
        <v>66</v>
      </c>
      <c r="J1143" t="s">
        <v>14</v>
      </c>
      <c r="K1143">
        <v>220</v>
      </c>
      <c r="L1143">
        <v>6.0600000000000003E-3</v>
      </c>
      <c r="M1143">
        <v>6</v>
      </c>
      <c r="N1143">
        <v>88.040999999999997</v>
      </c>
      <c r="O1143" t="s">
        <v>6485</v>
      </c>
      <c r="P1143" t="s">
        <v>6586</v>
      </c>
      <c r="Q1143">
        <v>1.0325599999999999</v>
      </c>
      <c r="R1143" t="s">
        <v>3304</v>
      </c>
      <c r="S1143">
        <v>0.5509001466575999</v>
      </c>
    </row>
    <row r="1144" spans="8:19">
      <c r="H1144" t="s">
        <v>1401</v>
      </c>
      <c r="I1144">
        <v>66</v>
      </c>
      <c r="J1144" t="s">
        <v>248</v>
      </c>
      <c r="K1144">
        <v>220</v>
      </c>
      <c r="L1144">
        <v>0.94890799999999997</v>
      </c>
      <c r="M1144">
        <v>1</v>
      </c>
      <c r="N1144">
        <v>54.328000000000003</v>
      </c>
      <c r="O1144" t="s">
        <v>6617</v>
      </c>
      <c r="P1144" t="s">
        <v>6586</v>
      </c>
      <c r="Q1144">
        <v>1.0325599999999999</v>
      </c>
      <c r="R1144" t="s">
        <v>3304</v>
      </c>
      <c r="S1144">
        <v>53.230815859709438</v>
      </c>
    </row>
    <row r="1145" spans="8:19">
      <c r="H1145" t="s">
        <v>1401</v>
      </c>
      <c r="I1145">
        <v>66</v>
      </c>
      <c r="J1145" t="s">
        <v>248</v>
      </c>
      <c r="K1145">
        <v>220</v>
      </c>
      <c r="L1145">
        <v>0.94890799999999997</v>
      </c>
      <c r="M1145">
        <v>2</v>
      </c>
      <c r="N1145">
        <v>54.436999999999998</v>
      </c>
      <c r="O1145" t="s">
        <v>6617</v>
      </c>
      <c r="P1145" t="s">
        <v>6586</v>
      </c>
      <c r="Q1145">
        <v>1.0325599999999999</v>
      </c>
      <c r="R1145" t="s">
        <v>3304</v>
      </c>
      <c r="S1145">
        <v>53.337614544157752</v>
      </c>
    </row>
    <row r="1146" spans="8:19">
      <c r="H1146" t="s">
        <v>1401</v>
      </c>
      <c r="I1146">
        <v>66</v>
      </c>
      <c r="J1146" t="s">
        <v>248</v>
      </c>
      <c r="K1146">
        <v>220</v>
      </c>
      <c r="L1146">
        <v>0.94890799999999997</v>
      </c>
      <c r="M1146">
        <v>3</v>
      </c>
      <c r="N1146">
        <v>39.161000000000001</v>
      </c>
      <c r="O1146" t="s">
        <v>6617</v>
      </c>
      <c r="P1146" t="s">
        <v>6586</v>
      </c>
      <c r="Q1146">
        <v>1.0325599999999999</v>
      </c>
      <c r="R1146" t="s">
        <v>3304</v>
      </c>
      <c r="S1146">
        <v>38.370121850281272</v>
      </c>
    </row>
    <row r="1147" spans="8:19">
      <c r="H1147" t="s">
        <v>1401</v>
      </c>
      <c r="I1147">
        <v>66</v>
      </c>
      <c r="J1147" t="s">
        <v>248</v>
      </c>
      <c r="K1147">
        <v>220</v>
      </c>
      <c r="L1147">
        <v>0.94890799999999997</v>
      </c>
      <c r="M1147">
        <v>4</v>
      </c>
      <c r="N1147">
        <v>38.674999999999997</v>
      </c>
      <c r="O1147" t="s">
        <v>6617</v>
      </c>
      <c r="P1147" t="s">
        <v>6586</v>
      </c>
      <c r="Q1147">
        <v>1.0325599999999999</v>
      </c>
      <c r="R1147" t="s">
        <v>3304</v>
      </c>
      <c r="S1147">
        <v>37.893936890263987</v>
      </c>
    </row>
    <row r="1148" spans="8:19">
      <c r="H1148" t="s">
        <v>1401</v>
      </c>
      <c r="I1148">
        <v>66</v>
      </c>
      <c r="J1148" t="s">
        <v>248</v>
      </c>
      <c r="K1148">
        <v>220</v>
      </c>
      <c r="L1148">
        <v>0.94890799999999997</v>
      </c>
      <c r="M1148">
        <v>5</v>
      </c>
      <c r="N1148">
        <v>49.055</v>
      </c>
      <c r="O1148" t="s">
        <v>6617</v>
      </c>
      <c r="P1148" t="s">
        <v>6586</v>
      </c>
      <c r="Q1148">
        <v>1.0325599999999999</v>
      </c>
      <c r="R1148" t="s">
        <v>3304</v>
      </c>
      <c r="S1148">
        <v>48.0643070239664</v>
      </c>
    </row>
    <row r="1149" spans="8:19">
      <c r="H1149" t="s">
        <v>1401</v>
      </c>
      <c r="I1149">
        <v>66</v>
      </c>
      <c r="J1149" t="s">
        <v>248</v>
      </c>
      <c r="K1149">
        <v>220</v>
      </c>
      <c r="L1149">
        <v>0.94890799999999997</v>
      </c>
      <c r="M1149">
        <v>6</v>
      </c>
      <c r="N1149">
        <v>58.87</v>
      </c>
      <c r="O1149" t="s">
        <v>6617</v>
      </c>
      <c r="P1149" t="s">
        <v>6586</v>
      </c>
      <c r="Q1149">
        <v>1.0325599999999999</v>
      </c>
      <c r="R1149" t="s">
        <v>3304</v>
      </c>
      <c r="S1149">
        <v>57.681087646537591</v>
      </c>
    </row>
    <row r="1150" spans="8:19">
      <c r="H1150" t="s">
        <v>1401</v>
      </c>
      <c r="I1150">
        <v>66</v>
      </c>
      <c r="J1150" t="s">
        <v>248</v>
      </c>
      <c r="K1150">
        <v>220</v>
      </c>
      <c r="L1150">
        <v>0.94890799999999997</v>
      </c>
      <c r="M1150">
        <v>1</v>
      </c>
      <c r="N1150">
        <v>65.05</v>
      </c>
      <c r="O1150" t="s">
        <v>6485</v>
      </c>
      <c r="P1150" t="s">
        <v>6586</v>
      </c>
      <c r="Q1150">
        <v>1.0325599999999999</v>
      </c>
      <c r="R1150" t="s">
        <v>3304</v>
      </c>
      <c r="S1150">
        <v>63.73627911342399</v>
      </c>
    </row>
    <row r="1151" spans="8:19">
      <c r="H1151" t="s">
        <v>1401</v>
      </c>
      <c r="I1151">
        <v>66</v>
      </c>
      <c r="J1151" t="s">
        <v>248</v>
      </c>
      <c r="K1151">
        <v>220</v>
      </c>
      <c r="L1151">
        <v>0.94890799999999997</v>
      </c>
      <c r="M1151">
        <v>2</v>
      </c>
      <c r="N1151">
        <v>60.055999999999997</v>
      </c>
      <c r="O1151" t="s">
        <v>6485</v>
      </c>
      <c r="P1151" t="s">
        <v>6586</v>
      </c>
      <c r="Q1151">
        <v>1.0325599999999999</v>
      </c>
      <c r="R1151" t="s">
        <v>3304</v>
      </c>
      <c r="S1151">
        <v>58.84313571769087</v>
      </c>
    </row>
    <row r="1152" spans="8:19">
      <c r="H1152" t="s">
        <v>1401</v>
      </c>
      <c r="I1152">
        <v>66</v>
      </c>
      <c r="J1152" t="s">
        <v>248</v>
      </c>
      <c r="K1152">
        <v>220</v>
      </c>
      <c r="L1152">
        <v>0.94890799999999997</v>
      </c>
      <c r="M1152">
        <v>3</v>
      </c>
      <c r="N1152">
        <v>33.075000000000003</v>
      </c>
      <c r="O1152" t="s">
        <v>6485</v>
      </c>
      <c r="P1152" t="s">
        <v>6586</v>
      </c>
      <c r="Q1152">
        <v>1.0325599999999999</v>
      </c>
      <c r="R1152" t="s">
        <v>3304</v>
      </c>
      <c r="S1152">
        <v>32.407032001175999</v>
      </c>
    </row>
    <row r="1153" spans="8:19">
      <c r="H1153" t="s">
        <v>1401</v>
      </c>
      <c r="I1153">
        <v>66</v>
      </c>
      <c r="J1153" t="s">
        <v>248</v>
      </c>
      <c r="K1153">
        <v>220</v>
      </c>
      <c r="L1153">
        <v>0.94890799999999997</v>
      </c>
      <c r="M1153">
        <v>4</v>
      </c>
      <c r="N1153">
        <v>32.075000000000003</v>
      </c>
      <c r="O1153" t="s">
        <v>6485</v>
      </c>
      <c r="P1153" t="s">
        <v>6586</v>
      </c>
      <c r="Q1153">
        <v>1.0325599999999999</v>
      </c>
      <c r="R1153" t="s">
        <v>3304</v>
      </c>
      <c r="S1153">
        <v>31.427227556696</v>
      </c>
    </row>
    <row r="1154" spans="8:19">
      <c r="H1154" t="s">
        <v>1401</v>
      </c>
      <c r="I1154">
        <v>66</v>
      </c>
      <c r="J1154" t="s">
        <v>248</v>
      </c>
      <c r="K1154">
        <v>220</v>
      </c>
      <c r="L1154">
        <v>0.94890799999999997</v>
      </c>
      <c r="M1154">
        <v>5</v>
      </c>
      <c r="N1154">
        <v>50.77</v>
      </c>
      <c r="O1154" t="s">
        <v>6485</v>
      </c>
      <c r="P1154" t="s">
        <v>6586</v>
      </c>
      <c r="Q1154">
        <v>1.0325599999999999</v>
      </c>
      <c r="R1154" t="s">
        <v>3304</v>
      </c>
      <c r="S1154">
        <v>49.7446716462496</v>
      </c>
    </row>
    <row r="1155" spans="8:19">
      <c r="H1155" t="s">
        <v>1401</v>
      </c>
      <c r="I1155">
        <v>66</v>
      </c>
      <c r="J1155" t="s">
        <v>248</v>
      </c>
      <c r="K1155">
        <v>220</v>
      </c>
      <c r="L1155">
        <v>0.94890799999999997</v>
      </c>
      <c r="M1155">
        <v>6</v>
      </c>
      <c r="N1155">
        <v>78.662999999999997</v>
      </c>
      <c r="O1155" t="s">
        <v>6485</v>
      </c>
      <c r="P1155" t="s">
        <v>6586</v>
      </c>
      <c r="Q1155">
        <v>1.0325599999999999</v>
      </c>
      <c r="R1155" t="s">
        <v>3304</v>
      </c>
      <c r="S1155">
        <v>77.074357016130222</v>
      </c>
    </row>
    <row r="1156" spans="8:19">
      <c r="H1156" t="s">
        <v>1401</v>
      </c>
      <c r="I1156">
        <v>66</v>
      </c>
      <c r="J1156" t="s">
        <v>548</v>
      </c>
      <c r="K1156">
        <v>220</v>
      </c>
      <c r="L1156">
        <v>1.0462000000000001E-2</v>
      </c>
      <c r="M1156">
        <v>1</v>
      </c>
      <c r="N1156">
        <v>55.128</v>
      </c>
      <c r="O1156" t="s">
        <v>6617</v>
      </c>
      <c r="P1156" t="s">
        <v>6586</v>
      </c>
      <c r="Q1156">
        <v>1.0325599999999999</v>
      </c>
      <c r="R1156" t="s">
        <v>3304</v>
      </c>
      <c r="S1156">
        <v>0.59552808786815992</v>
      </c>
    </row>
    <row r="1157" spans="8:19">
      <c r="H1157" t="s">
        <v>1401</v>
      </c>
      <c r="I1157">
        <v>66</v>
      </c>
      <c r="J1157" t="s">
        <v>548</v>
      </c>
      <c r="K1157">
        <v>220</v>
      </c>
      <c r="L1157">
        <v>1.0462000000000001E-2</v>
      </c>
      <c r="M1157">
        <v>2</v>
      </c>
      <c r="N1157">
        <v>55.256999999999998</v>
      </c>
      <c r="O1157" t="s">
        <v>6617</v>
      </c>
      <c r="P1157" t="s">
        <v>6586</v>
      </c>
      <c r="Q1157">
        <v>1.0325599999999999</v>
      </c>
      <c r="R1157" t="s">
        <v>3304</v>
      </c>
      <c r="S1157">
        <v>0.59692162877903998</v>
      </c>
    </row>
    <row r="1158" spans="8:19">
      <c r="H1158" t="s">
        <v>1401</v>
      </c>
      <c r="I1158">
        <v>66</v>
      </c>
      <c r="J1158" t="s">
        <v>548</v>
      </c>
      <c r="K1158">
        <v>220</v>
      </c>
      <c r="L1158">
        <v>1.0462000000000001E-2</v>
      </c>
      <c r="M1158">
        <v>3</v>
      </c>
      <c r="N1158">
        <v>39.152000000000001</v>
      </c>
      <c r="O1158" t="s">
        <v>6617</v>
      </c>
      <c r="P1158" t="s">
        <v>6586</v>
      </c>
      <c r="Q1158">
        <v>1.0325599999999999</v>
      </c>
      <c r="R1158" t="s">
        <v>3304</v>
      </c>
      <c r="S1158">
        <v>0.42294506777343999</v>
      </c>
    </row>
    <row r="1159" spans="8:19">
      <c r="H1159" t="s">
        <v>1401</v>
      </c>
      <c r="I1159">
        <v>66</v>
      </c>
      <c r="J1159" t="s">
        <v>548</v>
      </c>
      <c r="K1159">
        <v>220</v>
      </c>
      <c r="L1159">
        <v>1.0462000000000001E-2</v>
      </c>
      <c r="M1159">
        <v>4</v>
      </c>
      <c r="N1159">
        <v>38.615000000000002</v>
      </c>
      <c r="O1159" t="s">
        <v>6617</v>
      </c>
      <c r="P1159" t="s">
        <v>6586</v>
      </c>
      <c r="Q1159">
        <v>1.0325599999999999</v>
      </c>
      <c r="R1159" t="s">
        <v>3304</v>
      </c>
      <c r="S1159">
        <v>0.41714404863280002</v>
      </c>
    </row>
    <row r="1160" spans="8:19">
      <c r="H1160" t="s">
        <v>1401</v>
      </c>
      <c r="I1160">
        <v>66</v>
      </c>
      <c r="J1160" t="s">
        <v>548</v>
      </c>
      <c r="K1160">
        <v>220</v>
      </c>
      <c r="L1160">
        <v>1.0462000000000001E-2</v>
      </c>
      <c r="M1160">
        <v>5</v>
      </c>
      <c r="N1160">
        <v>46.902000000000001</v>
      </c>
      <c r="O1160" t="s">
        <v>6617</v>
      </c>
      <c r="P1160" t="s">
        <v>6586</v>
      </c>
      <c r="Q1160">
        <v>1.0325599999999999</v>
      </c>
      <c r="R1160" t="s">
        <v>3304</v>
      </c>
      <c r="S1160">
        <v>0.50666554885344006</v>
      </c>
    </row>
    <row r="1161" spans="8:19">
      <c r="H1161" t="s">
        <v>1401</v>
      </c>
      <c r="I1161">
        <v>66</v>
      </c>
      <c r="J1161" t="s">
        <v>548</v>
      </c>
      <c r="K1161">
        <v>220</v>
      </c>
      <c r="L1161">
        <v>1.0462000000000001E-2</v>
      </c>
      <c r="M1161">
        <v>6</v>
      </c>
      <c r="N1161">
        <v>58.256</v>
      </c>
      <c r="O1161" t="s">
        <v>6617</v>
      </c>
      <c r="P1161" t="s">
        <v>6586</v>
      </c>
      <c r="Q1161">
        <v>1.0325599999999999</v>
      </c>
      <c r="R1161" t="s">
        <v>3304</v>
      </c>
      <c r="S1161">
        <v>0.62931875429632</v>
      </c>
    </row>
    <row r="1162" spans="8:19">
      <c r="H1162" t="s">
        <v>1401</v>
      </c>
      <c r="I1162">
        <v>66</v>
      </c>
      <c r="J1162" t="s">
        <v>548</v>
      </c>
      <c r="K1162">
        <v>220</v>
      </c>
      <c r="L1162">
        <v>1.0462000000000001E-2</v>
      </c>
      <c r="M1162">
        <v>1</v>
      </c>
      <c r="N1162">
        <v>66.899000000000001</v>
      </c>
      <c r="O1162" t="s">
        <v>6485</v>
      </c>
      <c r="P1162" t="s">
        <v>6586</v>
      </c>
      <c r="Q1162">
        <v>1.0325599999999999</v>
      </c>
      <c r="R1162" t="s">
        <v>3304</v>
      </c>
      <c r="S1162">
        <v>0.72268599532528</v>
      </c>
    </row>
    <row r="1163" spans="8:19">
      <c r="H1163" t="s">
        <v>1401</v>
      </c>
      <c r="I1163">
        <v>66</v>
      </c>
      <c r="J1163" t="s">
        <v>548</v>
      </c>
      <c r="K1163">
        <v>220</v>
      </c>
      <c r="L1163">
        <v>1.0462000000000001E-2</v>
      </c>
      <c r="M1163">
        <v>2</v>
      </c>
      <c r="N1163">
        <v>61.454000000000001</v>
      </c>
      <c r="O1163" t="s">
        <v>6485</v>
      </c>
      <c r="P1163" t="s">
        <v>6586</v>
      </c>
      <c r="Q1163">
        <v>1.0325599999999999</v>
      </c>
      <c r="R1163" t="s">
        <v>3304</v>
      </c>
      <c r="S1163">
        <v>0.66386560571488007</v>
      </c>
    </row>
    <row r="1164" spans="8:19">
      <c r="H1164" t="s">
        <v>1401</v>
      </c>
      <c r="I1164">
        <v>66</v>
      </c>
      <c r="J1164" t="s">
        <v>548</v>
      </c>
      <c r="K1164">
        <v>220</v>
      </c>
      <c r="L1164">
        <v>1.0462000000000001E-2</v>
      </c>
      <c r="M1164">
        <v>3</v>
      </c>
      <c r="N1164">
        <v>32.872</v>
      </c>
      <c r="O1164" t="s">
        <v>6485</v>
      </c>
      <c r="P1164" t="s">
        <v>6586</v>
      </c>
      <c r="Q1164">
        <v>1.0325599999999999</v>
      </c>
      <c r="R1164" t="s">
        <v>3304</v>
      </c>
      <c r="S1164">
        <v>0.35510447149183999</v>
      </c>
    </row>
    <row r="1165" spans="8:19">
      <c r="H1165" t="s">
        <v>1401</v>
      </c>
      <c r="I1165">
        <v>66</v>
      </c>
      <c r="J1165" t="s">
        <v>548</v>
      </c>
      <c r="K1165">
        <v>220</v>
      </c>
      <c r="L1165">
        <v>1.0462000000000001E-2</v>
      </c>
      <c r="M1165">
        <v>4</v>
      </c>
      <c r="N1165">
        <v>31.65</v>
      </c>
      <c r="O1165" t="s">
        <v>6485</v>
      </c>
      <c r="P1165" t="s">
        <v>6586</v>
      </c>
      <c r="Q1165">
        <v>1.0325599999999999</v>
      </c>
      <c r="R1165" t="s">
        <v>3304</v>
      </c>
      <c r="S1165">
        <v>0.341903642088</v>
      </c>
    </row>
    <row r="1166" spans="8:19">
      <c r="H1166" t="s">
        <v>1401</v>
      </c>
      <c r="I1166">
        <v>66</v>
      </c>
      <c r="J1166" t="s">
        <v>548</v>
      </c>
      <c r="K1166">
        <v>220</v>
      </c>
      <c r="L1166">
        <v>1.0462000000000001E-2</v>
      </c>
      <c r="M1166">
        <v>5</v>
      </c>
      <c r="N1166">
        <v>46.981999999999999</v>
      </c>
      <c r="O1166" t="s">
        <v>6485</v>
      </c>
      <c r="P1166" t="s">
        <v>6586</v>
      </c>
      <c r="Q1166">
        <v>1.0325599999999999</v>
      </c>
      <c r="R1166" t="s">
        <v>3304</v>
      </c>
      <c r="S1166">
        <v>0.50752976027104002</v>
      </c>
    </row>
    <row r="1167" spans="8:19">
      <c r="H1167" t="s">
        <v>1401</v>
      </c>
      <c r="I1167">
        <v>66</v>
      </c>
      <c r="J1167" t="s">
        <v>548</v>
      </c>
      <c r="K1167">
        <v>220</v>
      </c>
      <c r="L1167">
        <v>1.0462000000000001E-2</v>
      </c>
      <c r="M1167">
        <v>6</v>
      </c>
      <c r="N1167">
        <v>79.751999999999995</v>
      </c>
      <c r="O1167" t="s">
        <v>6485</v>
      </c>
      <c r="P1167" t="s">
        <v>6586</v>
      </c>
      <c r="Q1167">
        <v>1.0325599999999999</v>
      </c>
      <c r="R1167" t="s">
        <v>3304</v>
      </c>
      <c r="S1167">
        <v>0.86153236220543994</v>
      </c>
    </row>
    <row r="1168" spans="8:19">
      <c r="H1168" t="s">
        <v>1401</v>
      </c>
      <c r="I1168">
        <v>66</v>
      </c>
      <c r="J1168" t="s">
        <v>1197</v>
      </c>
      <c r="K1168">
        <v>220</v>
      </c>
      <c r="L1168">
        <v>3.238E-3</v>
      </c>
      <c r="M1168">
        <v>1</v>
      </c>
      <c r="N1168">
        <v>55.825000000000003</v>
      </c>
      <c r="O1168" t="s">
        <v>6617</v>
      </c>
      <c r="P1168" t="s">
        <v>6586</v>
      </c>
      <c r="Q1168">
        <v>1.0325599999999999</v>
      </c>
      <c r="R1168" t="s">
        <v>3304</v>
      </c>
      <c r="S1168">
        <v>0.18664693955600001</v>
      </c>
    </row>
    <row r="1169" spans="8:19">
      <c r="H1169" t="s">
        <v>1401</v>
      </c>
      <c r="I1169">
        <v>66</v>
      </c>
      <c r="J1169" t="s">
        <v>1197</v>
      </c>
      <c r="K1169">
        <v>220</v>
      </c>
      <c r="L1169">
        <v>3.238E-3</v>
      </c>
      <c r="M1169">
        <v>2</v>
      </c>
      <c r="N1169">
        <v>56.061999999999998</v>
      </c>
      <c r="O1169" t="s">
        <v>6617</v>
      </c>
      <c r="P1169" t="s">
        <v>6586</v>
      </c>
      <c r="Q1169">
        <v>1.0325599999999999</v>
      </c>
      <c r="R1169" t="s">
        <v>3304</v>
      </c>
      <c r="S1169">
        <v>0.18743933229536</v>
      </c>
    </row>
    <row r="1170" spans="8:19">
      <c r="H1170" t="s">
        <v>1401</v>
      </c>
      <c r="I1170">
        <v>66</v>
      </c>
      <c r="J1170" t="s">
        <v>1197</v>
      </c>
      <c r="K1170">
        <v>220</v>
      </c>
      <c r="L1170">
        <v>3.238E-3</v>
      </c>
      <c r="M1170">
        <v>3</v>
      </c>
      <c r="N1170">
        <v>39.136000000000003</v>
      </c>
      <c r="O1170" t="s">
        <v>6617</v>
      </c>
      <c r="P1170" t="s">
        <v>6586</v>
      </c>
      <c r="Q1170">
        <v>1.0325599999999999</v>
      </c>
      <c r="R1170" t="s">
        <v>3304</v>
      </c>
      <c r="S1170">
        <v>0.13084844830208001</v>
      </c>
    </row>
    <row r="1171" spans="8:19">
      <c r="H1171" t="s">
        <v>1401</v>
      </c>
      <c r="I1171">
        <v>66</v>
      </c>
      <c r="J1171" t="s">
        <v>1197</v>
      </c>
      <c r="K1171">
        <v>220</v>
      </c>
      <c r="L1171">
        <v>3.238E-3</v>
      </c>
      <c r="M1171">
        <v>4</v>
      </c>
      <c r="N1171">
        <v>38.625</v>
      </c>
      <c r="O1171" t="s">
        <v>6617</v>
      </c>
      <c r="P1171" t="s">
        <v>6586</v>
      </c>
      <c r="Q1171">
        <v>1.0325599999999999</v>
      </c>
      <c r="R1171" t="s">
        <v>3304</v>
      </c>
      <c r="S1171">
        <v>0.12913995594</v>
      </c>
    </row>
    <row r="1172" spans="8:19">
      <c r="H1172" t="s">
        <v>1401</v>
      </c>
      <c r="I1172">
        <v>66</v>
      </c>
      <c r="J1172" t="s">
        <v>1197</v>
      </c>
      <c r="K1172">
        <v>220</v>
      </c>
      <c r="L1172">
        <v>3.238E-3</v>
      </c>
      <c r="M1172">
        <v>5</v>
      </c>
      <c r="N1172">
        <v>49.764000000000003</v>
      </c>
      <c r="O1172" t="s">
        <v>6617</v>
      </c>
      <c r="P1172" t="s">
        <v>6586</v>
      </c>
      <c r="Q1172">
        <v>1.0325599999999999</v>
      </c>
      <c r="R1172" t="s">
        <v>3304</v>
      </c>
      <c r="S1172">
        <v>0.16638241468991999</v>
      </c>
    </row>
    <row r="1173" spans="8:19">
      <c r="H1173" t="s">
        <v>1401</v>
      </c>
      <c r="I1173">
        <v>66</v>
      </c>
      <c r="J1173" t="s">
        <v>1197</v>
      </c>
      <c r="K1173">
        <v>220</v>
      </c>
      <c r="L1173">
        <v>3.238E-3</v>
      </c>
      <c r="M1173">
        <v>6</v>
      </c>
      <c r="N1173">
        <v>61.481999999999999</v>
      </c>
      <c r="O1173" t="s">
        <v>6617</v>
      </c>
      <c r="P1173" t="s">
        <v>6586</v>
      </c>
      <c r="Q1173">
        <v>1.0325599999999999</v>
      </c>
      <c r="R1173" t="s">
        <v>3304</v>
      </c>
      <c r="S1173">
        <v>0.20556071899296</v>
      </c>
    </row>
    <row r="1174" spans="8:19">
      <c r="H1174" t="s">
        <v>1401</v>
      </c>
      <c r="I1174">
        <v>66</v>
      </c>
      <c r="J1174" t="s">
        <v>1197</v>
      </c>
      <c r="K1174">
        <v>220</v>
      </c>
      <c r="L1174">
        <v>3.238E-3</v>
      </c>
      <c r="M1174">
        <v>1</v>
      </c>
      <c r="N1174">
        <v>70.069000000000003</v>
      </c>
      <c r="O1174" t="s">
        <v>6485</v>
      </c>
      <c r="P1174" t="s">
        <v>6586</v>
      </c>
      <c r="Q1174">
        <v>1.0325599999999999</v>
      </c>
      <c r="R1174" t="s">
        <v>3304</v>
      </c>
      <c r="S1174">
        <v>0.23427074622031999</v>
      </c>
    </row>
    <row r="1175" spans="8:19">
      <c r="H1175" t="s">
        <v>1401</v>
      </c>
      <c r="I1175">
        <v>66</v>
      </c>
      <c r="J1175" t="s">
        <v>1197</v>
      </c>
      <c r="K1175">
        <v>220</v>
      </c>
      <c r="L1175">
        <v>3.238E-3</v>
      </c>
      <c r="M1175">
        <v>2</v>
      </c>
      <c r="N1175">
        <v>63.207000000000001</v>
      </c>
      <c r="O1175" t="s">
        <v>6485</v>
      </c>
      <c r="P1175" t="s">
        <v>6586</v>
      </c>
      <c r="Q1175">
        <v>1.0325599999999999</v>
      </c>
      <c r="R1175" t="s">
        <v>3304</v>
      </c>
      <c r="S1175">
        <v>0.21132813450096</v>
      </c>
    </row>
    <row r="1176" spans="8:19">
      <c r="H1176" t="s">
        <v>1401</v>
      </c>
      <c r="I1176">
        <v>66</v>
      </c>
      <c r="J1176" t="s">
        <v>1197</v>
      </c>
      <c r="K1176">
        <v>220</v>
      </c>
      <c r="L1176">
        <v>3.238E-3</v>
      </c>
      <c r="M1176">
        <v>3</v>
      </c>
      <c r="N1176">
        <v>32.453000000000003</v>
      </c>
      <c r="O1176" t="s">
        <v>6485</v>
      </c>
      <c r="P1176" t="s">
        <v>6586</v>
      </c>
      <c r="Q1176">
        <v>1.0325599999999999</v>
      </c>
      <c r="R1176" t="s">
        <v>3304</v>
      </c>
      <c r="S1176">
        <v>0.10850431042384</v>
      </c>
    </row>
    <row r="1177" spans="8:19">
      <c r="H1177" t="s">
        <v>1401</v>
      </c>
      <c r="I1177">
        <v>66</v>
      </c>
      <c r="J1177" t="s">
        <v>1197</v>
      </c>
      <c r="K1177">
        <v>220</v>
      </c>
      <c r="L1177">
        <v>3.238E-3</v>
      </c>
      <c r="M1177">
        <v>4</v>
      </c>
      <c r="N1177">
        <v>30.672000000000001</v>
      </c>
      <c r="O1177" t="s">
        <v>6485</v>
      </c>
      <c r="P1177" t="s">
        <v>6586</v>
      </c>
      <c r="Q1177">
        <v>1.0325599999999999</v>
      </c>
      <c r="R1177" t="s">
        <v>3304</v>
      </c>
      <c r="S1177">
        <v>0.10254966287616001</v>
      </c>
    </row>
    <row r="1178" spans="8:19">
      <c r="H1178" t="s">
        <v>1401</v>
      </c>
      <c r="I1178">
        <v>66</v>
      </c>
      <c r="J1178" t="s">
        <v>1197</v>
      </c>
      <c r="K1178">
        <v>220</v>
      </c>
      <c r="L1178">
        <v>3.238E-3</v>
      </c>
      <c r="M1178">
        <v>5</v>
      </c>
      <c r="N1178">
        <v>51.459000000000003</v>
      </c>
      <c r="O1178" t="s">
        <v>6485</v>
      </c>
      <c r="P1178" t="s">
        <v>6586</v>
      </c>
      <c r="Q1178">
        <v>1.0325599999999999</v>
      </c>
      <c r="R1178" t="s">
        <v>3304</v>
      </c>
      <c r="S1178">
        <v>0.17204952731952</v>
      </c>
    </row>
    <row r="1179" spans="8:19">
      <c r="H1179" t="s">
        <v>1401</v>
      </c>
      <c r="I1179">
        <v>66</v>
      </c>
      <c r="J1179" t="s">
        <v>1197</v>
      </c>
      <c r="K1179">
        <v>220</v>
      </c>
      <c r="L1179">
        <v>3.238E-3</v>
      </c>
      <c r="M1179">
        <v>6</v>
      </c>
      <c r="N1179">
        <v>87.926000000000002</v>
      </c>
      <c r="O1179" t="s">
        <v>6485</v>
      </c>
      <c r="P1179" t="s">
        <v>6586</v>
      </c>
      <c r="Q1179">
        <v>1.0325599999999999</v>
      </c>
      <c r="R1179" t="s">
        <v>3304</v>
      </c>
      <c r="S1179">
        <v>0.29397436287327999</v>
      </c>
    </row>
    <row r="1180" spans="8:19">
      <c r="H1180" t="s">
        <v>1460</v>
      </c>
      <c r="I1180">
        <v>13</v>
      </c>
      <c r="J1180" t="s">
        <v>9</v>
      </c>
      <c r="K1180">
        <v>220</v>
      </c>
      <c r="L1180">
        <v>0.37229899999999999</v>
      </c>
      <c r="M1180">
        <v>1</v>
      </c>
      <c r="N1180">
        <v>55.936</v>
      </c>
      <c r="O1180" t="s">
        <v>6617</v>
      </c>
      <c r="P1180" t="s">
        <v>6586</v>
      </c>
      <c r="Q1180">
        <v>1.0325599999999999</v>
      </c>
      <c r="R1180" t="s">
        <v>3304</v>
      </c>
      <c r="S1180">
        <v>21.50297615709184</v>
      </c>
    </row>
    <row r="1181" spans="8:19">
      <c r="H1181" t="s">
        <v>1460</v>
      </c>
      <c r="I1181">
        <v>13</v>
      </c>
      <c r="J1181" t="s">
        <v>9</v>
      </c>
      <c r="K1181">
        <v>220</v>
      </c>
      <c r="L1181">
        <v>0.37229899999999999</v>
      </c>
      <c r="M1181">
        <v>2</v>
      </c>
      <c r="N1181">
        <v>56.033999999999999</v>
      </c>
      <c r="O1181" t="s">
        <v>6617</v>
      </c>
      <c r="P1181" t="s">
        <v>6586</v>
      </c>
      <c r="Q1181">
        <v>1.0325599999999999</v>
      </c>
      <c r="R1181" t="s">
        <v>3304</v>
      </c>
      <c r="S1181">
        <v>21.540649420524961</v>
      </c>
    </row>
    <row r="1182" spans="8:19">
      <c r="H1182" t="s">
        <v>1460</v>
      </c>
      <c r="I1182">
        <v>13</v>
      </c>
      <c r="J1182" t="s">
        <v>9</v>
      </c>
      <c r="K1182">
        <v>220</v>
      </c>
      <c r="L1182">
        <v>0.37229899999999999</v>
      </c>
      <c r="M1182">
        <v>3</v>
      </c>
      <c r="N1182">
        <v>39.116999999999997</v>
      </c>
      <c r="O1182" t="s">
        <v>6617</v>
      </c>
      <c r="P1182" t="s">
        <v>6586</v>
      </c>
      <c r="Q1182">
        <v>1.0325599999999999</v>
      </c>
      <c r="R1182" t="s">
        <v>3304</v>
      </c>
      <c r="S1182">
        <v>15.037398425646479</v>
      </c>
    </row>
    <row r="1183" spans="8:19">
      <c r="H1183" t="s">
        <v>1460</v>
      </c>
      <c r="I1183">
        <v>13</v>
      </c>
      <c r="J1183" t="s">
        <v>9</v>
      </c>
      <c r="K1183">
        <v>220</v>
      </c>
      <c r="L1183">
        <v>0.37229899999999999</v>
      </c>
      <c r="M1183">
        <v>4</v>
      </c>
      <c r="N1183">
        <v>38.668999999999997</v>
      </c>
      <c r="O1183" t="s">
        <v>6617</v>
      </c>
      <c r="P1183" t="s">
        <v>6586</v>
      </c>
      <c r="Q1183">
        <v>1.0325599999999999</v>
      </c>
      <c r="R1183" t="s">
        <v>3304</v>
      </c>
      <c r="S1183">
        <v>14.86517779280936</v>
      </c>
    </row>
    <row r="1184" spans="8:19">
      <c r="H1184" t="s">
        <v>1460</v>
      </c>
      <c r="I1184">
        <v>13</v>
      </c>
      <c r="J1184" t="s">
        <v>9</v>
      </c>
      <c r="K1184">
        <v>220</v>
      </c>
      <c r="L1184">
        <v>0.37229899999999999</v>
      </c>
      <c r="M1184">
        <v>5</v>
      </c>
      <c r="N1184">
        <v>51.475999999999999</v>
      </c>
      <c r="O1184" t="s">
        <v>6617</v>
      </c>
      <c r="P1184" t="s">
        <v>6586</v>
      </c>
      <c r="Q1184">
        <v>1.0325599999999999</v>
      </c>
      <c r="R1184" t="s">
        <v>3304</v>
      </c>
      <c r="S1184">
        <v>19.788458249829439</v>
      </c>
    </row>
    <row r="1185" spans="8:19">
      <c r="H1185" t="s">
        <v>1460</v>
      </c>
      <c r="I1185">
        <v>13</v>
      </c>
      <c r="J1185" t="s">
        <v>9</v>
      </c>
      <c r="K1185">
        <v>220</v>
      </c>
      <c r="L1185">
        <v>0.37229899999999999</v>
      </c>
      <c r="M1185">
        <v>6</v>
      </c>
      <c r="N1185">
        <v>62.256999999999998</v>
      </c>
      <c r="O1185" t="s">
        <v>6617</v>
      </c>
      <c r="P1185" t="s">
        <v>6586</v>
      </c>
      <c r="Q1185">
        <v>1.0325599999999999</v>
      </c>
      <c r="R1185" t="s">
        <v>3304</v>
      </c>
      <c r="S1185">
        <v>23.93290164852808</v>
      </c>
    </row>
    <row r="1186" spans="8:19">
      <c r="H1186" t="s">
        <v>1460</v>
      </c>
      <c r="I1186">
        <v>13</v>
      </c>
      <c r="J1186" t="s">
        <v>9</v>
      </c>
      <c r="K1186">
        <v>220</v>
      </c>
      <c r="L1186">
        <v>0.37229899999999999</v>
      </c>
      <c r="M1186">
        <v>1</v>
      </c>
      <c r="N1186">
        <v>69.262</v>
      </c>
      <c r="O1186" t="s">
        <v>6485</v>
      </c>
      <c r="P1186" t="s">
        <v>6586</v>
      </c>
      <c r="Q1186">
        <v>1.0325599999999999</v>
      </c>
      <c r="R1186" t="s">
        <v>3304</v>
      </c>
      <c r="S1186">
        <v>26.625771141885281</v>
      </c>
    </row>
    <row r="1187" spans="8:19">
      <c r="H1187" t="s">
        <v>1460</v>
      </c>
      <c r="I1187">
        <v>13</v>
      </c>
      <c r="J1187" t="s">
        <v>9</v>
      </c>
      <c r="K1187">
        <v>220</v>
      </c>
      <c r="L1187">
        <v>0.37229899999999999</v>
      </c>
      <c r="M1187">
        <v>2</v>
      </c>
      <c r="N1187">
        <v>62.783000000000001</v>
      </c>
      <c r="O1187" t="s">
        <v>6485</v>
      </c>
      <c r="P1187" t="s">
        <v>6586</v>
      </c>
      <c r="Q1187">
        <v>1.0325599999999999</v>
      </c>
      <c r="R1187" t="s">
        <v>3304</v>
      </c>
      <c r="S1187">
        <v>24.135107123689519</v>
      </c>
    </row>
    <row r="1188" spans="8:19">
      <c r="H1188" t="s">
        <v>1460</v>
      </c>
      <c r="I1188">
        <v>13</v>
      </c>
      <c r="J1188" t="s">
        <v>9</v>
      </c>
      <c r="K1188">
        <v>220</v>
      </c>
      <c r="L1188">
        <v>0.37229899999999999</v>
      </c>
      <c r="M1188">
        <v>3</v>
      </c>
      <c r="N1188">
        <v>32.915999999999997</v>
      </c>
      <c r="O1188" t="s">
        <v>6485</v>
      </c>
      <c r="P1188" t="s">
        <v>6586</v>
      </c>
      <c r="Q1188">
        <v>1.0325599999999999</v>
      </c>
      <c r="R1188" t="s">
        <v>3304</v>
      </c>
      <c r="S1188">
        <v>12.653603460863041</v>
      </c>
    </row>
    <row r="1189" spans="8:19">
      <c r="H1189" t="s">
        <v>1460</v>
      </c>
      <c r="I1189">
        <v>13</v>
      </c>
      <c r="J1189" t="s">
        <v>9</v>
      </c>
      <c r="K1189">
        <v>220</v>
      </c>
      <c r="L1189">
        <v>0.37229899999999999</v>
      </c>
      <c r="M1189">
        <v>4</v>
      </c>
      <c r="N1189">
        <v>32.179000000000002</v>
      </c>
      <c r="O1189" t="s">
        <v>6485</v>
      </c>
      <c r="P1189" t="s">
        <v>6586</v>
      </c>
      <c r="Q1189">
        <v>1.0325599999999999</v>
      </c>
      <c r="R1189" t="s">
        <v>3304</v>
      </c>
      <c r="S1189">
        <v>12.370285143003761</v>
      </c>
    </row>
    <row r="1190" spans="8:19">
      <c r="H1190" t="s">
        <v>1460</v>
      </c>
      <c r="I1190">
        <v>13</v>
      </c>
      <c r="J1190" t="s">
        <v>9</v>
      </c>
      <c r="K1190">
        <v>220</v>
      </c>
      <c r="L1190">
        <v>0.37229899999999999</v>
      </c>
      <c r="M1190">
        <v>5</v>
      </c>
      <c r="N1190">
        <v>54.389000000000003</v>
      </c>
      <c r="O1190" t="s">
        <v>6485</v>
      </c>
      <c r="P1190" t="s">
        <v>6586</v>
      </c>
      <c r="Q1190">
        <v>1.0325599999999999</v>
      </c>
      <c r="R1190" t="s">
        <v>3304</v>
      </c>
      <c r="S1190">
        <v>20.908276784326159</v>
      </c>
    </row>
    <row r="1191" spans="8:19">
      <c r="H1191" t="s">
        <v>1460</v>
      </c>
      <c r="I1191">
        <v>13</v>
      </c>
      <c r="J1191" t="s">
        <v>9</v>
      </c>
      <c r="K1191">
        <v>220</v>
      </c>
      <c r="L1191">
        <v>0.37229899999999999</v>
      </c>
      <c r="M1191">
        <v>6</v>
      </c>
      <c r="N1191">
        <v>88.427000000000007</v>
      </c>
      <c r="O1191" t="s">
        <v>6485</v>
      </c>
      <c r="P1191" t="s">
        <v>6586</v>
      </c>
      <c r="Q1191">
        <v>1.0325599999999999</v>
      </c>
      <c r="R1191" t="s">
        <v>3304</v>
      </c>
      <c r="S1191">
        <v>33.993200669392877</v>
      </c>
    </row>
    <row r="1192" spans="8:19">
      <c r="H1192" t="s">
        <v>1460</v>
      </c>
      <c r="I1192">
        <v>13</v>
      </c>
      <c r="J1192" t="s">
        <v>14</v>
      </c>
      <c r="K1192">
        <v>220</v>
      </c>
      <c r="L1192">
        <v>4.8929999999999998E-3</v>
      </c>
      <c r="M1192">
        <v>1</v>
      </c>
      <c r="N1192">
        <v>56.027999999999999</v>
      </c>
      <c r="O1192" t="s">
        <v>6617</v>
      </c>
      <c r="P1192" t="s">
        <v>6586</v>
      </c>
      <c r="Q1192">
        <v>1.0325599999999999</v>
      </c>
      <c r="R1192" t="s">
        <v>3304</v>
      </c>
      <c r="S1192">
        <v>0.28307116533024002</v>
      </c>
    </row>
    <row r="1193" spans="8:19">
      <c r="H1193" t="s">
        <v>1460</v>
      </c>
      <c r="I1193">
        <v>13</v>
      </c>
      <c r="J1193" t="s">
        <v>14</v>
      </c>
      <c r="K1193">
        <v>220</v>
      </c>
      <c r="L1193">
        <v>4.8929999999999998E-3</v>
      </c>
      <c r="M1193">
        <v>2</v>
      </c>
      <c r="N1193">
        <v>56.122999999999998</v>
      </c>
      <c r="O1193" t="s">
        <v>6617</v>
      </c>
      <c r="P1193" t="s">
        <v>6586</v>
      </c>
      <c r="Q1193">
        <v>1.0325599999999999</v>
      </c>
      <c r="R1193" t="s">
        <v>3304</v>
      </c>
      <c r="S1193">
        <v>0.28355113535783988</v>
      </c>
    </row>
    <row r="1194" spans="8:19">
      <c r="H1194" t="s">
        <v>1460</v>
      </c>
      <c r="I1194">
        <v>13</v>
      </c>
      <c r="J1194" t="s">
        <v>14</v>
      </c>
      <c r="K1194">
        <v>220</v>
      </c>
      <c r="L1194">
        <v>4.8929999999999998E-3</v>
      </c>
      <c r="M1194">
        <v>3</v>
      </c>
      <c r="N1194">
        <v>39.145000000000003</v>
      </c>
      <c r="O1194" t="s">
        <v>6617</v>
      </c>
      <c r="P1194" t="s">
        <v>6586</v>
      </c>
      <c r="Q1194">
        <v>1.0325599999999999</v>
      </c>
      <c r="R1194" t="s">
        <v>3304</v>
      </c>
      <c r="S1194">
        <v>0.19777291295159999</v>
      </c>
    </row>
    <row r="1195" spans="8:19">
      <c r="H1195" t="s">
        <v>1460</v>
      </c>
      <c r="I1195">
        <v>13</v>
      </c>
      <c r="J1195" t="s">
        <v>14</v>
      </c>
      <c r="K1195">
        <v>220</v>
      </c>
      <c r="L1195">
        <v>4.8929999999999998E-3</v>
      </c>
      <c r="M1195">
        <v>4</v>
      </c>
      <c r="N1195">
        <v>38.646999999999998</v>
      </c>
      <c r="O1195" t="s">
        <v>6617</v>
      </c>
      <c r="P1195" t="s">
        <v>6586</v>
      </c>
      <c r="Q1195">
        <v>1.0325599999999999</v>
      </c>
      <c r="R1195" t="s">
        <v>3304</v>
      </c>
      <c r="S1195">
        <v>0.19525685954375999</v>
      </c>
    </row>
    <row r="1196" spans="8:19">
      <c r="H1196" t="s">
        <v>1460</v>
      </c>
      <c r="I1196">
        <v>13</v>
      </c>
      <c r="J1196" t="s">
        <v>14</v>
      </c>
      <c r="K1196">
        <v>220</v>
      </c>
      <c r="L1196">
        <v>4.8929999999999998E-3</v>
      </c>
      <c r="M1196">
        <v>5</v>
      </c>
      <c r="N1196">
        <v>49.831000000000003</v>
      </c>
      <c r="O1196" t="s">
        <v>6617</v>
      </c>
      <c r="P1196" t="s">
        <v>6586</v>
      </c>
      <c r="Q1196">
        <v>1.0325599999999999</v>
      </c>
      <c r="R1196" t="s">
        <v>3304</v>
      </c>
      <c r="S1196">
        <v>0.25176196258248001</v>
      </c>
    </row>
    <row r="1197" spans="8:19">
      <c r="H1197" t="s">
        <v>1460</v>
      </c>
      <c r="I1197">
        <v>13</v>
      </c>
      <c r="J1197" t="s">
        <v>14</v>
      </c>
      <c r="K1197">
        <v>220</v>
      </c>
      <c r="L1197">
        <v>4.8929999999999998E-3</v>
      </c>
      <c r="M1197">
        <v>6</v>
      </c>
      <c r="N1197">
        <v>61.533000000000001</v>
      </c>
      <c r="O1197" t="s">
        <v>6617</v>
      </c>
      <c r="P1197" t="s">
        <v>6586</v>
      </c>
      <c r="Q1197">
        <v>1.0325599999999999</v>
      </c>
      <c r="R1197" t="s">
        <v>3304</v>
      </c>
      <c r="S1197">
        <v>0.31088416535064001</v>
      </c>
    </row>
    <row r="1198" spans="8:19">
      <c r="H1198" t="s">
        <v>1460</v>
      </c>
      <c r="I1198">
        <v>13</v>
      </c>
      <c r="J1198" t="s">
        <v>14</v>
      </c>
      <c r="K1198">
        <v>220</v>
      </c>
      <c r="L1198">
        <v>4.8929999999999998E-3</v>
      </c>
      <c r="M1198">
        <v>1</v>
      </c>
      <c r="N1198">
        <v>70.548000000000002</v>
      </c>
      <c r="O1198" t="s">
        <v>6485</v>
      </c>
      <c r="P1198" t="s">
        <v>6586</v>
      </c>
      <c r="Q1198">
        <v>1.0325599999999999</v>
      </c>
      <c r="R1198" t="s">
        <v>3304</v>
      </c>
      <c r="S1198">
        <v>0.35643079481183998</v>
      </c>
    </row>
    <row r="1199" spans="8:19">
      <c r="H1199" t="s">
        <v>1460</v>
      </c>
      <c r="I1199">
        <v>13</v>
      </c>
      <c r="J1199" t="s">
        <v>14</v>
      </c>
      <c r="K1199">
        <v>220</v>
      </c>
      <c r="L1199">
        <v>4.8929999999999998E-3</v>
      </c>
      <c r="M1199">
        <v>2</v>
      </c>
      <c r="N1199">
        <v>63.55</v>
      </c>
      <c r="O1199" t="s">
        <v>6485</v>
      </c>
      <c r="P1199" t="s">
        <v>6586</v>
      </c>
      <c r="Q1199">
        <v>1.0325599999999999</v>
      </c>
      <c r="R1199" t="s">
        <v>3304</v>
      </c>
      <c r="S1199">
        <v>0.32107468688399998</v>
      </c>
    </row>
    <row r="1200" spans="8:19">
      <c r="H1200" t="s">
        <v>1460</v>
      </c>
      <c r="I1200">
        <v>13</v>
      </c>
      <c r="J1200" t="s">
        <v>14</v>
      </c>
      <c r="K1200">
        <v>220</v>
      </c>
      <c r="L1200">
        <v>4.8929999999999998E-3</v>
      </c>
      <c r="M1200">
        <v>3</v>
      </c>
      <c r="N1200">
        <v>32.978000000000002</v>
      </c>
      <c r="O1200" t="s">
        <v>6485</v>
      </c>
      <c r="P1200" t="s">
        <v>6586</v>
      </c>
      <c r="Q1200">
        <v>1.0325599999999999</v>
      </c>
      <c r="R1200" t="s">
        <v>3304</v>
      </c>
      <c r="S1200">
        <v>0.16661527968623999</v>
      </c>
    </row>
    <row r="1201" spans="8:19">
      <c r="H1201" t="s">
        <v>1460</v>
      </c>
      <c r="I1201">
        <v>13</v>
      </c>
      <c r="J1201" t="s">
        <v>14</v>
      </c>
      <c r="K1201">
        <v>220</v>
      </c>
      <c r="L1201">
        <v>4.8929999999999998E-3</v>
      </c>
      <c r="M1201">
        <v>4</v>
      </c>
      <c r="N1201">
        <v>31.867000000000001</v>
      </c>
      <c r="O1201" t="s">
        <v>6485</v>
      </c>
      <c r="P1201" t="s">
        <v>6586</v>
      </c>
      <c r="Q1201">
        <v>1.0325599999999999</v>
      </c>
      <c r="R1201" t="s">
        <v>3304</v>
      </c>
      <c r="S1201">
        <v>0.16100215652135999</v>
      </c>
    </row>
    <row r="1202" spans="8:19">
      <c r="H1202" t="s">
        <v>1460</v>
      </c>
      <c r="I1202">
        <v>13</v>
      </c>
      <c r="J1202" t="s">
        <v>14</v>
      </c>
      <c r="K1202">
        <v>220</v>
      </c>
      <c r="L1202">
        <v>4.8929999999999998E-3</v>
      </c>
      <c r="M1202">
        <v>5</v>
      </c>
      <c r="N1202">
        <v>51.658000000000001</v>
      </c>
      <c r="O1202" t="s">
        <v>6485</v>
      </c>
      <c r="P1202" t="s">
        <v>6586</v>
      </c>
      <c r="Q1202">
        <v>1.0325599999999999</v>
      </c>
      <c r="R1202" t="s">
        <v>3304</v>
      </c>
      <c r="S1202">
        <v>0.26099254406063999</v>
      </c>
    </row>
    <row r="1203" spans="8:19">
      <c r="H1203" t="s">
        <v>1460</v>
      </c>
      <c r="I1203">
        <v>13</v>
      </c>
      <c r="J1203" t="s">
        <v>14</v>
      </c>
      <c r="K1203">
        <v>220</v>
      </c>
      <c r="L1203">
        <v>4.8929999999999998E-3</v>
      </c>
      <c r="M1203">
        <v>6</v>
      </c>
      <c r="N1203">
        <v>88.040999999999997</v>
      </c>
      <c r="O1203" t="s">
        <v>6485</v>
      </c>
      <c r="P1203" t="s">
        <v>6586</v>
      </c>
      <c r="Q1203">
        <v>1.0325599999999999</v>
      </c>
      <c r="R1203" t="s">
        <v>3304</v>
      </c>
      <c r="S1203">
        <v>0.44481095999927989</v>
      </c>
    </row>
    <row r="1204" spans="8:19">
      <c r="H1204" t="s">
        <v>1460</v>
      </c>
      <c r="I1204">
        <v>13</v>
      </c>
      <c r="J1204" t="s">
        <v>248</v>
      </c>
      <c r="K1204">
        <v>220</v>
      </c>
      <c r="L1204">
        <v>2.3195E-2</v>
      </c>
      <c r="M1204">
        <v>1</v>
      </c>
      <c r="N1204">
        <v>54.328000000000003</v>
      </c>
      <c r="O1204" t="s">
        <v>6617</v>
      </c>
      <c r="P1204" t="s">
        <v>6586</v>
      </c>
      <c r="Q1204">
        <v>1.0325599999999999</v>
      </c>
      <c r="R1204" t="s">
        <v>3304</v>
      </c>
      <c r="S1204">
        <v>1.3011680519776001</v>
      </c>
    </row>
    <row r="1205" spans="8:19">
      <c r="H1205" t="s">
        <v>1460</v>
      </c>
      <c r="I1205">
        <v>13</v>
      </c>
      <c r="J1205" t="s">
        <v>248</v>
      </c>
      <c r="K1205">
        <v>220</v>
      </c>
      <c r="L1205">
        <v>2.3195E-2</v>
      </c>
      <c r="M1205">
        <v>2</v>
      </c>
      <c r="N1205">
        <v>54.436999999999998</v>
      </c>
      <c r="O1205" t="s">
        <v>6617</v>
      </c>
      <c r="P1205" t="s">
        <v>6586</v>
      </c>
      <c r="Q1205">
        <v>1.0325599999999999</v>
      </c>
      <c r="R1205" t="s">
        <v>3304</v>
      </c>
      <c r="S1205">
        <v>1.3037786269603999</v>
      </c>
    </row>
    <row r="1206" spans="8:19">
      <c r="H1206" t="s">
        <v>1460</v>
      </c>
      <c r="I1206">
        <v>13</v>
      </c>
      <c r="J1206" t="s">
        <v>248</v>
      </c>
      <c r="K1206">
        <v>220</v>
      </c>
      <c r="L1206">
        <v>2.3195E-2</v>
      </c>
      <c r="M1206">
        <v>3</v>
      </c>
      <c r="N1206">
        <v>39.161000000000001</v>
      </c>
      <c r="O1206" t="s">
        <v>6617</v>
      </c>
      <c r="P1206" t="s">
        <v>6586</v>
      </c>
      <c r="Q1206">
        <v>1.0325599999999999</v>
      </c>
      <c r="R1206" t="s">
        <v>3304</v>
      </c>
      <c r="S1206">
        <v>0.93791492570119994</v>
      </c>
    </row>
    <row r="1207" spans="8:19">
      <c r="H1207" t="s">
        <v>1460</v>
      </c>
      <c r="I1207">
        <v>13</v>
      </c>
      <c r="J1207" t="s">
        <v>248</v>
      </c>
      <c r="K1207">
        <v>220</v>
      </c>
      <c r="L1207">
        <v>2.3195E-2</v>
      </c>
      <c r="M1207">
        <v>4</v>
      </c>
      <c r="N1207">
        <v>38.674999999999997</v>
      </c>
      <c r="O1207" t="s">
        <v>6617</v>
      </c>
      <c r="P1207" t="s">
        <v>6586</v>
      </c>
      <c r="Q1207">
        <v>1.0325599999999999</v>
      </c>
      <c r="R1207" t="s">
        <v>3304</v>
      </c>
      <c r="S1207">
        <v>0.92627511430999987</v>
      </c>
    </row>
    <row r="1208" spans="8:19">
      <c r="H1208" t="s">
        <v>1460</v>
      </c>
      <c r="I1208">
        <v>13</v>
      </c>
      <c r="J1208" t="s">
        <v>248</v>
      </c>
      <c r="K1208">
        <v>220</v>
      </c>
      <c r="L1208">
        <v>2.3195E-2</v>
      </c>
      <c r="M1208">
        <v>5</v>
      </c>
      <c r="N1208">
        <v>49.055</v>
      </c>
      <c r="O1208" t="s">
        <v>6617</v>
      </c>
      <c r="P1208" t="s">
        <v>6586</v>
      </c>
      <c r="Q1208">
        <v>1.0325599999999999</v>
      </c>
      <c r="R1208" t="s">
        <v>3304</v>
      </c>
      <c r="S1208">
        <v>1.1748784934059999</v>
      </c>
    </row>
    <row r="1209" spans="8:19">
      <c r="H1209" t="s">
        <v>1460</v>
      </c>
      <c r="I1209">
        <v>13</v>
      </c>
      <c r="J1209" t="s">
        <v>248</v>
      </c>
      <c r="K1209">
        <v>220</v>
      </c>
      <c r="L1209">
        <v>2.3195E-2</v>
      </c>
      <c r="M1209">
        <v>6</v>
      </c>
      <c r="N1209">
        <v>58.87</v>
      </c>
      <c r="O1209" t="s">
        <v>6617</v>
      </c>
      <c r="P1209" t="s">
        <v>6586</v>
      </c>
      <c r="Q1209">
        <v>1.0325599999999999</v>
      </c>
      <c r="R1209" t="s">
        <v>3304</v>
      </c>
      <c r="S1209">
        <v>1.409949993004</v>
      </c>
    </row>
    <row r="1210" spans="8:19">
      <c r="H1210" t="s">
        <v>1460</v>
      </c>
      <c r="I1210">
        <v>13</v>
      </c>
      <c r="J1210" t="s">
        <v>248</v>
      </c>
      <c r="K1210">
        <v>220</v>
      </c>
      <c r="L1210">
        <v>2.3195E-2</v>
      </c>
      <c r="M1210">
        <v>1</v>
      </c>
      <c r="N1210">
        <v>65.05</v>
      </c>
      <c r="O1210" t="s">
        <v>6485</v>
      </c>
      <c r="P1210" t="s">
        <v>6586</v>
      </c>
      <c r="Q1210">
        <v>1.0325599999999999</v>
      </c>
      <c r="R1210" t="s">
        <v>3304</v>
      </c>
      <c r="S1210">
        <v>1.55796240946</v>
      </c>
    </row>
    <row r="1211" spans="8:19">
      <c r="H1211" t="s">
        <v>1460</v>
      </c>
      <c r="I1211">
        <v>13</v>
      </c>
      <c r="J1211" t="s">
        <v>248</v>
      </c>
      <c r="K1211">
        <v>220</v>
      </c>
      <c r="L1211">
        <v>2.3195E-2</v>
      </c>
      <c r="M1211">
        <v>2</v>
      </c>
      <c r="N1211">
        <v>60.055999999999997</v>
      </c>
      <c r="O1211" t="s">
        <v>6485</v>
      </c>
      <c r="P1211" t="s">
        <v>6586</v>
      </c>
      <c r="Q1211">
        <v>1.0325599999999999</v>
      </c>
      <c r="R1211" t="s">
        <v>3304</v>
      </c>
      <c r="S1211">
        <v>1.4383549648352001</v>
      </c>
    </row>
    <row r="1212" spans="8:19">
      <c r="H1212" t="s">
        <v>1460</v>
      </c>
      <c r="I1212">
        <v>13</v>
      </c>
      <c r="J1212" t="s">
        <v>248</v>
      </c>
      <c r="K1212">
        <v>220</v>
      </c>
      <c r="L1212">
        <v>2.3195E-2</v>
      </c>
      <c r="M1212">
        <v>3</v>
      </c>
      <c r="N1212">
        <v>33.075000000000003</v>
      </c>
      <c r="O1212" t="s">
        <v>6485</v>
      </c>
      <c r="P1212" t="s">
        <v>6586</v>
      </c>
      <c r="Q1212">
        <v>1.0325599999999999</v>
      </c>
      <c r="R1212" t="s">
        <v>3304</v>
      </c>
      <c r="S1212">
        <v>0.79215383079000001</v>
      </c>
    </row>
    <row r="1213" spans="8:19">
      <c r="H1213" t="s">
        <v>1460</v>
      </c>
      <c r="I1213">
        <v>13</v>
      </c>
      <c r="J1213" t="s">
        <v>248</v>
      </c>
      <c r="K1213">
        <v>220</v>
      </c>
      <c r="L1213">
        <v>2.3195E-2</v>
      </c>
      <c r="M1213">
        <v>4</v>
      </c>
      <c r="N1213">
        <v>32.075000000000003</v>
      </c>
      <c r="O1213" t="s">
        <v>6485</v>
      </c>
      <c r="P1213" t="s">
        <v>6586</v>
      </c>
      <c r="Q1213">
        <v>1.0325599999999999</v>
      </c>
      <c r="R1213" t="s">
        <v>3304</v>
      </c>
      <c r="S1213">
        <v>0.76820360159000001</v>
      </c>
    </row>
    <row r="1214" spans="8:19">
      <c r="H1214" t="s">
        <v>1460</v>
      </c>
      <c r="I1214">
        <v>13</v>
      </c>
      <c r="J1214" t="s">
        <v>248</v>
      </c>
      <c r="K1214">
        <v>220</v>
      </c>
      <c r="L1214">
        <v>2.3195E-2</v>
      </c>
      <c r="M1214">
        <v>5</v>
      </c>
      <c r="N1214">
        <v>50.77</v>
      </c>
      <c r="O1214" t="s">
        <v>6485</v>
      </c>
      <c r="P1214" t="s">
        <v>6586</v>
      </c>
      <c r="Q1214">
        <v>1.0325599999999999</v>
      </c>
      <c r="R1214" t="s">
        <v>3304</v>
      </c>
      <c r="S1214">
        <v>1.2159531364839999</v>
      </c>
    </row>
    <row r="1215" spans="8:19">
      <c r="H1215" t="s">
        <v>1460</v>
      </c>
      <c r="I1215">
        <v>13</v>
      </c>
      <c r="J1215" t="s">
        <v>248</v>
      </c>
      <c r="K1215">
        <v>220</v>
      </c>
      <c r="L1215">
        <v>2.3195E-2</v>
      </c>
      <c r="M1215">
        <v>6</v>
      </c>
      <c r="N1215">
        <v>78.662999999999997</v>
      </c>
      <c r="O1215" t="s">
        <v>6485</v>
      </c>
      <c r="P1215" t="s">
        <v>6586</v>
      </c>
      <c r="Q1215">
        <v>1.0325599999999999</v>
      </c>
      <c r="R1215" t="s">
        <v>3304</v>
      </c>
      <c r="S1215">
        <v>1.8839968795596</v>
      </c>
    </row>
    <row r="1216" spans="8:19">
      <c r="H1216" t="s">
        <v>1460</v>
      </c>
      <c r="I1216">
        <v>13</v>
      </c>
      <c r="J1216" t="s">
        <v>548</v>
      </c>
      <c r="K1216">
        <v>220</v>
      </c>
      <c r="L1216">
        <v>0.59764799999999996</v>
      </c>
      <c r="M1216">
        <v>1</v>
      </c>
      <c r="N1216">
        <v>55.128</v>
      </c>
      <c r="O1216" t="s">
        <v>6617</v>
      </c>
      <c r="P1216" t="s">
        <v>6586</v>
      </c>
      <c r="Q1216">
        <v>1.0325599999999999</v>
      </c>
      <c r="R1216" t="s">
        <v>3304</v>
      </c>
      <c r="S1216">
        <v>34.019897788016642</v>
      </c>
    </row>
    <row r="1217" spans="8:19">
      <c r="H1217" t="s">
        <v>1460</v>
      </c>
      <c r="I1217">
        <v>13</v>
      </c>
      <c r="J1217" t="s">
        <v>548</v>
      </c>
      <c r="K1217">
        <v>220</v>
      </c>
      <c r="L1217">
        <v>0.59764799999999996</v>
      </c>
      <c r="M1217">
        <v>2</v>
      </c>
      <c r="N1217">
        <v>55.256999999999998</v>
      </c>
      <c r="O1217" t="s">
        <v>6617</v>
      </c>
      <c r="P1217" t="s">
        <v>6586</v>
      </c>
      <c r="Q1217">
        <v>1.0325599999999999</v>
      </c>
      <c r="R1217" t="s">
        <v>3304</v>
      </c>
      <c r="S1217">
        <v>34.099504645052157</v>
      </c>
    </row>
    <row r="1218" spans="8:19">
      <c r="H1218" t="s">
        <v>1460</v>
      </c>
      <c r="I1218">
        <v>13</v>
      </c>
      <c r="J1218" t="s">
        <v>548</v>
      </c>
      <c r="K1218">
        <v>220</v>
      </c>
      <c r="L1218">
        <v>0.59764799999999996</v>
      </c>
      <c r="M1218">
        <v>3</v>
      </c>
      <c r="N1218">
        <v>39.152000000000001</v>
      </c>
      <c r="O1218" t="s">
        <v>6617</v>
      </c>
      <c r="P1218" t="s">
        <v>6586</v>
      </c>
      <c r="Q1218">
        <v>1.0325599999999999</v>
      </c>
      <c r="R1218" t="s">
        <v>3304</v>
      </c>
      <c r="S1218">
        <v>24.16098966398976</v>
      </c>
    </row>
    <row r="1219" spans="8:19">
      <c r="H1219" t="s">
        <v>1460</v>
      </c>
      <c r="I1219">
        <v>13</v>
      </c>
      <c r="J1219" t="s">
        <v>548</v>
      </c>
      <c r="K1219">
        <v>220</v>
      </c>
      <c r="L1219">
        <v>0.59764799999999996</v>
      </c>
      <c r="M1219">
        <v>4</v>
      </c>
      <c r="N1219">
        <v>38.615000000000002</v>
      </c>
      <c r="O1219" t="s">
        <v>6617</v>
      </c>
      <c r="P1219" t="s">
        <v>6586</v>
      </c>
      <c r="Q1219">
        <v>1.0325599999999999</v>
      </c>
      <c r="R1219" t="s">
        <v>3304</v>
      </c>
      <c r="S1219">
        <v>23.829602980051199</v>
      </c>
    </row>
    <row r="1220" spans="8:19">
      <c r="H1220" t="s">
        <v>1460</v>
      </c>
      <c r="I1220">
        <v>13</v>
      </c>
      <c r="J1220" t="s">
        <v>548</v>
      </c>
      <c r="K1220">
        <v>220</v>
      </c>
      <c r="L1220">
        <v>0.59764799999999996</v>
      </c>
      <c r="M1220">
        <v>5</v>
      </c>
      <c r="N1220">
        <v>46.902000000000001</v>
      </c>
      <c r="O1220" t="s">
        <v>6617</v>
      </c>
      <c r="P1220" t="s">
        <v>6586</v>
      </c>
      <c r="Q1220">
        <v>1.0325599999999999</v>
      </c>
      <c r="R1220" t="s">
        <v>3304</v>
      </c>
      <c r="S1220">
        <v>28.94357216030976</v>
      </c>
    </row>
    <row r="1221" spans="8:19">
      <c r="H1221" t="s">
        <v>1460</v>
      </c>
      <c r="I1221">
        <v>13</v>
      </c>
      <c r="J1221" t="s">
        <v>548</v>
      </c>
      <c r="K1221">
        <v>220</v>
      </c>
      <c r="L1221">
        <v>0.59764799999999996</v>
      </c>
      <c r="M1221">
        <v>6</v>
      </c>
      <c r="N1221">
        <v>58.256</v>
      </c>
      <c r="O1221" t="s">
        <v>6617</v>
      </c>
      <c r="P1221" t="s">
        <v>6586</v>
      </c>
      <c r="Q1221">
        <v>1.0325599999999999</v>
      </c>
      <c r="R1221" t="s">
        <v>3304</v>
      </c>
      <c r="S1221">
        <v>35.95020979427327</v>
      </c>
    </row>
    <row r="1222" spans="8:19">
      <c r="H1222" t="s">
        <v>1460</v>
      </c>
      <c r="I1222">
        <v>13</v>
      </c>
      <c r="J1222" t="s">
        <v>548</v>
      </c>
      <c r="K1222">
        <v>220</v>
      </c>
      <c r="L1222">
        <v>0.59764799999999996</v>
      </c>
      <c r="M1222">
        <v>1</v>
      </c>
      <c r="N1222">
        <v>66.899000000000001</v>
      </c>
      <c r="O1222" t="s">
        <v>6485</v>
      </c>
      <c r="P1222" t="s">
        <v>6586</v>
      </c>
      <c r="Q1222">
        <v>1.0325599999999999</v>
      </c>
      <c r="R1222" t="s">
        <v>3304</v>
      </c>
      <c r="S1222">
        <v>41.283869215653112</v>
      </c>
    </row>
    <row r="1223" spans="8:19">
      <c r="H1223" t="s">
        <v>1460</v>
      </c>
      <c r="I1223">
        <v>13</v>
      </c>
      <c r="J1223" t="s">
        <v>548</v>
      </c>
      <c r="K1223">
        <v>220</v>
      </c>
      <c r="L1223">
        <v>0.59764799999999996</v>
      </c>
      <c r="M1223">
        <v>2</v>
      </c>
      <c r="N1223">
        <v>61.454000000000001</v>
      </c>
      <c r="O1223" t="s">
        <v>6485</v>
      </c>
      <c r="P1223" t="s">
        <v>6586</v>
      </c>
      <c r="Q1223">
        <v>1.0325599999999999</v>
      </c>
      <c r="R1223" t="s">
        <v>3304</v>
      </c>
      <c r="S1223">
        <v>37.923719319851507</v>
      </c>
    </row>
    <row r="1224" spans="8:19">
      <c r="H1224" t="s">
        <v>1460</v>
      </c>
      <c r="I1224">
        <v>13</v>
      </c>
      <c r="J1224" t="s">
        <v>548</v>
      </c>
      <c r="K1224">
        <v>220</v>
      </c>
      <c r="L1224">
        <v>0.59764799999999996</v>
      </c>
      <c r="M1224">
        <v>3</v>
      </c>
      <c r="N1224">
        <v>32.872</v>
      </c>
      <c r="O1224" t="s">
        <v>6485</v>
      </c>
      <c r="P1224" t="s">
        <v>6586</v>
      </c>
      <c r="Q1224">
        <v>1.0325599999999999</v>
      </c>
      <c r="R1224" t="s">
        <v>3304</v>
      </c>
      <c r="S1224">
        <v>20.28555507342336</v>
      </c>
    </row>
    <row r="1225" spans="8:19">
      <c r="H1225" t="s">
        <v>1460</v>
      </c>
      <c r="I1225">
        <v>13</v>
      </c>
      <c r="J1225" t="s">
        <v>548</v>
      </c>
      <c r="K1225">
        <v>220</v>
      </c>
      <c r="L1225">
        <v>0.59764799999999996</v>
      </c>
      <c r="M1225">
        <v>4</v>
      </c>
      <c r="N1225">
        <v>31.65</v>
      </c>
      <c r="O1225" t="s">
        <v>6485</v>
      </c>
      <c r="P1225" t="s">
        <v>6586</v>
      </c>
      <c r="Q1225">
        <v>1.0325599999999999</v>
      </c>
      <c r="R1225" t="s">
        <v>3304</v>
      </c>
      <c r="S1225">
        <v>19.531449807552001</v>
      </c>
    </row>
    <row r="1226" spans="8:19">
      <c r="H1226" t="s">
        <v>1460</v>
      </c>
      <c r="I1226">
        <v>13</v>
      </c>
      <c r="J1226" t="s">
        <v>548</v>
      </c>
      <c r="K1226">
        <v>220</v>
      </c>
      <c r="L1226">
        <v>0.59764799999999996</v>
      </c>
      <c r="M1226">
        <v>5</v>
      </c>
      <c r="N1226">
        <v>46.981999999999999</v>
      </c>
      <c r="O1226" t="s">
        <v>6485</v>
      </c>
      <c r="P1226" t="s">
        <v>6586</v>
      </c>
      <c r="Q1226">
        <v>1.0325599999999999</v>
      </c>
      <c r="R1226" t="s">
        <v>3304</v>
      </c>
      <c r="S1226">
        <v>28.992940753820161</v>
      </c>
    </row>
    <row r="1227" spans="8:19">
      <c r="H1227" t="s">
        <v>1460</v>
      </c>
      <c r="I1227">
        <v>13</v>
      </c>
      <c r="J1227" t="s">
        <v>548</v>
      </c>
      <c r="K1227">
        <v>220</v>
      </c>
      <c r="L1227">
        <v>0.59764799999999996</v>
      </c>
      <c r="M1227">
        <v>6</v>
      </c>
      <c r="N1227">
        <v>79.751999999999995</v>
      </c>
      <c r="O1227" t="s">
        <v>6485</v>
      </c>
      <c r="P1227" t="s">
        <v>6586</v>
      </c>
      <c r="Q1227">
        <v>1.0325599999999999</v>
      </c>
      <c r="R1227" t="s">
        <v>3304</v>
      </c>
      <c r="S1227">
        <v>49.215550870517752</v>
      </c>
    </row>
    <row r="1228" spans="8:19">
      <c r="H1228" t="s">
        <v>1460</v>
      </c>
      <c r="I1228">
        <v>13</v>
      </c>
      <c r="J1228" t="s">
        <v>1197</v>
      </c>
      <c r="K1228">
        <v>220</v>
      </c>
      <c r="L1228">
        <v>1.9650000000000002E-3</v>
      </c>
      <c r="M1228">
        <v>1</v>
      </c>
      <c r="N1228">
        <v>55.825000000000003</v>
      </c>
      <c r="O1228" t="s">
        <v>6617</v>
      </c>
      <c r="P1228" t="s">
        <v>6586</v>
      </c>
      <c r="Q1228">
        <v>1.0325599999999999</v>
      </c>
      <c r="R1228" t="s">
        <v>3304</v>
      </c>
      <c r="S1228">
        <v>0.11326783083</v>
      </c>
    </row>
    <row r="1229" spans="8:19">
      <c r="H1229" t="s">
        <v>1460</v>
      </c>
      <c r="I1229">
        <v>13</v>
      </c>
      <c r="J1229" t="s">
        <v>1197</v>
      </c>
      <c r="K1229">
        <v>220</v>
      </c>
      <c r="L1229">
        <v>1.9650000000000002E-3</v>
      </c>
      <c r="M1229">
        <v>2</v>
      </c>
      <c r="N1229">
        <v>56.061999999999998</v>
      </c>
      <c r="O1229" t="s">
        <v>6617</v>
      </c>
      <c r="P1229" t="s">
        <v>6586</v>
      </c>
      <c r="Q1229">
        <v>1.0325599999999999</v>
      </c>
      <c r="R1229" t="s">
        <v>3304</v>
      </c>
      <c r="S1229">
        <v>0.1137486991848</v>
      </c>
    </row>
    <row r="1230" spans="8:19">
      <c r="H1230" t="s">
        <v>1460</v>
      </c>
      <c r="I1230">
        <v>13</v>
      </c>
      <c r="J1230" t="s">
        <v>1197</v>
      </c>
      <c r="K1230">
        <v>220</v>
      </c>
      <c r="L1230">
        <v>1.9650000000000002E-3</v>
      </c>
      <c r="M1230">
        <v>3</v>
      </c>
      <c r="N1230">
        <v>39.136000000000003</v>
      </c>
      <c r="O1230" t="s">
        <v>6617</v>
      </c>
      <c r="P1230" t="s">
        <v>6586</v>
      </c>
      <c r="Q1230">
        <v>1.0325599999999999</v>
      </c>
      <c r="R1230" t="s">
        <v>3304</v>
      </c>
      <c r="S1230">
        <v>7.9406176934400011E-2</v>
      </c>
    </row>
    <row r="1231" spans="8:19">
      <c r="H1231" t="s">
        <v>1460</v>
      </c>
      <c r="I1231">
        <v>13</v>
      </c>
      <c r="J1231" t="s">
        <v>1197</v>
      </c>
      <c r="K1231">
        <v>220</v>
      </c>
      <c r="L1231">
        <v>1.9650000000000002E-3</v>
      </c>
      <c r="M1231">
        <v>4</v>
      </c>
      <c r="N1231">
        <v>38.625</v>
      </c>
      <c r="O1231" t="s">
        <v>6617</v>
      </c>
      <c r="P1231" t="s">
        <v>6586</v>
      </c>
      <c r="Q1231">
        <v>1.0325599999999999</v>
      </c>
      <c r="R1231" t="s">
        <v>3304</v>
      </c>
      <c r="S1231">
        <v>7.8369367950000005E-2</v>
      </c>
    </row>
    <row r="1232" spans="8:19">
      <c r="H1232" t="s">
        <v>1460</v>
      </c>
      <c r="I1232">
        <v>13</v>
      </c>
      <c r="J1232" t="s">
        <v>1197</v>
      </c>
      <c r="K1232">
        <v>220</v>
      </c>
      <c r="L1232">
        <v>1.9650000000000002E-3</v>
      </c>
      <c r="M1232">
        <v>5</v>
      </c>
      <c r="N1232">
        <v>49.764000000000003</v>
      </c>
      <c r="O1232" t="s">
        <v>6617</v>
      </c>
      <c r="P1232" t="s">
        <v>6586</v>
      </c>
      <c r="Q1232">
        <v>1.0325599999999999</v>
      </c>
      <c r="R1232" t="s">
        <v>3304</v>
      </c>
      <c r="S1232">
        <v>0.1009701806256</v>
      </c>
    </row>
    <row r="1233" spans="8:19">
      <c r="H1233" t="s">
        <v>1460</v>
      </c>
      <c r="I1233">
        <v>13</v>
      </c>
      <c r="J1233" t="s">
        <v>1197</v>
      </c>
      <c r="K1233">
        <v>220</v>
      </c>
      <c r="L1233">
        <v>1.9650000000000002E-3</v>
      </c>
      <c r="M1233">
        <v>6</v>
      </c>
      <c r="N1233">
        <v>61.481999999999999</v>
      </c>
      <c r="O1233" t="s">
        <v>6617</v>
      </c>
      <c r="P1233" t="s">
        <v>6586</v>
      </c>
      <c r="Q1233">
        <v>1.0325599999999999</v>
      </c>
      <c r="R1233" t="s">
        <v>3304</v>
      </c>
      <c r="S1233">
        <v>0.1247457729528</v>
      </c>
    </row>
    <row r="1234" spans="8:19">
      <c r="H1234" t="s">
        <v>1460</v>
      </c>
      <c r="I1234">
        <v>13</v>
      </c>
      <c r="J1234" t="s">
        <v>1197</v>
      </c>
      <c r="K1234">
        <v>220</v>
      </c>
      <c r="L1234">
        <v>1.9650000000000002E-3</v>
      </c>
      <c r="M1234">
        <v>1</v>
      </c>
      <c r="N1234">
        <v>70.069000000000003</v>
      </c>
      <c r="O1234" t="s">
        <v>6485</v>
      </c>
      <c r="P1234" t="s">
        <v>6586</v>
      </c>
      <c r="Q1234">
        <v>1.0325599999999999</v>
      </c>
      <c r="R1234" t="s">
        <v>3304</v>
      </c>
      <c r="S1234">
        <v>0.14216862764759999</v>
      </c>
    </row>
    <row r="1235" spans="8:19">
      <c r="H1235" t="s">
        <v>1460</v>
      </c>
      <c r="I1235">
        <v>13</v>
      </c>
      <c r="J1235" t="s">
        <v>1197</v>
      </c>
      <c r="K1235">
        <v>220</v>
      </c>
      <c r="L1235">
        <v>1.9650000000000002E-3</v>
      </c>
      <c r="M1235">
        <v>2</v>
      </c>
      <c r="N1235">
        <v>63.207000000000001</v>
      </c>
      <c r="O1235" t="s">
        <v>6485</v>
      </c>
      <c r="P1235" t="s">
        <v>6586</v>
      </c>
      <c r="Q1235">
        <v>1.0325599999999999</v>
      </c>
      <c r="R1235" t="s">
        <v>3304</v>
      </c>
      <c r="S1235">
        <v>0.12824576414280001</v>
      </c>
    </row>
    <row r="1236" spans="8:19">
      <c r="H1236" t="s">
        <v>1460</v>
      </c>
      <c r="I1236">
        <v>13</v>
      </c>
      <c r="J1236" t="s">
        <v>1197</v>
      </c>
      <c r="K1236">
        <v>220</v>
      </c>
      <c r="L1236">
        <v>1.9650000000000002E-3</v>
      </c>
      <c r="M1236">
        <v>3</v>
      </c>
      <c r="N1236">
        <v>32.453000000000003</v>
      </c>
      <c r="O1236" t="s">
        <v>6485</v>
      </c>
      <c r="P1236" t="s">
        <v>6586</v>
      </c>
      <c r="Q1236">
        <v>1.0325599999999999</v>
      </c>
      <c r="R1236" t="s">
        <v>3304</v>
      </c>
      <c r="S1236">
        <v>6.5846500921200007E-2</v>
      </c>
    </row>
    <row r="1237" spans="8:19">
      <c r="H1237" t="s">
        <v>1460</v>
      </c>
      <c r="I1237">
        <v>13</v>
      </c>
      <c r="J1237" t="s">
        <v>1197</v>
      </c>
      <c r="K1237">
        <v>220</v>
      </c>
      <c r="L1237">
        <v>1.9650000000000002E-3</v>
      </c>
      <c r="M1237">
        <v>4</v>
      </c>
      <c r="N1237">
        <v>30.672000000000001</v>
      </c>
      <c r="O1237" t="s">
        <v>6485</v>
      </c>
      <c r="P1237" t="s">
        <v>6586</v>
      </c>
      <c r="Q1237">
        <v>1.0325599999999999</v>
      </c>
      <c r="R1237" t="s">
        <v>3304</v>
      </c>
      <c r="S1237">
        <v>6.2232886828800002E-2</v>
      </c>
    </row>
    <row r="1238" spans="8:19">
      <c r="H1238" t="s">
        <v>1460</v>
      </c>
      <c r="I1238">
        <v>13</v>
      </c>
      <c r="J1238" t="s">
        <v>1197</v>
      </c>
      <c r="K1238">
        <v>220</v>
      </c>
      <c r="L1238">
        <v>1.9650000000000002E-3</v>
      </c>
      <c r="M1238">
        <v>5</v>
      </c>
      <c r="N1238">
        <v>51.459000000000003</v>
      </c>
      <c r="O1238" t="s">
        <v>6485</v>
      </c>
      <c r="P1238" t="s">
        <v>6586</v>
      </c>
      <c r="Q1238">
        <v>1.0325599999999999</v>
      </c>
      <c r="R1238" t="s">
        <v>3304</v>
      </c>
      <c r="S1238">
        <v>0.1044093024036</v>
      </c>
    </row>
    <row r="1239" spans="8:19">
      <c r="H1239" t="s">
        <v>1460</v>
      </c>
      <c r="I1239">
        <v>13</v>
      </c>
      <c r="J1239" t="s">
        <v>1197</v>
      </c>
      <c r="K1239">
        <v>220</v>
      </c>
      <c r="L1239">
        <v>1.9650000000000002E-3</v>
      </c>
      <c r="M1239">
        <v>6</v>
      </c>
      <c r="N1239">
        <v>87.926000000000002</v>
      </c>
      <c r="O1239" t="s">
        <v>6485</v>
      </c>
      <c r="P1239" t="s">
        <v>6586</v>
      </c>
      <c r="Q1239">
        <v>1.0325599999999999</v>
      </c>
      <c r="R1239" t="s">
        <v>3304</v>
      </c>
      <c r="S1239">
        <v>0.1784001306504</v>
      </c>
    </row>
    <row r="1240" spans="8:19">
      <c r="H1240" t="s">
        <v>3832</v>
      </c>
      <c r="I1240">
        <v>13</v>
      </c>
      <c r="J1240" t="s">
        <v>218</v>
      </c>
      <c r="K1240">
        <v>220</v>
      </c>
      <c r="L1240">
        <v>1.1440000000000001E-3</v>
      </c>
      <c r="M1240">
        <v>1</v>
      </c>
      <c r="N1240">
        <v>53.277000000000001</v>
      </c>
      <c r="O1240" t="s">
        <v>6617</v>
      </c>
      <c r="P1240" t="s">
        <v>6586</v>
      </c>
      <c r="Q1240">
        <v>1.0325599999999999</v>
      </c>
      <c r="R1240" t="s">
        <v>3304</v>
      </c>
      <c r="S1240">
        <v>6.2933383793280007E-2</v>
      </c>
    </row>
    <row r="1241" spans="8:19">
      <c r="H1241" t="s">
        <v>3832</v>
      </c>
      <c r="I1241">
        <v>13</v>
      </c>
      <c r="J1241" t="s">
        <v>218</v>
      </c>
      <c r="K1241">
        <v>220</v>
      </c>
      <c r="L1241">
        <v>1.1440000000000001E-3</v>
      </c>
      <c r="M1241">
        <v>2</v>
      </c>
      <c r="N1241">
        <v>53.445999999999998</v>
      </c>
      <c r="O1241" t="s">
        <v>6617</v>
      </c>
      <c r="P1241" t="s">
        <v>6586</v>
      </c>
      <c r="Q1241">
        <v>1.0325599999999999</v>
      </c>
      <c r="R1241" t="s">
        <v>3304</v>
      </c>
      <c r="S1241">
        <v>6.3133014813439997E-2</v>
      </c>
    </row>
    <row r="1242" spans="8:19">
      <c r="H1242" t="s">
        <v>3832</v>
      </c>
      <c r="I1242">
        <v>13</v>
      </c>
      <c r="J1242" t="s">
        <v>218</v>
      </c>
      <c r="K1242">
        <v>220</v>
      </c>
      <c r="L1242">
        <v>1.1440000000000001E-3</v>
      </c>
      <c r="M1242">
        <v>3</v>
      </c>
      <c r="N1242">
        <v>39.104999999999997</v>
      </c>
      <c r="O1242" t="s">
        <v>6617</v>
      </c>
      <c r="P1242" t="s">
        <v>6586</v>
      </c>
      <c r="Q1242">
        <v>1.0325599999999999</v>
      </c>
      <c r="R1242" t="s">
        <v>3304</v>
      </c>
      <c r="S1242">
        <v>4.6192728067199991E-2</v>
      </c>
    </row>
    <row r="1243" spans="8:19">
      <c r="H1243" t="s">
        <v>3832</v>
      </c>
      <c r="I1243">
        <v>13</v>
      </c>
      <c r="J1243" t="s">
        <v>218</v>
      </c>
      <c r="K1243">
        <v>220</v>
      </c>
      <c r="L1243">
        <v>1.1440000000000001E-3</v>
      </c>
      <c r="M1243">
        <v>4</v>
      </c>
      <c r="N1243">
        <v>38.667000000000002</v>
      </c>
      <c r="O1243" t="s">
        <v>6617</v>
      </c>
      <c r="P1243" t="s">
        <v>6586</v>
      </c>
      <c r="Q1243">
        <v>1.0325599999999999</v>
      </c>
      <c r="R1243" t="s">
        <v>3304</v>
      </c>
      <c r="S1243">
        <v>4.5675341162880002E-2</v>
      </c>
    </row>
    <row r="1244" spans="8:19">
      <c r="H1244" t="s">
        <v>3832</v>
      </c>
      <c r="I1244">
        <v>13</v>
      </c>
      <c r="J1244" t="s">
        <v>218</v>
      </c>
      <c r="K1244">
        <v>220</v>
      </c>
      <c r="L1244">
        <v>1.1440000000000001E-3</v>
      </c>
      <c r="M1244">
        <v>5</v>
      </c>
      <c r="N1244">
        <v>49.026000000000003</v>
      </c>
      <c r="O1244" t="s">
        <v>6617</v>
      </c>
      <c r="P1244" t="s">
        <v>6586</v>
      </c>
      <c r="Q1244">
        <v>1.0325599999999999</v>
      </c>
      <c r="R1244" t="s">
        <v>3304</v>
      </c>
      <c r="S1244">
        <v>5.791189582464E-2</v>
      </c>
    </row>
    <row r="1245" spans="8:19">
      <c r="H1245" t="s">
        <v>3832</v>
      </c>
      <c r="I1245">
        <v>13</v>
      </c>
      <c r="J1245" t="s">
        <v>218</v>
      </c>
      <c r="K1245">
        <v>220</v>
      </c>
      <c r="L1245">
        <v>1.1440000000000001E-3</v>
      </c>
      <c r="M1245">
        <v>6</v>
      </c>
      <c r="N1245">
        <v>57.997</v>
      </c>
      <c r="O1245" t="s">
        <v>6617</v>
      </c>
      <c r="P1245" t="s">
        <v>6586</v>
      </c>
      <c r="Q1245">
        <v>1.0325599999999999</v>
      </c>
      <c r="R1245" t="s">
        <v>3304</v>
      </c>
      <c r="S1245">
        <v>6.8508877374079985E-2</v>
      </c>
    </row>
    <row r="1246" spans="8:19">
      <c r="H1246" t="s">
        <v>3832</v>
      </c>
      <c r="I1246">
        <v>13</v>
      </c>
      <c r="J1246" t="s">
        <v>218</v>
      </c>
      <c r="K1246">
        <v>220</v>
      </c>
      <c r="L1246">
        <v>1.1440000000000001E-3</v>
      </c>
      <c r="M1246">
        <v>1</v>
      </c>
      <c r="N1246">
        <v>63.264000000000003</v>
      </c>
      <c r="O1246" t="s">
        <v>6485</v>
      </c>
      <c r="P1246" t="s">
        <v>6586</v>
      </c>
      <c r="Q1246">
        <v>1.0325599999999999</v>
      </c>
      <c r="R1246" t="s">
        <v>3304</v>
      </c>
      <c r="S1246">
        <v>7.4730513960960004E-2</v>
      </c>
    </row>
    <row r="1247" spans="8:19">
      <c r="H1247" t="s">
        <v>3832</v>
      </c>
      <c r="I1247">
        <v>13</v>
      </c>
      <c r="J1247" t="s">
        <v>218</v>
      </c>
      <c r="K1247">
        <v>220</v>
      </c>
      <c r="L1247">
        <v>1.1440000000000001E-3</v>
      </c>
      <c r="M1247">
        <v>2</v>
      </c>
      <c r="N1247">
        <v>58.51</v>
      </c>
      <c r="O1247" t="s">
        <v>6485</v>
      </c>
      <c r="P1247" t="s">
        <v>6586</v>
      </c>
      <c r="Q1247">
        <v>1.0325599999999999</v>
      </c>
      <c r="R1247" t="s">
        <v>3304</v>
      </c>
      <c r="S1247">
        <v>6.91148579264E-2</v>
      </c>
    </row>
    <row r="1248" spans="8:19">
      <c r="H1248" t="s">
        <v>3832</v>
      </c>
      <c r="I1248">
        <v>13</v>
      </c>
      <c r="J1248" t="s">
        <v>218</v>
      </c>
      <c r="K1248">
        <v>220</v>
      </c>
      <c r="L1248">
        <v>1.1440000000000001E-3</v>
      </c>
      <c r="M1248">
        <v>3</v>
      </c>
      <c r="N1248">
        <v>32.847999999999999</v>
      </c>
      <c r="O1248" t="s">
        <v>6485</v>
      </c>
      <c r="P1248" t="s">
        <v>6586</v>
      </c>
      <c r="Q1248">
        <v>1.0325599999999999</v>
      </c>
      <c r="R1248" t="s">
        <v>3304</v>
      </c>
      <c r="S1248">
        <v>3.8801655326720003E-2</v>
      </c>
    </row>
    <row r="1249" spans="8:19">
      <c r="H1249" t="s">
        <v>3832</v>
      </c>
      <c r="I1249">
        <v>13</v>
      </c>
      <c r="J1249" t="s">
        <v>218</v>
      </c>
      <c r="K1249">
        <v>220</v>
      </c>
      <c r="L1249">
        <v>1.1440000000000001E-3</v>
      </c>
      <c r="M1249">
        <v>4</v>
      </c>
      <c r="N1249">
        <v>32.058</v>
      </c>
      <c r="O1249" t="s">
        <v>6485</v>
      </c>
      <c r="P1249" t="s">
        <v>6586</v>
      </c>
      <c r="Q1249">
        <v>1.0325599999999999</v>
      </c>
      <c r="R1249" t="s">
        <v>3304</v>
      </c>
      <c r="S1249">
        <v>3.786846890112E-2</v>
      </c>
    </row>
    <row r="1250" spans="8:19">
      <c r="H1250" t="s">
        <v>3832</v>
      </c>
      <c r="I1250">
        <v>13</v>
      </c>
      <c r="J1250" t="s">
        <v>218</v>
      </c>
      <c r="K1250">
        <v>220</v>
      </c>
      <c r="L1250">
        <v>1.1440000000000001E-3</v>
      </c>
      <c r="M1250">
        <v>5</v>
      </c>
      <c r="N1250">
        <v>50.432000000000002</v>
      </c>
      <c r="O1250" t="s">
        <v>6485</v>
      </c>
      <c r="P1250" t="s">
        <v>6586</v>
      </c>
      <c r="Q1250">
        <v>1.0325599999999999</v>
      </c>
      <c r="R1250" t="s">
        <v>3304</v>
      </c>
      <c r="S1250">
        <v>5.9572731412479998E-2</v>
      </c>
    </row>
    <row r="1251" spans="8:19">
      <c r="H1251" t="s">
        <v>3832</v>
      </c>
      <c r="I1251">
        <v>13</v>
      </c>
      <c r="J1251" t="s">
        <v>218</v>
      </c>
      <c r="K1251">
        <v>220</v>
      </c>
      <c r="L1251">
        <v>1.1440000000000001E-3</v>
      </c>
      <c r="M1251">
        <v>6</v>
      </c>
      <c r="N1251">
        <v>76.081000000000003</v>
      </c>
      <c r="O1251" t="s">
        <v>6485</v>
      </c>
      <c r="P1251" t="s">
        <v>6586</v>
      </c>
      <c r="Q1251">
        <v>1.0325599999999999</v>
      </c>
      <c r="R1251" t="s">
        <v>3304</v>
      </c>
      <c r="S1251">
        <v>8.9870577779840005E-2</v>
      </c>
    </row>
    <row r="1252" spans="8:19">
      <c r="H1252" t="s">
        <v>3832</v>
      </c>
      <c r="I1252">
        <v>13</v>
      </c>
      <c r="J1252" t="s">
        <v>248</v>
      </c>
      <c r="K1252">
        <v>220</v>
      </c>
      <c r="L1252">
        <v>4.8458000000000001E-2</v>
      </c>
      <c r="M1252">
        <v>1</v>
      </c>
      <c r="N1252">
        <v>54.328000000000003</v>
      </c>
      <c r="O1252" t="s">
        <v>6617</v>
      </c>
      <c r="P1252" t="s">
        <v>6586</v>
      </c>
      <c r="Q1252">
        <v>1.0325599999999999</v>
      </c>
      <c r="R1252" t="s">
        <v>3304</v>
      </c>
      <c r="S1252">
        <v>2.7183445338534402</v>
      </c>
    </row>
    <row r="1253" spans="8:19">
      <c r="H1253" t="s">
        <v>3832</v>
      </c>
      <c r="I1253">
        <v>13</v>
      </c>
      <c r="J1253" t="s">
        <v>248</v>
      </c>
      <c r="K1253">
        <v>220</v>
      </c>
      <c r="L1253">
        <v>4.8458000000000001E-2</v>
      </c>
      <c r="M1253">
        <v>2</v>
      </c>
      <c r="N1253">
        <v>54.436999999999998</v>
      </c>
      <c r="O1253" t="s">
        <v>6617</v>
      </c>
      <c r="P1253" t="s">
        <v>6586</v>
      </c>
      <c r="Q1253">
        <v>1.0325599999999999</v>
      </c>
      <c r="R1253" t="s">
        <v>3304</v>
      </c>
      <c r="S1253">
        <v>2.7237984352337601</v>
      </c>
    </row>
    <row r="1254" spans="8:19">
      <c r="H1254" t="s">
        <v>3832</v>
      </c>
      <c r="I1254">
        <v>13</v>
      </c>
      <c r="J1254" t="s">
        <v>248</v>
      </c>
      <c r="K1254">
        <v>220</v>
      </c>
      <c r="L1254">
        <v>4.8458000000000001E-2</v>
      </c>
      <c r="M1254">
        <v>3</v>
      </c>
      <c r="N1254">
        <v>39.161000000000001</v>
      </c>
      <c r="O1254" t="s">
        <v>6617</v>
      </c>
      <c r="P1254" t="s">
        <v>6586</v>
      </c>
      <c r="Q1254">
        <v>1.0325599999999999</v>
      </c>
      <c r="R1254" t="s">
        <v>3304</v>
      </c>
      <c r="S1254">
        <v>1.9594516693092801</v>
      </c>
    </row>
    <row r="1255" spans="8:19">
      <c r="H1255" t="s">
        <v>3832</v>
      </c>
      <c r="I1255">
        <v>13</v>
      </c>
      <c r="J1255" t="s">
        <v>248</v>
      </c>
      <c r="K1255">
        <v>220</v>
      </c>
      <c r="L1255">
        <v>4.8458000000000001E-2</v>
      </c>
      <c r="M1255">
        <v>4</v>
      </c>
      <c r="N1255">
        <v>38.674999999999997</v>
      </c>
      <c r="O1255" t="s">
        <v>6617</v>
      </c>
      <c r="P1255" t="s">
        <v>6586</v>
      </c>
      <c r="Q1255">
        <v>1.0325599999999999</v>
      </c>
      <c r="R1255" t="s">
        <v>3304</v>
      </c>
      <c r="S1255">
        <v>1.9351342741640001</v>
      </c>
    </row>
    <row r="1256" spans="8:19">
      <c r="H1256" t="s">
        <v>3832</v>
      </c>
      <c r="I1256">
        <v>13</v>
      </c>
      <c r="J1256" t="s">
        <v>248</v>
      </c>
      <c r="K1256">
        <v>220</v>
      </c>
      <c r="L1256">
        <v>4.8458000000000001E-2</v>
      </c>
      <c r="M1256">
        <v>5</v>
      </c>
      <c r="N1256">
        <v>49.055</v>
      </c>
      <c r="O1256" t="s">
        <v>6617</v>
      </c>
      <c r="P1256" t="s">
        <v>6586</v>
      </c>
      <c r="Q1256">
        <v>1.0325599999999999</v>
      </c>
      <c r="R1256" t="s">
        <v>3304</v>
      </c>
      <c r="S1256">
        <v>2.4545058001064</v>
      </c>
    </row>
    <row r="1257" spans="8:19">
      <c r="H1257" t="s">
        <v>3832</v>
      </c>
      <c r="I1257">
        <v>13</v>
      </c>
      <c r="J1257" t="s">
        <v>248</v>
      </c>
      <c r="K1257">
        <v>220</v>
      </c>
      <c r="L1257">
        <v>4.8458000000000001E-2</v>
      </c>
      <c r="M1257">
        <v>6</v>
      </c>
      <c r="N1257">
        <v>58.87</v>
      </c>
      <c r="O1257" t="s">
        <v>6617</v>
      </c>
      <c r="P1257" t="s">
        <v>6586</v>
      </c>
      <c r="Q1257">
        <v>1.0325599999999999</v>
      </c>
      <c r="R1257" t="s">
        <v>3304</v>
      </c>
      <c r="S1257">
        <v>2.9456071032976001</v>
      </c>
    </row>
    <row r="1258" spans="8:19">
      <c r="H1258" t="s">
        <v>3832</v>
      </c>
      <c r="I1258">
        <v>13</v>
      </c>
      <c r="J1258" t="s">
        <v>248</v>
      </c>
      <c r="K1258">
        <v>220</v>
      </c>
      <c r="L1258">
        <v>4.8458000000000001E-2</v>
      </c>
      <c r="M1258">
        <v>1</v>
      </c>
      <c r="N1258">
        <v>65.05</v>
      </c>
      <c r="O1258" t="s">
        <v>6485</v>
      </c>
      <c r="P1258" t="s">
        <v>6586</v>
      </c>
      <c r="Q1258">
        <v>1.0325599999999999</v>
      </c>
      <c r="R1258" t="s">
        <v>3304</v>
      </c>
      <c r="S1258">
        <v>3.2548283008239989</v>
      </c>
    </row>
    <row r="1259" spans="8:19">
      <c r="H1259" t="s">
        <v>3832</v>
      </c>
      <c r="I1259">
        <v>13</v>
      </c>
      <c r="J1259" t="s">
        <v>248</v>
      </c>
      <c r="K1259">
        <v>220</v>
      </c>
      <c r="L1259">
        <v>4.8458000000000001E-2</v>
      </c>
      <c r="M1259">
        <v>2</v>
      </c>
      <c r="N1259">
        <v>60.055999999999997</v>
      </c>
      <c r="O1259" t="s">
        <v>6485</v>
      </c>
      <c r="P1259" t="s">
        <v>6586</v>
      </c>
      <c r="Q1259">
        <v>1.0325599999999999</v>
      </c>
      <c r="R1259" t="s">
        <v>3304</v>
      </c>
      <c r="S1259">
        <v>3.004949553178879</v>
      </c>
    </row>
    <row r="1260" spans="8:19">
      <c r="H1260" t="s">
        <v>3832</v>
      </c>
      <c r="I1260">
        <v>13</v>
      </c>
      <c r="J1260" t="s">
        <v>248</v>
      </c>
      <c r="K1260">
        <v>220</v>
      </c>
      <c r="L1260">
        <v>4.8458000000000001E-2</v>
      </c>
      <c r="M1260">
        <v>3</v>
      </c>
      <c r="N1260">
        <v>33.075000000000003</v>
      </c>
      <c r="O1260" t="s">
        <v>6485</v>
      </c>
      <c r="P1260" t="s">
        <v>6586</v>
      </c>
      <c r="Q1260">
        <v>1.0325599999999999</v>
      </c>
      <c r="R1260" t="s">
        <v>3304</v>
      </c>
      <c r="S1260">
        <v>1.654933836276</v>
      </c>
    </row>
    <row r="1261" spans="8:19">
      <c r="H1261" t="s">
        <v>3832</v>
      </c>
      <c r="I1261">
        <v>13</v>
      </c>
      <c r="J1261" t="s">
        <v>248</v>
      </c>
      <c r="K1261">
        <v>220</v>
      </c>
      <c r="L1261">
        <v>4.8458000000000001E-2</v>
      </c>
      <c r="M1261">
        <v>4</v>
      </c>
      <c r="N1261">
        <v>32.075000000000003</v>
      </c>
      <c r="O1261" t="s">
        <v>6485</v>
      </c>
      <c r="P1261" t="s">
        <v>6586</v>
      </c>
      <c r="Q1261">
        <v>1.0325599999999999</v>
      </c>
      <c r="R1261" t="s">
        <v>3304</v>
      </c>
      <c r="S1261">
        <v>1.6048980437960001</v>
      </c>
    </row>
    <row r="1262" spans="8:19">
      <c r="H1262" t="s">
        <v>3832</v>
      </c>
      <c r="I1262">
        <v>13</v>
      </c>
      <c r="J1262" t="s">
        <v>248</v>
      </c>
      <c r="K1262">
        <v>220</v>
      </c>
      <c r="L1262">
        <v>4.8458000000000001E-2</v>
      </c>
      <c r="M1262">
        <v>5</v>
      </c>
      <c r="N1262">
        <v>50.77</v>
      </c>
      <c r="O1262" t="s">
        <v>6485</v>
      </c>
      <c r="P1262" t="s">
        <v>6586</v>
      </c>
      <c r="Q1262">
        <v>1.0325599999999999</v>
      </c>
      <c r="R1262" t="s">
        <v>3304</v>
      </c>
      <c r="S1262">
        <v>2.5403171842096</v>
      </c>
    </row>
    <row r="1263" spans="8:19">
      <c r="H1263" t="s">
        <v>3832</v>
      </c>
      <c r="I1263">
        <v>13</v>
      </c>
      <c r="J1263" t="s">
        <v>248</v>
      </c>
      <c r="K1263">
        <v>220</v>
      </c>
      <c r="L1263">
        <v>4.8458000000000001E-2</v>
      </c>
      <c r="M1263">
        <v>6</v>
      </c>
      <c r="N1263">
        <v>78.662999999999997</v>
      </c>
      <c r="O1263" t="s">
        <v>6485</v>
      </c>
      <c r="P1263" t="s">
        <v>6586</v>
      </c>
      <c r="Q1263">
        <v>1.0325599999999999</v>
      </c>
      <c r="R1263" t="s">
        <v>3304</v>
      </c>
      <c r="S1263">
        <v>3.9359655438542389</v>
      </c>
    </row>
    <row r="1264" spans="8:19">
      <c r="H1264" t="s">
        <v>3832</v>
      </c>
      <c r="I1264">
        <v>13</v>
      </c>
      <c r="J1264" t="s">
        <v>1454</v>
      </c>
      <c r="K1264">
        <v>220</v>
      </c>
      <c r="L1264">
        <v>0.95039799999999997</v>
      </c>
      <c r="M1264">
        <v>1</v>
      </c>
      <c r="N1264">
        <v>53.829000000000001</v>
      </c>
      <c r="O1264" t="s">
        <v>6617</v>
      </c>
      <c r="P1264" t="s">
        <v>6586</v>
      </c>
      <c r="Q1264">
        <v>1.0325599999999999</v>
      </c>
      <c r="R1264" t="s">
        <v>3304</v>
      </c>
      <c r="S1264">
        <v>52.824710133551513</v>
      </c>
    </row>
    <row r="1265" spans="8:19">
      <c r="H1265" t="s">
        <v>3832</v>
      </c>
      <c r="I1265">
        <v>13</v>
      </c>
      <c r="J1265" t="s">
        <v>1454</v>
      </c>
      <c r="K1265">
        <v>220</v>
      </c>
      <c r="L1265">
        <v>0.95039799999999997</v>
      </c>
      <c r="M1265">
        <v>2</v>
      </c>
      <c r="N1265">
        <v>53.953000000000003</v>
      </c>
      <c r="O1265" t="s">
        <v>6617</v>
      </c>
      <c r="P1265" t="s">
        <v>6586</v>
      </c>
      <c r="Q1265">
        <v>1.0325599999999999</v>
      </c>
      <c r="R1265" t="s">
        <v>3304</v>
      </c>
      <c r="S1265">
        <v>52.946396660452642</v>
      </c>
    </row>
    <row r="1266" spans="8:19">
      <c r="H1266" t="s">
        <v>3832</v>
      </c>
      <c r="I1266">
        <v>13</v>
      </c>
      <c r="J1266" t="s">
        <v>1454</v>
      </c>
      <c r="K1266">
        <v>220</v>
      </c>
      <c r="L1266">
        <v>0.95039799999999997</v>
      </c>
      <c r="M1266">
        <v>3</v>
      </c>
      <c r="N1266">
        <v>39.148000000000003</v>
      </c>
      <c r="O1266" t="s">
        <v>6617</v>
      </c>
      <c r="P1266" t="s">
        <v>6586</v>
      </c>
      <c r="Q1266">
        <v>1.0325599999999999</v>
      </c>
      <c r="R1266" t="s">
        <v>3304</v>
      </c>
      <c r="S1266">
        <v>38.417614154234244</v>
      </c>
    </row>
    <row r="1267" spans="8:19">
      <c r="H1267" t="s">
        <v>3832</v>
      </c>
      <c r="I1267">
        <v>13</v>
      </c>
      <c r="J1267" t="s">
        <v>1454</v>
      </c>
      <c r="K1267">
        <v>220</v>
      </c>
      <c r="L1267">
        <v>0.95039799999999997</v>
      </c>
      <c r="M1267">
        <v>4</v>
      </c>
      <c r="N1267">
        <v>38.685000000000002</v>
      </c>
      <c r="O1267" t="s">
        <v>6617</v>
      </c>
      <c r="P1267" t="s">
        <v>6586</v>
      </c>
      <c r="Q1267">
        <v>1.0325599999999999</v>
      </c>
      <c r="R1267" t="s">
        <v>3304</v>
      </c>
      <c r="S1267">
        <v>37.963252364272797</v>
      </c>
    </row>
    <row r="1268" spans="8:19">
      <c r="H1268" t="s">
        <v>3832</v>
      </c>
      <c r="I1268">
        <v>13</v>
      </c>
      <c r="J1268" t="s">
        <v>1454</v>
      </c>
      <c r="K1268">
        <v>220</v>
      </c>
      <c r="L1268">
        <v>0.95039799999999997</v>
      </c>
      <c r="M1268">
        <v>5</v>
      </c>
      <c r="N1268">
        <v>48.414000000000001</v>
      </c>
      <c r="O1268" t="s">
        <v>6617</v>
      </c>
      <c r="P1268" t="s">
        <v>6586</v>
      </c>
      <c r="Q1268">
        <v>1.0325599999999999</v>
      </c>
      <c r="R1268" t="s">
        <v>3304</v>
      </c>
      <c r="S1268">
        <v>47.510738011216318</v>
      </c>
    </row>
    <row r="1269" spans="8:19">
      <c r="H1269" t="s">
        <v>3832</v>
      </c>
      <c r="I1269">
        <v>13</v>
      </c>
      <c r="J1269" t="s">
        <v>1454</v>
      </c>
      <c r="K1269">
        <v>220</v>
      </c>
      <c r="L1269">
        <v>0.95039799999999997</v>
      </c>
      <c r="M1269">
        <v>6</v>
      </c>
      <c r="N1269">
        <v>58.081000000000003</v>
      </c>
      <c r="O1269" t="s">
        <v>6617</v>
      </c>
      <c r="P1269" t="s">
        <v>6586</v>
      </c>
      <c r="Q1269">
        <v>1.0325599999999999</v>
      </c>
      <c r="R1269" t="s">
        <v>3304</v>
      </c>
      <c r="S1269">
        <v>56.997380394709268</v>
      </c>
    </row>
    <row r="1270" spans="8:19">
      <c r="H1270" t="s">
        <v>3832</v>
      </c>
      <c r="I1270">
        <v>13</v>
      </c>
      <c r="J1270" t="s">
        <v>1454</v>
      </c>
      <c r="K1270">
        <v>220</v>
      </c>
      <c r="L1270">
        <v>0.95039799999999997</v>
      </c>
      <c r="M1270">
        <v>1</v>
      </c>
      <c r="N1270">
        <v>63.616</v>
      </c>
      <c r="O1270" t="s">
        <v>6485</v>
      </c>
      <c r="P1270" t="s">
        <v>6586</v>
      </c>
      <c r="Q1270">
        <v>1.0325599999999999</v>
      </c>
      <c r="R1270" t="s">
        <v>3304</v>
      </c>
      <c r="S1270">
        <v>62.42911367211007</v>
      </c>
    </row>
    <row r="1271" spans="8:19">
      <c r="H1271" t="s">
        <v>3832</v>
      </c>
      <c r="I1271">
        <v>13</v>
      </c>
      <c r="J1271" t="s">
        <v>1454</v>
      </c>
      <c r="K1271">
        <v>220</v>
      </c>
      <c r="L1271">
        <v>0.95039799999999997</v>
      </c>
      <c r="M1271">
        <v>2</v>
      </c>
      <c r="N1271">
        <v>58.975000000000001</v>
      </c>
      <c r="O1271" t="s">
        <v>6485</v>
      </c>
      <c r="P1271" t="s">
        <v>6586</v>
      </c>
      <c r="Q1271">
        <v>1.0325599999999999</v>
      </c>
      <c r="R1271" t="s">
        <v>3304</v>
      </c>
      <c r="S1271">
        <v>57.874700999947997</v>
      </c>
    </row>
    <row r="1272" spans="8:19">
      <c r="H1272" t="s">
        <v>3832</v>
      </c>
      <c r="I1272">
        <v>13</v>
      </c>
      <c r="J1272" t="s">
        <v>1454</v>
      </c>
      <c r="K1272">
        <v>220</v>
      </c>
      <c r="L1272">
        <v>0.95039799999999997</v>
      </c>
      <c r="M1272">
        <v>3</v>
      </c>
      <c r="N1272">
        <v>33.026000000000003</v>
      </c>
      <c r="O1272" t="s">
        <v>6485</v>
      </c>
      <c r="P1272" t="s">
        <v>6586</v>
      </c>
      <c r="Q1272">
        <v>1.0325599999999999</v>
      </c>
      <c r="R1272" t="s">
        <v>3304</v>
      </c>
      <c r="S1272">
        <v>32.40983255997088</v>
      </c>
    </row>
    <row r="1273" spans="8:19">
      <c r="H1273" t="s">
        <v>3832</v>
      </c>
      <c r="I1273">
        <v>13</v>
      </c>
      <c r="J1273" t="s">
        <v>1454</v>
      </c>
      <c r="K1273">
        <v>220</v>
      </c>
      <c r="L1273">
        <v>0.95039799999999997</v>
      </c>
      <c r="M1273">
        <v>4</v>
      </c>
      <c r="N1273">
        <v>32.063000000000002</v>
      </c>
      <c r="O1273" t="s">
        <v>6485</v>
      </c>
      <c r="P1273" t="s">
        <v>6586</v>
      </c>
      <c r="Q1273">
        <v>1.0325599999999999</v>
      </c>
      <c r="R1273" t="s">
        <v>3304</v>
      </c>
      <c r="S1273">
        <v>31.464799290569442</v>
      </c>
    </row>
    <row r="1274" spans="8:19">
      <c r="H1274" t="s">
        <v>3832</v>
      </c>
      <c r="I1274">
        <v>13</v>
      </c>
      <c r="J1274" t="s">
        <v>1454</v>
      </c>
      <c r="K1274">
        <v>220</v>
      </c>
      <c r="L1274">
        <v>0.95039799999999997</v>
      </c>
      <c r="M1274">
        <v>5</v>
      </c>
      <c r="N1274">
        <v>49.460999999999999</v>
      </c>
      <c r="O1274" t="s">
        <v>6485</v>
      </c>
      <c r="P1274" t="s">
        <v>6586</v>
      </c>
      <c r="Q1274">
        <v>1.0325599999999999</v>
      </c>
      <c r="R1274" t="s">
        <v>3304</v>
      </c>
      <c r="S1274">
        <v>48.538204089163671</v>
      </c>
    </row>
    <row r="1275" spans="8:19">
      <c r="H1275" t="s">
        <v>3832</v>
      </c>
      <c r="I1275">
        <v>13</v>
      </c>
      <c r="J1275" t="s">
        <v>1454</v>
      </c>
      <c r="K1275">
        <v>220</v>
      </c>
      <c r="L1275">
        <v>0.95039799999999997</v>
      </c>
      <c r="M1275">
        <v>6</v>
      </c>
      <c r="N1275">
        <v>76.272000000000006</v>
      </c>
      <c r="O1275" t="s">
        <v>6485</v>
      </c>
      <c r="P1275" t="s">
        <v>6586</v>
      </c>
      <c r="Q1275">
        <v>1.0325599999999999</v>
      </c>
      <c r="R1275" t="s">
        <v>3304</v>
      </c>
      <c r="S1275">
        <v>74.848990159695362</v>
      </c>
    </row>
  </sheetData>
  <phoneticPr fontId="2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3511D-1AEA-4551-A9D2-C9C162741558}">
  <sheetPr codeName="Hoja7">
    <tabColor theme="1"/>
  </sheetPr>
  <dimension ref="A1:P1449"/>
  <sheetViews>
    <sheetView topLeftCell="E1" zoomScale="70" zoomScaleNormal="70" workbookViewId="0">
      <selection sqref="A1:P1441"/>
    </sheetView>
  </sheetViews>
  <sheetFormatPr baseColWidth="10" defaultRowHeight="15"/>
  <cols>
    <col min="1" max="1" width="20.5703125" bestFit="1" customWidth="1"/>
    <col min="2" max="2" width="19.5703125" bestFit="1" customWidth="1"/>
    <col min="3" max="3" width="21.42578125" bestFit="1" customWidth="1"/>
    <col min="4" max="4" width="21.5703125" bestFit="1" customWidth="1"/>
    <col min="5" max="5" width="31.140625" bestFit="1" customWidth="1"/>
    <col min="6" max="6" width="48.140625" bestFit="1" customWidth="1"/>
    <col min="7" max="7" width="11" bestFit="1" customWidth="1"/>
    <col min="8" max="8" width="23.42578125" bestFit="1" customWidth="1"/>
    <col min="9" max="9" width="19.7109375" bestFit="1" customWidth="1"/>
    <col min="10" max="10" width="57.42578125" bestFit="1" customWidth="1"/>
    <col min="11" max="11" width="28.5703125" bestFit="1" customWidth="1"/>
    <col min="12" max="12" width="26" bestFit="1" customWidth="1"/>
    <col min="13" max="13" width="23.42578125" bestFit="1" customWidth="1"/>
    <col min="14" max="14" width="16.28515625" bestFit="1" customWidth="1"/>
    <col min="15" max="15" width="10.28515625" bestFit="1" customWidth="1"/>
    <col min="16" max="16" width="25.42578125" bestFit="1" customWidth="1"/>
  </cols>
  <sheetData>
    <row r="1" spans="1:16">
      <c r="A1" t="s">
        <v>1580</v>
      </c>
      <c r="B1" t="s">
        <v>3377</v>
      </c>
      <c r="C1" t="s">
        <v>3378</v>
      </c>
      <c r="D1" t="s">
        <v>3379</v>
      </c>
      <c r="E1" t="s">
        <v>3380</v>
      </c>
      <c r="F1" t="s">
        <v>3381</v>
      </c>
      <c r="G1" t="s">
        <v>3382</v>
      </c>
      <c r="H1" t="s">
        <v>3383</v>
      </c>
      <c r="I1" t="s">
        <v>3384</v>
      </c>
      <c r="J1" t="s">
        <v>3385</v>
      </c>
      <c r="K1" t="s">
        <v>3386</v>
      </c>
      <c r="L1" t="s">
        <v>1586</v>
      </c>
      <c r="M1" t="s">
        <v>1587</v>
      </c>
      <c r="N1" t="s">
        <v>1565</v>
      </c>
      <c r="O1" t="s">
        <v>1573</v>
      </c>
      <c r="P1" t="s">
        <v>6307</v>
      </c>
    </row>
    <row r="2" spans="1:16">
      <c r="A2" t="s">
        <v>5636</v>
      </c>
      <c r="B2">
        <v>220</v>
      </c>
      <c r="C2">
        <v>1</v>
      </c>
      <c r="D2" t="s">
        <v>3397</v>
      </c>
      <c r="E2" t="s">
        <v>3419</v>
      </c>
      <c r="F2" t="s">
        <v>3419</v>
      </c>
      <c r="G2">
        <v>3301</v>
      </c>
      <c r="H2" t="s">
        <v>3701</v>
      </c>
      <c r="I2" t="s">
        <v>3391</v>
      </c>
      <c r="J2" t="s">
        <v>4791</v>
      </c>
      <c r="K2" t="s">
        <v>6315</v>
      </c>
      <c r="L2" t="s">
        <v>6778</v>
      </c>
      <c r="M2" t="s">
        <v>6779</v>
      </c>
      <c r="N2" t="s">
        <v>6792</v>
      </c>
      <c r="O2">
        <v>1</v>
      </c>
      <c r="P2" t="str">
        <f>+BARRAS[[#This Row],[Barra]]&amp;"_"&amp;BARRAS[[#This Row],[Nivel de tensión]]</f>
        <v>AMARGA_220</v>
      </c>
    </row>
    <row r="3" spans="1:16">
      <c r="A3" t="s">
        <v>142</v>
      </c>
      <c r="B3">
        <v>220</v>
      </c>
      <c r="C3">
        <v>1</v>
      </c>
      <c r="D3" t="s">
        <v>3397</v>
      </c>
      <c r="E3" t="s">
        <v>5838</v>
      </c>
      <c r="F3" t="s">
        <v>3420</v>
      </c>
      <c r="G3">
        <v>16301</v>
      </c>
      <c r="H3" t="s">
        <v>3409</v>
      </c>
      <c r="I3" t="s">
        <v>3391</v>
      </c>
      <c r="J3" t="s">
        <v>3392</v>
      </c>
      <c r="K3" t="s">
        <v>6315</v>
      </c>
      <c r="L3" t="s">
        <v>6778</v>
      </c>
      <c r="M3" t="s">
        <v>6779</v>
      </c>
      <c r="N3" t="s">
        <v>6792</v>
      </c>
      <c r="O3">
        <v>1</v>
      </c>
      <c r="P3" t="str">
        <f>+BARRAS[[#This Row],[Barra]]&amp;"_"&amp;BARRAS[[#This Row],[Nivel de tensión]]</f>
        <v>C.CHENA_220</v>
      </c>
    </row>
    <row r="4" spans="1:16">
      <c r="A4" t="s">
        <v>6030</v>
      </c>
      <c r="B4">
        <v>23</v>
      </c>
      <c r="C4">
        <v>1</v>
      </c>
      <c r="D4" t="s">
        <v>4748</v>
      </c>
      <c r="E4" t="s">
        <v>3419</v>
      </c>
      <c r="F4" t="s">
        <v>3420</v>
      </c>
      <c r="G4">
        <v>16301</v>
      </c>
      <c r="H4" t="s">
        <v>3405</v>
      </c>
      <c r="I4" t="s">
        <v>3391</v>
      </c>
      <c r="J4" t="s">
        <v>3392</v>
      </c>
      <c r="K4" t="s">
        <v>6315</v>
      </c>
      <c r="L4" t="s">
        <v>6778</v>
      </c>
      <c r="M4" t="s">
        <v>6779</v>
      </c>
      <c r="N4" t="s">
        <v>6792</v>
      </c>
      <c r="O4">
        <v>1</v>
      </c>
      <c r="P4" t="str">
        <f>+BARRAS[[#This Row],[Barra]]&amp;"_"&amp;BARRAS[[#This Row],[Nivel de tensión]]</f>
        <v>CENTRAL_ELEC_23</v>
      </c>
    </row>
    <row r="5" spans="1:16">
      <c r="A5" t="s">
        <v>288</v>
      </c>
      <c r="B5">
        <v>13</v>
      </c>
      <c r="C5">
        <v>152</v>
      </c>
      <c r="D5" t="s">
        <v>6137</v>
      </c>
      <c r="E5" t="s">
        <v>6138</v>
      </c>
      <c r="F5" t="s">
        <v>6139</v>
      </c>
      <c r="G5">
        <v>16301</v>
      </c>
      <c r="H5" t="s">
        <v>3414</v>
      </c>
      <c r="I5" t="s">
        <v>3391</v>
      </c>
      <c r="J5" t="s">
        <v>3392</v>
      </c>
      <c r="K5" t="s">
        <v>3304</v>
      </c>
      <c r="L5" t="s">
        <v>6778</v>
      </c>
      <c r="M5" t="s">
        <v>6779</v>
      </c>
      <c r="N5" t="s">
        <v>6792</v>
      </c>
      <c r="O5">
        <v>1</v>
      </c>
      <c r="P5" t="str">
        <f>+BARRAS[[#This Row],[Barra]]&amp;"_"&amp;BARRAS[[#This Row],[Nivel de tensión]]</f>
        <v>CHUMAQUITO_13</v>
      </c>
    </row>
    <row r="6" spans="1:16">
      <c r="A6" t="s">
        <v>347</v>
      </c>
      <c r="B6">
        <v>110</v>
      </c>
      <c r="C6">
        <v>1</v>
      </c>
      <c r="D6" t="s">
        <v>3397</v>
      </c>
      <c r="E6" t="s">
        <v>6258</v>
      </c>
      <c r="F6" t="s">
        <v>3420</v>
      </c>
      <c r="G6">
        <v>16301</v>
      </c>
      <c r="H6" t="s">
        <v>3400</v>
      </c>
      <c r="I6" t="s">
        <v>3391</v>
      </c>
      <c r="J6" t="s">
        <v>3392</v>
      </c>
      <c r="K6" t="s">
        <v>3301</v>
      </c>
      <c r="L6" t="s">
        <v>6778</v>
      </c>
      <c r="M6" t="s">
        <v>6779</v>
      </c>
      <c r="N6" t="s">
        <v>6792</v>
      </c>
      <c r="O6">
        <v>1</v>
      </c>
      <c r="P6" t="str">
        <f>+BARRAS[[#This Row],[Barra]]&amp;"_"&amp;BARRAS[[#This Row],[Nivel de tensión]]</f>
        <v>COPIAPO_110</v>
      </c>
    </row>
    <row r="7" spans="1:16">
      <c r="A7" t="s">
        <v>401</v>
      </c>
      <c r="B7">
        <v>23</v>
      </c>
      <c r="C7">
        <v>1484</v>
      </c>
      <c r="D7" t="s">
        <v>4821</v>
      </c>
      <c r="E7" t="s">
        <v>4822</v>
      </c>
      <c r="F7" t="s">
        <v>4823</v>
      </c>
      <c r="G7">
        <v>16301</v>
      </c>
      <c r="H7" t="s">
        <v>3414</v>
      </c>
      <c r="I7" t="s">
        <v>3391</v>
      </c>
      <c r="J7" t="s">
        <v>3392</v>
      </c>
      <c r="K7" t="s">
        <v>3304</v>
      </c>
      <c r="L7" t="s">
        <v>6778</v>
      </c>
      <c r="M7" t="s">
        <v>6779</v>
      </c>
      <c r="N7" t="s">
        <v>6792</v>
      </c>
      <c r="O7">
        <v>1</v>
      </c>
      <c r="P7" t="str">
        <f>+BARRAS[[#This Row],[Barra]]&amp;"_"&amp;BARRAS[[#This Row],[Nivel de tensión]]</f>
        <v>DUQUECO_23</v>
      </c>
    </row>
    <row r="8" spans="1:16">
      <c r="A8" t="s">
        <v>4924</v>
      </c>
      <c r="B8">
        <v>220</v>
      </c>
      <c r="C8">
        <v>1</v>
      </c>
      <c r="D8" t="s">
        <v>3397</v>
      </c>
      <c r="E8" t="s">
        <v>3419</v>
      </c>
      <c r="F8" t="s">
        <v>3420</v>
      </c>
      <c r="G8">
        <v>16301</v>
      </c>
      <c r="H8" t="s">
        <v>3405</v>
      </c>
      <c r="I8" t="s">
        <v>3391</v>
      </c>
      <c r="J8" t="s">
        <v>3392</v>
      </c>
      <c r="K8" t="s">
        <v>6315</v>
      </c>
      <c r="L8" t="s">
        <v>6778</v>
      </c>
      <c r="M8" t="s">
        <v>6779</v>
      </c>
      <c r="N8" t="s">
        <v>6792</v>
      </c>
      <c r="O8">
        <v>1</v>
      </c>
      <c r="P8" t="str">
        <f>+BARRAS[[#This Row],[Barra]]&amp;"_"&amp;BARRAS[[#This Row],[Nivel de tensión]]</f>
        <v>ENLACE_SNG_220</v>
      </c>
    </row>
    <row r="9" spans="1:16">
      <c r="A9" t="s">
        <v>6528</v>
      </c>
      <c r="B9">
        <v>220</v>
      </c>
      <c r="D9" t="s">
        <v>3680</v>
      </c>
      <c r="E9" t="s">
        <v>3925</v>
      </c>
      <c r="F9" t="s">
        <v>6529</v>
      </c>
      <c r="G9">
        <v>2103</v>
      </c>
      <c r="H9" t="s">
        <v>3405</v>
      </c>
      <c r="I9" t="s">
        <v>3683</v>
      </c>
      <c r="J9" t="s">
        <v>6530</v>
      </c>
      <c r="K9" t="s">
        <v>6315</v>
      </c>
      <c r="L9" t="s">
        <v>6778</v>
      </c>
      <c r="M9" t="s">
        <v>6779</v>
      </c>
      <c r="N9" t="s">
        <v>6792</v>
      </c>
      <c r="O9">
        <v>1</v>
      </c>
      <c r="P9" t="str">
        <f>+BARRAS[[#This Row],[Barra]]&amp;"_"&amp;BARRAS[[#This Row],[Nivel de tensión]]</f>
        <v>GABRIELA_220</v>
      </c>
    </row>
    <row r="10" spans="1:16">
      <c r="A10" t="s">
        <v>5102</v>
      </c>
      <c r="B10">
        <v>500</v>
      </c>
      <c r="C10">
        <v>3793</v>
      </c>
      <c r="D10" t="s">
        <v>4198</v>
      </c>
      <c r="E10" t="s">
        <v>4199</v>
      </c>
      <c r="F10" t="s">
        <v>5103</v>
      </c>
      <c r="G10">
        <v>2101</v>
      </c>
      <c r="H10" t="s">
        <v>3701</v>
      </c>
      <c r="I10" t="s">
        <v>3391</v>
      </c>
      <c r="J10" t="s">
        <v>3922</v>
      </c>
      <c r="K10" t="s">
        <v>6315</v>
      </c>
      <c r="L10" t="s">
        <v>6778</v>
      </c>
      <c r="M10" t="s">
        <v>6779</v>
      </c>
      <c r="N10" t="s">
        <v>6792</v>
      </c>
      <c r="O10">
        <v>1</v>
      </c>
      <c r="P10" t="str">
        <f>+BARRAS[[#This Row],[Barra]]&amp;"_"&amp;BARRAS[[#This Row],[Nivel de tensión]]</f>
        <v>JADRESIC_500</v>
      </c>
    </row>
    <row r="11" spans="1:16">
      <c r="A11" t="s">
        <v>609</v>
      </c>
      <c r="B11">
        <v>44</v>
      </c>
      <c r="C11">
        <v>1</v>
      </c>
      <c r="D11" t="s">
        <v>3397</v>
      </c>
      <c r="E11" t="s">
        <v>5216</v>
      </c>
      <c r="F11" t="s">
        <v>3420</v>
      </c>
      <c r="G11">
        <v>16301</v>
      </c>
      <c r="H11" t="s">
        <v>3418</v>
      </c>
      <c r="I11" t="s">
        <v>3391</v>
      </c>
      <c r="J11" t="s">
        <v>3392</v>
      </c>
      <c r="K11" t="s">
        <v>3302</v>
      </c>
      <c r="L11" t="s">
        <v>6778</v>
      </c>
      <c r="M11" t="s">
        <v>6779</v>
      </c>
      <c r="N11" t="s">
        <v>6792</v>
      </c>
      <c r="O11">
        <v>1</v>
      </c>
      <c r="P11" t="str">
        <f>+BARRAS[[#This Row],[Barra]]&amp;"_"&amp;BARRAS[[#This Row],[Nivel de tensión]]</f>
        <v>LA_CALERA_44</v>
      </c>
    </row>
    <row r="12" spans="1:16">
      <c r="A12" t="s">
        <v>666</v>
      </c>
      <c r="B12">
        <v>13</v>
      </c>
      <c r="C12">
        <v>586</v>
      </c>
      <c r="D12" t="s">
        <v>5310</v>
      </c>
      <c r="E12" t="s">
        <v>5311</v>
      </c>
      <c r="F12" t="s">
        <v>5312</v>
      </c>
      <c r="G12">
        <v>16301</v>
      </c>
      <c r="H12" t="s">
        <v>3414</v>
      </c>
      <c r="I12" t="s">
        <v>3391</v>
      </c>
      <c r="J12" t="s">
        <v>3392</v>
      </c>
      <c r="K12" t="s">
        <v>3304</v>
      </c>
      <c r="L12" t="s">
        <v>6778</v>
      </c>
      <c r="M12" t="s">
        <v>6779</v>
      </c>
      <c r="N12" t="s">
        <v>6792</v>
      </c>
      <c r="O12">
        <v>1</v>
      </c>
      <c r="P12" t="str">
        <f>+BARRAS[[#This Row],[Barra]]&amp;"_"&amp;BARRAS[[#This Row],[Nivel de tensión]]</f>
        <v>LASARANAS_13</v>
      </c>
    </row>
    <row r="13" spans="1:16">
      <c r="A13" t="s">
        <v>719</v>
      </c>
      <c r="B13">
        <v>110</v>
      </c>
      <c r="C13">
        <v>1</v>
      </c>
      <c r="D13" t="s">
        <v>3397</v>
      </c>
      <c r="E13" t="s">
        <v>5407</v>
      </c>
      <c r="F13" t="s">
        <v>3420</v>
      </c>
      <c r="G13">
        <v>16301</v>
      </c>
      <c r="H13" t="s">
        <v>3469</v>
      </c>
      <c r="I13" t="s">
        <v>3391</v>
      </c>
      <c r="J13" t="s">
        <v>3392</v>
      </c>
      <c r="K13" t="s">
        <v>3303</v>
      </c>
      <c r="L13" t="s">
        <v>6778</v>
      </c>
      <c r="M13" t="s">
        <v>6779</v>
      </c>
      <c r="N13" t="s">
        <v>6792</v>
      </c>
      <c r="O13">
        <v>1</v>
      </c>
      <c r="P13" t="str">
        <f>+BARRAS[[#This Row],[Barra]]&amp;"_"&amp;BARRAS[[#This Row],[Nivel de tensión]]</f>
        <v>LO_BOZA_110</v>
      </c>
    </row>
    <row r="14" spans="1:16">
      <c r="A14" t="s">
        <v>5509</v>
      </c>
      <c r="B14">
        <v>13</v>
      </c>
      <c r="C14">
        <v>834</v>
      </c>
      <c r="D14" t="s">
        <v>5510</v>
      </c>
      <c r="E14" t="s">
        <v>5511</v>
      </c>
      <c r="F14" t="s">
        <v>5512</v>
      </c>
      <c r="G14">
        <v>16301</v>
      </c>
      <c r="H14" t="s">
        <v>3469</v>
      </c>
      <c r="I14" t="s">
        <v>3391</v>
      </c>
      <c r="J14" t="s">
        <v>3392</v>
      </c>
      <c r="K14" t="s">
        <v>3303</v>
      </c>
      <c r="L14" t="s">
        <v>6778</v>
      </c>
      <c r="M14" t="s">
        <v>6779</v>
      </c>
      <c r="N14" t="s">
        <v>6792</v>
      </c>
      <c r="O14">
        <v>1</v>
      </c>
      <c r="P14" t="str">
        <f>+BARRAS[[#This Row],[Barra]]&amp;"_"&amp;BARRAS[[#This Row],[Nivel de tensión]]</f>
        <v>MACUL_13</v>
      </c>
    </row>
    <row r="15" spans="1:16">
      <c r="A15" t="s">
        <v>847</v>
      </c>
      <c r="B15">
        <v>23</v>
      </c>
      <c r="C15">
        <v>432</v>
      </c>
      <c r="D15" t="s">
        <v>5665</v>
      </c>
      <c r="E15" t="s">
        <v>5666</v>
      </c>
      <c r="F15" t="s">
        <v>5667</v>
      </c>
      <c r="G15">
        <v>16301</v>
      </c>
      <c r="H15" t="s">
        <v>3390</v>
      </c>
      <c r="I15" t="s">
        <v>3391</v>
      </c>
      <c r="J15" t="s">
        <v>3392</v>
      </c>
      <c r="K15" t="s">
        <v>3305</v>
      </c>
      <c r="L15" t="s">
        <v>6778</v>
      </c>
      <c r="M15" t="s">
        <v>6779</v>
      </c>
      <c r="N15" t="s">
        <v>6792</v>
      </c>
      <c r="O15">
        <v>1</v>
      </c>
      <c r="P15" t="str">
        <f>+BARRAS[[#This Row],[Barra]]&amp;"_"&amp;BARRAS[[#This Row],[Nivel de tensión]]</f>
        <v>MELIPULLI_23</v>
      </c>
    </row>
    <row r="16" spans="1:16">
      <c r="A16" t="s">
        <v>4011</v>
      </c>
      <c r="B16">
        <v>220</v>
      </c>
      <c r="C16">
        <v>2488</v>
      </c>
      <c r="D16" t="s">
        <v>3397</v>
      </c>
      <c r="E16" t="s">
        <v>4012</v>
      </c>
      <c r="F16" t="s">
        <v>3484</v>
      </c>
      <c r="G16">
        <v>16301</v>
      </c>
      <c r="H16" t="s">
        <v>3409</v>
      </c>
      <c r="I16" t="s">
        <v>3391</v>
      </c>
      <c r="J16" t="s">
        <v>3392</v>
      </c>
      <c r="K16" t="s">
        <v>6315</v>
      </c>
      <c r="L16" t="s">
        <v>6778</v>
      </c>
      <c r="M16" t="s">
        <v>6779</v>
      </c>
      <c r="N16" t="s">
        <v>6792</v>
      </c>
      <c r="O16">
        <v>1</v>
      </c>
      <c r="P16" t="str">
        <f>+BARRAS[[#This Row],[Barra]]&amp;"_"&amp;BARRAS[[#This Row],[Nivel de tensión]]</f>
        <v>NEPTUNO_220</v>
      </c>
    </row>
    <row r="17" spans="1:16">
      <c r="A17" t="s">
        <v>4110</v>
      </c>
      <c r="B17">
        <v>110</v>
      </c>
      <c r="C17">
        <v>1</v>
      </c>
      <c r="D17" t="s">
        <v>3397</v>
      </c>
      <c r="E17" t="s">
        <v>3419</v>
      </c>
      <c r="F17" t="s">
        <v>3420</v>
      </c>
      <c r="G17">
        <v>16301</v>
      </c>
      <c r="H17" t="s">
        <v>3418</v>
      </c>
      <c r="I17" t="s">
        <v>3391</v>
      </c>
      <c r="J17" t="s">
        <v>3392</v>
      </c>
      <c r="K17" t="s">
        <v>3302</v>
      </c>
      <c r="L17" t="s">
        <v>6778</v>
      </c>
      <c r="M17" t="s">
        <v>6779</v>
      </c>
      <c r="N17" t="s">
        <v>6792</v>
      </c>
      <c r="O17">
        <v>1</v>
      </c>
      <c r="P17" t="str">
        <f>+BARRAS[[#This Row],[Barra]]&amp;"_"&amp;BARRAS[[#This Row],[Nivel de tensión]]</f>
        <v>PACHACAMA1_110</v>
      </c>
    </row>
    <row r="18" spans="1:16">
      <c r="A18" t="s">
        <v>1026</v>
      </c>
      <c r="B18">
        <v>13</v>
      </c>
      <c r="C18">
        <v>2566</v>
      </c>
      <c r="D18" t="s">
        <v>3397</v>
      </c>
      <c r="E18" t="s">
        <v>4208</v>
      </c>
      <c r="F18" t="s">
        <v>4209</v>
      </c>
      <c r="G18">
        <v>16301</v>
      </c>
      <c r="H18" t="s">
        <v>3414</v>
      </c>
      <c r="I18" t="s">
        <v>3391</v>
      </c>
      <c r="J18" t="s">
        <v>3392</v>
      </c>
      <c r="K18" t="s">
        <v>3304</v>
      </c>
      <c r="L18" t="s">
        <v>6778</v>
      </c>
      <c r="M18" t="s">
        <v>6779</v>
      </c>
      <c r="N18" t="s">
        <v>6792</v>
      </c>
      <c r="O18">
        <v>1</v>
      </c>
      <c r="P18" t="str">
        <f>+BARRAS[[#This Row],[Barra]]&amp;"_"&amp;BARRAS[[#This Row],[Nivel de tensión]]</f>
        <v>PASO_HONDO_13</v>
      </c>
    </row>
    <row r="19" spans="1:16">
      <c r="A19" t="s">
        <v>1090</v>
      </c>
      <c r="B19">
        <v>220</v>
      </c>
      <c r="C19">
        <v>513</v>
      </c>
      <c r="D19" t="s">
        <v>4319</v>
      </c>
      <c r="E19" t="s">
        <v>4320</v>
      </c>
      <c r="F19" t="s">
        <v>4321</v>
      </c>
      <c r="G19">
        <v>16301</v>
      </c>
      <c r="H19" t="s">
        <v>3409</v>
      </c>
      <c r="I19" t="s">
        <v>3391</v>
      </c>
      <c r="J19" t="s">
        <v>3392</v>
      </c>
      <c r="K19" t="s">
        <v>6315</v>
      </c>
      <c r="L19" t="s">
        <v>6778</v>
      </c>
      <c r="M19" t="s">
        <v>6779</v>
      </c>
      <c r="N19" t="s">
        <v>6792</v>
      </c>
      <c r="O19">
        <v>1</v>
      </c>
      <c r="P19" t="str">
        <f>+BARRAS[[#This Row],[Barra]]&amp;"_"&amp;BARRAS[[#This Row],[Nivel de tensión]]</f>
        <v>POLPAICO_220</v>
      </c>
    </row>
    <row r="20" spans="1:16">
      <c r="A20" t="s">
        <v>4427</v>
      </c>
      <c r="B20">
        <v>23</v>
      </c>
      <c r="C20">
        <v>880</v>
      </c>
      <c r="D20" t="s">
        <v>4431</v>
      </c>
      <c r="E20" t="s">
        <v>4432</v>
      </c>
      <c r="F20" t="s">
        <v>4430</v>
      </c>
      <c r="G20">
        <v>16301</v>
      </c>
      <c r="H20" t="s">
        <v>3469</v>
      </c>
      <c r="I20" t="s">
        <v>3391</v>
      </c>
      <c r="J20" t="s">
        <v>3392</v>
      </c>
      <c r="K20" t="s">
        <v>3303</v>
      </c>
      <c r="L20" t="s">
        <v>6778</v>
      </c>
      <c r="M20" t="s">
        <v>6779</v>
      </c>
      <c r="N20" t="s">
        <v>6792</v>
      </c>
      <c r="O20">
        <v>1</v>
      </c>
      <c r="P20" t="str">
        <f>+BARRAS[[#This Row],[Barra]]&amp;"_"&amp;BARRAS[[#This Row],[Nivel de tensión]]</f>
        <v>QUILICURA_23</v>
      </c>
    </row>
    <row r="21" spans="1:16">
      <c r="A21" t="s">
        <v>1212</v>
      </c>
      <c r="B21">
        <v>13</v>
      </c>
      <c r="C21">
        <v>163</v>
      </c>
      <c r="D21" t="s">
        <v>4536</v>
      </c>
      <c r="E21" t="s">
        <v>4537</v>
      </c>
      <c r="F21" t="s">
        <v>4538</v>
      </c>
      <c r="G21">
        <v>16301</v>
      </c>
      <c r="H21" t="s">
        <v>3414</v>
      </c>
      <c r="I21" t="s">
        <v>3391</v>
      </c>
      <c r="J21" t="s">
        <v>3392</v>
      </c>
      <c r="K21" t="s">
        <v>3304</v>
      </c>
      <c r="L21" t="s">
        <v>6778</v>
      </c>
      <c r="M21" t="s">
        <v>6779</v>
      </c>
      <c r="N21" t="s">
        <v>6792</v>
      </c>
      <c r="O21">
        <v>1</v>
      </c>
      <c r="P21" t="str">
        <f>+BARRAS[[#This Row],[Barra]]&amp;"_"&amp;BARRAS[[#This Row],[Nivel de tensión]]</f>
        <v>RENGO_13</v>
      </c>
    </row>
    <row r="22" spans="1:16">
      <c r="A22" t="s">
        <v>1273</v>
      </c>
      <c r="B22">
        <v>13</v>
      </c>
      <c r="C22">
        <v>1042</v>
      </c>
      <c r="D22" t="s">
        <v>4640</v>
      </c>
      <c r="E22" t="s">
        <v>4641</v>
      </c>
      <c r="F22" t="s">
        <v>4642</v>
      </c>
      <c r="G22">
        <v>16301</v>
      </c>
      <c r="H22" t="s">
        <v>3418</v>
      </c>
      <c r="I22" t="s">
        <v>3391</v>
      </c>
      <c r="J22" t="s">
        <v>3392</v>
      </c>
      <c r="K22" t="s">
        <v>3302</v>
      </c>
      <c r="L22" t="s">
        <v>6778</v>
      </c>
      <c r="M22" t="s">
        <v>6779</v>
      </c>
      <c r="N22" t="s">
        <v>6792</v>
      </c>
      <c r="O22">
        <v>1</v>
      </c>
      <c r="P22" t="str">
        <f>+BARRAS[[#This Row],[Barra]]&amp;"_"&amp;BARRAS[[#This Row],[Nivel de tensión]]</f>
        <v>S.RAFAEL_13</v>
      </c>
    </row>
    <row r="23" spans="1:16">
      <c r="A23" t="s">
        <v>4750</v>
      </c>
      <c r="B23">
        <v>220</v>
      </c>
      <c r="C23">
        <v>1</v>
      </c>
      <c r="D23" t="s">
        <v>3397</v>
      </c>
      <c r="E23" t="s">
        <v>4752</v>
      </c>
      <c r="F23" t="s">
        <v>3420</v>
      </c>
      <c r="G23">
        <v>16301</v>
      </c>
      <c r="H23" t="s">
        <v>3409</v>
      </c>
      <c r="I23" t="s">
        <v>3391</v>
      </c>
      <c r="J23" t="s">
        <v>3392</v>
      </c>
      <c r="K23" t="s">
        <v>6315</v>
      </c>
      <c r="L23" t="s">
        <v>6778</v>
      </c>
      <c r="M23" t="s">
        <v>6779</v>
      </c>
      <c r="N23" t="s">
        <v>6792</v>
      </c>
      <c r="O23">
        <v>1</v>
      </c>
      <c r="P23" t="str">
        <f>+BARRAS[[#This Row],[Barra]]&amp;"_"&amp;BARRAS[[#This Row],[Nivel de tensión]]</f>
        <v>SANTACLARA_220</v>
      </c>
    </row>
    <row r="24" spans="1:16">
      <c r="A24" t="s">
        <v>3861</v>
      </c>
      <c r="B24">
        <v>66</v>
      </c>
      <c r="C24">
        <v>4026</v>
      </c>
      <c r="D24" t="s">
        <v>3397</v>
      </c>
      <c r="E24" t="s">
        <v>3419</v>
      </c>
      <c r="F24" t="s">
        <v>3862</v>
      </c>
      <c r="G24">
        <v>7405</v>
      </c>
      <c r="H24" t="s">
        <v>3405</v>
      </c>
      <c r="I24" t="s">
        <v>3391</v>
      </c>
      <c r="J24" t="s">
        <v>3863</v>
      </c>
      <c r="K24" t="s">
        <v>6315</v>
      </c>
      <c r="L24" t="s">
        <v>6778</v>
      </c>
      <c r="M24" t="s">
        <v>6779</v>
      </c>
      <c r="N24" t="s">
        <v>6792</v>
      </c>
      <c r="O24">
        <v>1</v>
      </c>
      <c r="P24" t="str">
        <f>+BARRAS[[#This Row],[Barra]]&amp;"_"&amp;BARRAS[[#This Row],[Nivel de tensión]]</f>
        <v>TAMANGO_66</v>
      </c>
    </row>
    <row r="25" spans="1:16">
      <c r="A25" t="s">
        <v>3611</v>
      </c>
      <c r="B25">
        <v>110</v>
      </c>
      <c r="C25">
        <v>1</v>
      </c>
      <c r="D25" t="s">
        <v>3397</v>
      </c>
      <c r="E25" t="s">
        <v>3612</v>
      </c>
      <c r="F25" t="s">
        <v>3420</v>
      </c>
      <c r="G25">
        <v>16301</v>
      </c>
      <c r="H25" t="s">
        <v>3418</v>
      </c>
      <c r="I25" t="s">
        <v>3391</v>
      </c>
      <c r="J25" t="s">
        <v>3392</v>
      </c>
      <c r="K25" t="s">
        <v>3302</v>
      </c>
      <c r="L25" t="s">
        <v>6778</v>
      </c>
      <c r="M25" t="s">
        <v>6779</v>
      </c>
      <c r="N25" t="s">
        <v>6792</v>
      </c>
      <c r="O25">
        <v>1</v>
      </c>
      <c r="P25" t="str">
        <f>+BARRAS[[#This Row],[Barra]]&amp;"_"&amp;BARRAS[[#This Row],[Nivel de tensión]]</f>
        <v>TAP1_MAQUIS_110</v>
      </c>
    </row>
    <row r="26" spans="1:16">
      <c r="A26" t="s">
        <v>3714</v>
      </c>
      <c r="B26">
        <v>220</v>
      </c>
      <c r="C26">
        <v>1</v>
      </c>
      <c r="D26" t="s">
        <v>3397</v>
      </c>
      <c r="E26" t="s">
        <v>3720</v>
      </c>
      <c r="F26" t="s">
        <v>3420</v>
      </c>
      <c r="G26">
        <v>16301</v>
      </c>
      <c r="H26" t="s">
        <v>3405</v>
      </c>
      <c r="I26" t="s">
        <v>3391</v>
      </c>
      <c r="J26" t="s">
        <v>3392</v>
      </c>
      <c r="K26" t="s">
        <v>6315</v>
      </c>
      <c r="L26" t="s">
        <v>6778</v>
      </c>
      <c r="M26" t="s">
        <v>6779</v>
      </c>
      <c r="N26" t="s">
        <v>6792</v>
      </c>
      <c r="O26">
        <v>1</v>
      </c>
      <c r="P26" t="str">
        <f>+BARRAS[[#This Row],[Barra]]&amp;"_"&amp;BARRAS[[#This Row],[Nivel de tensión]]</f>
        <v>TOCOPILLA_220</v>
      </c>
    </row>
    <row r="27" spans="1:16">
      <c r="A27" t="s">
        <v>6462</v>
      </c>
      <c r="B27">
        <v>220</v>
      </c>
      <c r="D27" t="s">
        <v>3680</v>
      </c>
      <c r="E27" t="s">
        <v>3925</v>
      </c>
      <c r="F27" t="s">
        <v>6463</v>
      </c>
      <c r="G27">
        <v>1401</v>
      </c>
      <c r="H27" t="s">
        <v>3405</v>
      </c>
      <c r="I27" t="s">
        <v>3683</v>
      </c>
      <c r="J27" t="s">
        <v>6464</v>
      </c>
      <c r="K27" t="s">
        <v>6315</v>
      </c>
      <c r="L27" t="s">
        <v>6778</v>
      </c>
      <c r="M27" t="s">
        <v>6779</v>
      </c>
      <c r="N27" t="s">
        <v>6792</v>
      </c>
      <c r="O27">
        <v>1</v>
      </c>
      <c r="P27" t="str">
        <f>+BARRAS[[#This Row],[Barra]]&amp;"_"&amp;BARRAS[[#This Row],[Nivel de tensión]]</f>
        <v>VICTOR_JARA_220</v>
      </c>
    </row>
    <row r="28" spans="1:16">
      <c r="A28" t="s">
        <v>3613</v>
      </c>
      <c r="B28">
        <v>110</v>
      </c>
      <c r="C28">
        <v>1</v>
      </c>
      <c r="D28" t="s">
        <v>3397</v>
      </c>
      <c r="E28" t="s">
        <v>3419</v>
      </c>
      <c r="F28" t="s">
        <v>3420</v>
      </c>
      <c r="G28">
        <v>16301</v>
      </c>
      <c r="H28" t="s">
        <v>3418</v>
      </c>
      <c r="I28" t="s">
        <v>3391</v>
      </c>
      <c r="J28" t="s">
        <v>3392</v>
      </c>
      <c r="K28" t="s">
        <v>3302</v>
      </c>
      <c r="L28" t="s">
        <v>6778</v>
      </c>
      <c r="M28" t="s">
        <v>6779</v>
      </c>
      <c r="N28" t="s">
        <v>6792</v>
      </c>
      <c r="O28">
        <v>1</v>
      </c>
      <c r="P28" t="str">
        <f>+BARRAS[[#This Row],[Barra]]&amp;"_"&amp;BARRAS[[#This Row],[Nivel de tensión]]</f>
        <v>TAP2_MAQUIS_110</v>
      </c>
    </row>
    <row r="29" spans="1:16">
      <c r="A29" t="s">
        <v>3614</v>
      </c>
      <c r="B29">
        <v>66</v>
      </c>
      <c r="C29">
        <v>1</v>
      </c>
      <c r="D29" t="s">
        <v>3397</v>
      </c>
      <c r="E29" t="s">
        <v>3615</v>
      </c>
      <c r="F29" t="s">
        <v>3616</v>
      </c>
      <c r="G29">
        <v>7102</v>
      </c>
      <c r="H29" t="s">
        <v>3414</v>
      </c>
      <c r="I29" t="s">
        <v>3391</v>
      </c>
      <c r="J29" t="s">
        <v>3617</v>
      </c>
      <c r="K29" t="s">
        <v>6315</v>
      </c>
      <c r="L29" t="s">
        <v>6778</v>
      </c>
      <c r="M29" t="s">
        <v>6779</v>
      </c>
      <c r="N29" t="s">
        <v>6792</v>
      </c>
      <c r="O29">
        <v>1</v>
      </c>
      <c r="P29" t="str">
        <f>+BARRAS[[#This Row],[Barra]]&amp;"_"&amp;BARRAS[[#This Row],[Nivel de tensión]]</f>
        <v>TAPCSJAVIER_66</v>
      </c>
    </row>
    <row r="30" spans="1:16">
      <c r="A30" t="s">
        <v>3618</v>
      </c>
      <c r="B30">
        <v>110</v>
      </c>
      <c r="C30">
        <v>1</v>
      </c>
      <c r="D30" t="s">
        <v>3619</v>
      </c>
      <c r="E30" t="s">
        <v>3620</v>
      </c>
      <c r="F30" t="s">
        <v>3484</v>
      </c>
      <c r="G30">
        <v>16301</v>
      </c>
      <c r="H30" t="s">
        <v>3400</v>
      </c>
      <c r="I30" t="s">
        <v>3391</v>
      </c>
      <c r="J30" t="s">
        <v>3392</v>
      </c>
      <c r="K30" t="s">
        <v>3301</v>
      </c>
      <c r="L30" t="s">
        <v>6778</v>
      </c>
      <c r="M30" t="s">
        <v>6779</v>
      </c>
      <c r="N30" t="s">
        <v>6792</v>
      </c>
      <c r="O30">
        <v>1</v>
      </c>
      <c r="P30" t="str">
        <f>+BARRAS[[#This Row],[Barra]]&amp;"_"&amp;BARRAS[[#This Row],[Nivel de tensión]]</f>
        <v>TAPIMPULSO_110</v>
      </c>
    </row>
    <row r="31" spans="1:16">
      <c r="A31" t="s">
        <v>3621</v>
      </c>
      <c r="B31">
        <v>220</v>
      </c>
      <c r="C31">
        <v>1</v>
      </c>
      <c r="D31" t="s">
        <v>3397</v>
      </c>
      <c r="E31" t="s">
        <v>3622</v>
      </c>
      <c r="F31" t="s">
        <v>3420</v>
      </c>
      <c r="G31">
        <v>16301</v>
      </c>
      <c r="H31" t="s">
        <v>3414</v>
      </c>
      <c r="I31" t="s">
        <v>3391</v>
      </c>
      <c r="J31" t="s">
        <v>3392</v>
      </c>
      <c r="K31" t="s">
        <v>3304</v>
      </c>
      <c r="L31" t="s">
        <v>6778</v>
      </c>
      <c r="M31" t="s">
        <v>6779</v>
      </c>
      <c r="N31" t="s">
        <v>6792</v>
      </c>
      <c r="O31">
        <v>1</v>
      </c>
      <c r="P31" t="str">
        <f>+BARRAS[[#This Row],[Barra]]&amp;"_"&amp;BARRAS[[#This Row],[Nivel de tensión]]</f>
        <v>TAPLLANQUIHUE_220</v>
      </c>
    </row>
    <row r="32" spans="1:16">
      <c r="A32" t="s">
        <v>3623</v>
      </c>
      <c r="B32">
        <v>23</v>
      </c>
      <c r="C32">
        <v>1</v>
      </c>
      <c r="D32" t="s">
        <v>3397</v>
      </c>
      <c r="E32" t="s">
        <v>3419</v>
      </c>
      <c r="F32" t="s">
        <v>3420</v>
      </c>
      <c r="G32">
        <v>16301</v>
      </c>
      <c r="H32" t="s">
        <v>3405</v>
      </c>
      <c r="I32" t="s">
        <v>3391</v>
      </c>
      <c r="J32" t="s">
        <v>3392</v>
      </c>
      <c r="K32" t="s">
        <v>6315</v>
      </c>
      <c r="L32" t="s">
        <v>6778</v>
      </c>
      <c r="M32" t="s">
        <v>6779</v>
      </c>
      <c r="N32" t="s">
        <v>6792</v>
      </c>
      <c r="O32">
        <v>1</v>
      </c>
      <c r="P32" t="str">
        <f>+BARRAS[[#This Row],[Barra]]&amp;"_"&amp;BARRAS[[#This Row],[Nivel de tensión]]</f>
        <v>TAPLLAUQUEREO_23</v>
      </c>
    </row>
    <row r="33" spans="1:16">
      <c r="A33" t="s">
        <v>3624</v>
      </c>
      <c r="B33">
        <v>220</v>
      </c>
      <c r="C33">
        <v>1</v>
      </c>
      <c r="D33" t="s">
        <v>3397</v>
      </c>
      <c r="E33" t="s">
        <v>3625</v>
      </c>
      <c r="F33" t="s">
        <v>3420</v>
      </c>
      <c r="G33">
        <v>16301</v>
      </c>
      <c r="H33" t="s">
        <v>3405</v>
      </c>
      <c r="I33" t="s">
        <v>3391</v>
      </c>
      <c r="J33" t="s">
        <v>3392</v>
      </c>
      <c r="K33" t="s">
        <v>6315</v>
      </c>
      <c r="L33" t="s">
        <v>6778</v>
      </c>
      <c r="M33" t="s">
        <v>6779</v>
      </c>
      <c r="N33" t="s">
        <v>6792</v>
      </c>
      <c r="O33">
        <v>1</v>
      </c>
      <c r="P33" t="str">
        <f>+BARRAS[[#This Row],[Barra]]&amp;"_"&amp;BARRAS[[#This Row],[Nivel de tensión]]</f>
        <v>TAPLOA_220</v>
      </c>
    </row>
    <row r="34" spans="1:16">
      <c r="A34" t="s">
        <v>3626</v>
      </c>
      <c r="B34">
        <v>220</v>
      </c>
      <c r="C34">
        <v>1</v>
      </c>
      <c r="D34" t="s">
        <v>3397</v>
      </c>
      <c r="E34" t="s">
        <v>3419</v>
      </c>
      <c r="F34" t="s">
        <v>3420</v>
      </c>
      <c r="G34">
        <v>16301</v>
      </c>
      <c r="H34" t="s">
        <v>3409</v>
      </c>
      <c r="I34" t="s">
        <v>3391</v>
      </c>
      <c r="J34" t="s">
        <v>3392</v>
      </c>
      <c r="K34" t="s">
        <v>6315</v>
      </c>
      <c r="L34" t="s">
        <v>6778</v>
      </c>
      <c r="M34" t="s">
        <v>6779</v>
      </c>
      <c r="N34" t="s">
        <v>6792</v>
      </c>
      <c r="O34">
        <v>1</v>
      </c>
      <c r="P34" t="str">
        <f>+BARRAS[[#This Row],[Barra]]&amp;"_"&amp;BARRAS[[#This Row],[Nivel de tensión]]</f>
        <v>TAPMREDON_220</v>
      </c>
    </row>
    <row r="35" spans="1:16">
      <c r="A35" t="s">
        <v>3627</v>
      </c>
      <c r="B35">
        <v>66</v>
      </c>
      <c r="C35">
        <v>1</v>
      </c>
      <c r="D35" t="s">
        <v>3397</v>
      </c>
      <c r="E35" t="s">
        <v>3628</v>
      </c>
      <c r="F35" t="s">
        <v>3420</v>
      </c>
      <c r="G35">
        <v>16301</v>
      </c>
      <c r="H35" t="s">
        <v>3414</v>
      </c>
      <c r="I35" t="s">
        <v>3391</v>
      </c>
      <c r="J35" t="s">
        <v>3392</v>
      </c>
      <c r="K35" t="s">
        <v>3304</v>
      </c>
      <c r="L35" t="s">
        <v>6778</v>
      </c>
      <c r="M35" t="s">
        <v>6779</v>
      </c>
      <c r="N35" t="s">
        <v>6792</v>
      </c>
      <c r="O35">
        <v>1</v>
      </c>
      <c r="P35" t="str">
        <f>+BARRAS[[#This Row],[Barra]]&amp;"_"&amp;BARRAS[[#This Row],[Nivel de tensión]]</f>
        <v>TAPNEVADO_66</v>
      </c>
    </row>
    <row r="36" spans="1:16">
      <c r="A36" t="s">
        <v>3629</v>
      </c>
      <c r="B36">
        <v>110</v>
      </c>
      <c r="C36">
        <v>1</v>
      </c>
      <c r="D36" t="s">
        <v>3397</v>
      </c>
      <c r="E36" t="s">
        <v>3630</v>
      </c>
      <c r="F36" t="s">
        <v>3420</v>
      </c>
      <c r="G36">
        <v>16301</v>
      </c>
      <c r="H36" t="s">
        <v>3418</v>
      </c>
      <c r="I36" t="s">
        <v>3391</v>
      </c>
      <c r="J36" t="s">
        <v>3392</v>
      </c>
      <c r="K36" t="s">
        <v>3302</v>
      </c>
      <c r="L36" t="s">
        <v>6778</v>
      </c>
      <c r="M36" t="s">
        <v>6779</v>
      </c>
      <c r="N36" t="s">
        <v>6792</v>
      </c>
      <c r="O36">
        <v>1</v>
      </c>
      <c r="P36" t="str">
        <f>+BARRAS[[#This Row],[Barra]]&amp;"_"&amp;BARRAS[[#This Row],[Nivel de tensión]]</f>
        <v>TAPS.FELIPE_110</v>
      </c>
    </row>
    <row r="37" spans="1:16">
      <c r="A37" t="s">
        <v>3631</v>
      </c>
      <c r="B37">
        <v>110</v>
      </c>
      <c r="C37">
        <v>1</v>
      </c>
      <c r="D37" t="s">
        <v>3397</v>
      </c>
      <c r="E37" t="s">
        <v>3632</v>
      </c>
      <c r="F37" t="s">
        <v>3420</v>
      </c>
      <c r="G37">
        <v>16301</v>
      </c>
      <c r="H37" t="s">
        <v>3418</v>
      </c>
      <c r="I37" t="s">
        <v>3391</v>
      </c>
      <c r="J37" t="s">
        <v>3392</v>
      </c>
      <c r="K37" t="s">
        <v>3302</v>
      </c>
      <c r="L37" t="s">
        <v>6778</v>
      </c>
      <c r="M37" t="s">
        <v>6779</v>
      </c>
      <c r="N37" t="s">
        <v>6792</v>
      </c>
      <c r="O37">
        <v>1</v>
      </c>
      <c r="P37" t="str">
        <f>+BARRAS[[#This Row],[Barra]]&amp;"_"&amp;BARRAS[[#This Row],[Nivel de tensión]]</f>
        <v>TAPS.RAFAEL_110</v>
      </c>
    </row>
    <row r="38" spans="1:16">
      <c r="A38" t="s">
        <v>3633</v>
      </c>
      <c r="B38">
        <v>220</v>
      </c>
      <c r="C38">
        <v>1</v>
      </c>
      <c r="D38" t="s">
        <v>3397</v>
      </c>
      <c r="E38" t="s">
        <v>3634</v>
      </c>
      <c r="F38" t="s">
        <v>3420</v>
      </c>
      <c r="G38">
        <v>16301</v>
      </c>
      <c r="H38" t="s">
        <v>3396</v>
      </c>
      <c r="I38" t="s">
        <v>3391</v>
      </c>
      <c r="J38" t="s">
        <v>3392</v>
      </c>
      <c r="K38" t="s">
        <v>6315</v>
      </c>
      <c r="L38" t="s">
        <v>6778</v>
      </c>
      <c r="M38" t="s">
        <v>6779</v>
      </c>
      <c r="N38" t="s">
        <v>6792</v>
      </c>
      <c r="O38">
        <v>1</v>
      </c>
      <c r="P38" t="str">
        <f>+BARRAS[[#This Row],[Barra]]&amp;"_"&amp;BARRAS[[#This Row],[Nivel de tensión]]</f>
        <v>TAPTALTAL1_220</v>
      </c>
    </row>
    <row r="39" spans="1:16">
      <c r="A39" t="s">
        <v>3635</v>
      </c>
      <c r="B39">
        <v>220</v>
      </c>
      <c r="C39">
        <v>1631</v>
      </c>
      <c r="D39" t="s">
        <v>3397</v>
      </c>
      <c r="E39" t="s">
        <v>3636</v>
      </c>
      <c r="F39" t="s">
        <v>3637</v>
      </c>
      <c r="G39">
        <v>16301</v>
      </c>
      <c r="H39" t="s">
        <v>3396</v>
      </c>
      <c r="I39" t="s">
        <v>3391</v>
      </c>
      <c r="J39" t="s">
        <v>3392</v>
      </c>
      <c r="K39" t="s">
        <v>6315</v>
      </c>
      <c r="L39" t="s">
        <v>6778</v>
      </c>
      <c r="M39" t="s">
        <v>6779</v>
      </c>
      <c r="N39" t="s">
        <v>6792</v>
      </c>
      <c r="O39">
        <v>1</v>
      </c>
      <c r="P39" t="str">
        <f>+BARRAS[[#This Row],[Barra]]&amp;"_"&amp;BARRAS[[#This Row],[Nivel de tensión]]</f>
        <v>TAPTALTAL2_220</v>
      </c>
    </row>
    <row r="40" spans="1:16">
      <c r="A40" t="s">
        <v>1445</v>
      </c>
      <c r="B40">
        <v>220</v>
      </c>
      <c r="C40">
        <v>2372</v>
      </c>
      <c r="D40" t="s">
        <v>3638</v>
      </c>
      <c r="E40" t="s">
        <v>3639</v>
      </c>
      <c r="F40" t="s">
        <v>3640</v>
      </c>
      <c r="G40">
        <v>16301</v>
      </c>
      <c r="H40" t="s">
        <v>3409</v>
      </c>
      <c r="I40" t="s">
        <v>3391</v>
      </c>
      <c r="J40" t="s">
        <v>3392</v>
      </c>
      <c r="K40" t="s">
        <v>6315</v>
      </c>
      <c r="L40" t="s">
        <v>6778</v>
      </c>
      <c r="M40" t="s">
        <v>6779</v>
      </c>
      <c r="N40" t="s">
        <v>6792</v>
      </c>
      <c r="O40">
        <v>1</v>
      </c>
      <c r="P40" t="str">
        <f>+BARRAS[[#This Row],[Barra]]&amp;"_"&amp;BARRAS[[#This Row],[Nivel de tensión]]</f>
        <v>TARAPACA_220</v>
      </c>
    </row>
    <row r="41" spans="1:16">
      <c r="A41" t="s">
        <v>3641</v>
      </c>
      <c r="B41">
        <v>220</v>
      </c>
      <c r="C41">
        <v>1</v>
      </c>
      <c r="D41" t="s">
        <v>3397</v>
      </c>
      <c r="E41" t="s">
        <v>3642</v>
      </c>
      <c r="F41" t="s">
        <v>3420</v>
      </c>
      <c r="G41">
        <v>16301</v>
      </c>
      <c r="H41" t="s">
        <v>3405</v>
      </c>
      <c r="I41" t="s">
        <v>3391</v>
      </c>
      <c r="J41" t="s">
        <v>3392</v>
      </c>
      <c r="K41" t="s">
        <v>6315</v>
      </c>
      <c r="L41" t="s">
        <v>6778</v>
      </c>
      <c r="M41" t="s">
        <v>6779</v>
      </c>
      <c r="N41" t="s">
        <v>6792</v>
      </c>
      <c r="O41">
        <v>1</v>
      </c>
      <c r="P41" t="str">
        <f>+BARRAS[[#This Row],[Barra]]&amp;"_"&amp;BARRAS[[#This Row],[Nivel de tensión]]</f>
        <v>TBARRILES_220</v>
      </c>
    </row>
    <row r="42" spans="1:16">
      <c r="A42" t="s">
        <v>3643</v>
      </c>
      <c r="B42">
        <v>220</v>
      </c>
      <c r="C42">
        <v>1</v>
      </c>
      <c r="D42" t="s">
        <v>3397</v>
      </c>
      <c r="E42" t="s">
        <v>3644</v>
      </c>
      <c r="F42" t="s">
        <v>3420</v>
      </c>
      <c r="G42">
        <v>16301</v>
      </c>
      <c r="H42" t="s">
        <v>3405</v>
      </c>
      <c r="I42" t="s">
        <v>3391</v>
      </c>
      <c r="J42" t="s">
        <v>3392</v>
      </c>
      <c r="K42" t="s">
        <v>6315</v>
      </c>
      <c r="L42" t="s">
        <v>6778</v>
      </c>
      <c r="M42" t="s">
        <v>6779</v>
      </c>
      <c r="N42" t="s">
        <v>6792</v>
      </c>
      <c r="O42">
        <v>1</v>
      </c>
      <c r="P42" t="str">
        <f>+BARRAS[[#This Row],[Barra]]&amp;"_"&amp;BARRAS[[#This Row],[Nivel de tensión]]</f>
        <v>TCAPRICORNIO_220</v>
      </c>
    </row>
    <row r="43" spans="1:16">
      <c r="A43" t="s">
        <v>3645</v>
      </c>
      <c r="B43">
        <v>110</v>
      </c>
      <c r="C43">
        <v>1</v>
      </c>
      <c r="D43" t="s">
        <v>3397</v>
      </c>
      <c r="E43" t="s">
        <v>3646</v>
      </c>
      <c r="F43" t="s">
        <v>3420</v>
      </c>
      <c r="G43">
        <v>16301</v>
      </c>
      <c r="H43" t="s">
        <v>3443</v>
      </c>
      <c r="I43" t="s">
        <v>3391</v>
      </c>
      <c r="J43" t="s">
        <v>3392</v>
      </c>
      <c r="K43" t="s">
        <v>3300</v>
      </c>
      <c r="L43" t="s">
        <v>6778</v>
      </c>
      <c r="M43" t="s">
        <v>6779</v>
      </c>
      <c r="N43" t="s">
        <v>6792</v>
      </c>
      <c r="O43">
        <v>1</v>
      </c>
      <c r="P43" t="str">
        <f>+BARRAS[[#This Row],[Barra]]&amp;"_"&amp;BARRAS[[#This Row],[Nivel de tensión]]</f>
        <v>TCERROBALCON_110</v>
      </c>
    </row>
    <row r="44" spans="1:16">
      <c r="A44" t="s">
        <v>3647</v>
      </c>
      <c r="B44">
        <v>220</v>
      </c>
      <c r="C44">
        <v>2820</v>
      </c>
      <c r="D44" t="s">
        <v>3397</v>
      </c>
      <c r="E44" t="s">
        <v>3648</v>
      </c>
      <c r="F44" t="s">
        <v>3649</v>
      </c>
      <c r="G44">
        <v>16301</v>
      </c>
      <c r="H44" t="s">
        <v>3405</v>
      </c>
      <c r="I44" t="s">
        <v>3391</v>
      </c>
      <c r="J44" t="s">
        <v>3392</v>
      </c>
      <c r="K44" t="s">
        <v>6315</v>
      </c>
      <c r="L44" t="s">
        <v>6778</v>
      </c>
      <c r="M44" t="s">
        <v>6779</v>
      </c>
      <c r="N44" t="s">
        <v>6792</v>
      </c>
      <c r="O44">
        <v>1</v>
      </c>
      <c r="P44" t="str">
        <f>+BARRAS[[#This Row],[Barra]]&amp;"_"&amp;BARRAS[[#This Row],[Nivel de tensión]]</f>
        <v>TCHITACK_220</v>
      </c>
    </row>
    <row r="45" spans="1:16">
      <c r="A45" t="s">
        <v>3650</v>
      </c>
      <c r="B45">
        <v>110</v>
      </c>
      <c r="C45">
        <v>1</v>
      </c>
      <c r="D45" t="s">
        <v>3397</v>
      </c>
      <c r="E45" t="s">
        <v>3651</v>
      </c>
      <c r="F45" t="s">
        <v>3420</v>
      </c>
      <c r="G45">
        <v>16301</v>
      </c>
      <c r="H45" t="s">
        <v>3443</v>
      </c>
      <c r="I45" t="s">
        <v>3391</v>
      </c>
      <c r="J45" t="s">
        <v>3392</v>
      </c>
      <c r="K45" t="s">
        <v>3300</v>
      </c>
      <c r="L45" t="s">
        <v>6778</v>
      </c>
      <c r="M45" t="s">
        <v>6779</v>
      </c>
      <c r="N45" t="s">
        <v>6792</v>
      </c>
      <c r="O45">
        <v>1</v>
      </c>
      <c r="P45" t="str">
        <f>+BARRAS[[#This Row],[Barra]]&amp;"_"&amp;BARRAS[[#This Row],[Nivel de tensión]]</f>
        <v>TCHIZA_110</v>
      </c>
    </row>
    <row r="46" spans="1:16">
      <c r="A46" t="s">
        <v>3654</v>
      </c>
      <c r="B46">
        <v>13</v>
      </c>
      <c r="C46">
        <v>2771</v>
      </c>
      <c r="D46" t="s">
        <v>3655</v>
      </c>
      <c r="E46" t="s">
        <v>3656</v>
      </c>
      <c r="F46" t="s">
        <v>3657</v>
      </c>
      <c r="G46">
        <v>16301</v>
      </c>
      <c r="H46" t="s">
        <v>3443</v>
      </c>
      <c r="I46" t="s">
        <v>3391</v>
      </c>
      <c r="J46" t="s">
        <v>3392</v>
      </c>
      <c r="K46" t="s">
        <v>3300</v>
      </c>
      <c r="L46" t="s">
        <v>6778</v>
      </c>
      <c r="M46" t="s">
        <v>6779</v>
      </c>
      <c r="N46" t="s">
        <v>6792</v>
      </c>
      <c r="O46">
        <v>1</v>
      </c>
      <c r="P46" t="str">
        <f>+BARRAS[[#This Row],[Barra]]&amp;"_"&amp;BARRAS[[#This Row],[Nivel de tensión]]</f>
        <v>TCUYA_13</v>
      </c>
    </row>
    <row r="47" spans="1:16">
      <c r="A47" t="s">
        <v>3654</v>
      </c>
      <c r="B47">
        <v>110</v>
      </c>
      <c r="C47">
        <v>1</v>
      </c>
      <c r="D47" t="s">
        <v>3397</v>
      </c>
      <c r="E47" t="s">
        <v>3658</v>
      </c>
      <c r="F47" t="s">
        <v>3420</v>
      </c>
      <c r="G47">
        <v>16301</v>
      </c>
      <c r="H47" t="s">
        <v>3443</v>
      </c>
      <c r="I47" t="s">
        <v>3391</v>
      </c>
      <c r="J47" t="s">
        <v>3392</v>
      </c>
      <c r="K47" t="s">
        <v>3300</v>
      </c>
      <c r="L47" t="s">
        <v>6778</v>
      </c>
      <c r="M47" t="s">
        <v>6779</v>
      </c>
      <c r="N47" t="s">
        <v>6792</v>
      </c>
      <c r="O47">
        <v>1</v>
      </c>
      <c r="P47" t="str">
        <f>+BARRAS[[#This Row],[Barra]]&amp;"_"&amp;BARRAS[[#This Row],[Nivel de tensión]]</f>
        <v>TCUYA_110</v>
      </c>
    </row>
    <row r="48" spans="1:16">
      <c r="A48" t="s">
        <v>6625</v>
      </c>
      <c r="B48">
        <v>220</v>
      </c>
      <c r="D48" t="s">
        <v>3680</v>
      </c>
      <c r="E48" t="s">
        <v>3925</v>
      </c>
      <c r="F48" t="s">
        <v>6626</v>
      </c>
      <c r="G48">
        <v>1401</v>
      </c>
      <c r="H48" t="s">
        <v>3409</v>
      </c>
      <c r="I48" t="s">
        <v>3683</v>
      </c>
      <c r="J48" t="s">
        <v>6403</v>
      </c>
      <c r="K48" t="s">
        <v>6315</v>
      </c>
      <c r="L48" t="s">
        <v>6778</v>
      </c>
      <c r="M48" t="s">
        <v>6779</v>
      </c>
      <c r="N48" t="s">
        <v>6792</v>
      </c>
      <c r="O48">
        <v>1</v>
      </c>
      <c r="P48" t="str">
        <f>+BARRAS[[#This Row],[Barra]]&amp;"_"&amp;BARRAS[[#This Row],[Nivel de tensión]]</f>
        <v>TEA_220</v>
      </c>
    </row>
    <row r="49" spans="1:16">
      <c r="A49" t="s">
        <v>1454</v>
      </c>
      <c r="B49">
        <v>13</v>
      </c>
      <c r="C49">
        <v>1273</v>
      </c>
      <c r="D49" t="s">
        <v>3659</v>
      </c>
      <c r="E49" t="s">
        <v>3660</v>
      </c>
      <c r="F49" t="s">
        <v>3661</v>
      </c>
      <c r="G49">
        <v>16301</v>
      </c>
      <c r="H49" t="s">
        <v>3414</v>
      </c>
      <c r="I49" t="s">
        <v>3391</v>
      </c>
      <c r="J49" t="s">
        <v>3392</v>
      </c>
      <c r="K49" t="s">
        <v>3304</v>
      </c>
      <c r="L49" t="s">
        <v>6778</v>
      </c>
      <c r="M49" t="s">
        <v>6779</v>
      </c>
      <c r="N49" t="s">
        <v>6792</v>
      </c>
      <c r="O49">
        <v>1</v>
      </c>
      <c r="P49" t="str">
        <f>+BARRAS[[#This Row],[Barra]]&amp;"_"&amp;BARRAS[[#This Row],[Nivel de tensión]]</f>
        <v>TEMUCO_13</v>
      </c>
    </row>
    <row r="50" spans="1:16">
      <c r="A50" t="s">
        <v>1454</v>
      </c>
      <c r="B50">
        <v>23</v>
      </c>
      <c r="C50">
        <v>1761</v>
      </c>
      <c r="D50" t="s">
        <v>3662</v>
      </c>
      <c r="E50" t="s">
        <v>3663</v>
      </c>
      <c r="F50" t="s">
        <v>3661</v>
      </c>
      <c r="G50">
        <v>16301</v>
      </c>
      <c r="H50" t="s">
        <v>3414</v>
      </c>
      <c r="I50" t="s">
        <v>3391</v>
      </c>
      <c r="J50" t="s">
        <v>3392</v>
      </c>
      <c r="K50" t="s">
        <v>3304</v>
      </c>
      <c r="L50" t="s">
        <v>6778</v>
      </c>
      <c r="M50" t="s">
        <v>6779</v>
      </c>
      <c r="N50" t="s">
        <v>6792</v>
      </c>
      <c r="O50">
        <v>1</v>
      </c>
      <c r="P50" t="str">
        <f>+BARRAS[[#This Row],[Barra]]&amp;"_"&amp;BARRAS[[#This Row],[Nivel de tensión]]</f>
        <v>TEMUCO_23</v>
      </c>
    </row>
    <row r="51" spans="1:16">
      <c r="A51" t="s">
        <v>1454</v>
      </c>
      <c r="B51">
        <v>66</v>
      </c>
      <c r="C51">
        <v>1</v>
      </c>
      <c r="D51" t="s">
        <v>3397</v>
      </c>
      <c r="E51" t="s">
        <v>3664</v>
      </c>
      <c r="F51" t="s">
        <v>3420</v>
      </c>
      <c r="G51">
        <v>16301</v>
      </c>
      <c r="H51" t="s">
        <v>3414</v>
      </c>
      <c r="I51" t="s">
        <v>3391</v>
      </c>
      <c r="J51" t="s">
        <v>3392</v>
      </c>
      <c r="K51" t="s">
        <v>3304</v>
      </c>
      <c r="L51" t="s">
        <v>6778</v>
      </c>
      <c r="M51" t="s">
        <v>6779</v>
      </c>
      <c r="N51" t="s">
        <v>6792</v>
      </c>
      <c r="O51">
        <v>1</v>
      </c>
      <c r="P51" t="str">
        <f>+BARRAS[[#This Row],[Barra]]&amp;"_"&amp;BARRAS[[#This Row],[Nivel de tensión]]</f>
        <v>TEMUCO_66</v>
      </c>
    </row>
    <row r="52" spans="1:16">
      <c r="A52" t="s">
        <v>1454</v>
      </c>
      <c r="B52">
        <v>220</v>
      </c>
      <c r="C52">
        <v>527</v>
      </c>
      <c r="D52" t="s">
        <v>3665</v>
      </c>
      <c r="E52" t="s">
        <v>3666</v>
      </c>
      <c r="F52" t="s">
        <v>3661</v>
      </c>
      <c r="G52">
        <v>16301</v>
      </c>
      <c r="H52" t="s">
        <v>3414</v>
      </c>
      <c r="I52" t="s">
        <v>3391</v>
      </c>
      <c r="J52" t="s">
        <v>3392</v>
      </c>
      <c r="K52" t="s">
        <v>3304</v>
      </c>
      <c r="L52" t="s">
        <v>6778</v>
      </c>
      <c r="M52" t="s">
        <v>6779</v>
      </c>
      <c r="N52" t="s">
        <v>6792</v>
      </c>
      <c r="O52">
        <v>1</v>
      </c>
      <c r="P52" t="str">
        <f>+BARRAS[[#This Row],[Barra]]&amp;"_"&amp;BARRAS[[#This Row],[Nivel de tensión]]</f>
        <v>TEMUCO_220</v>
      </c>
    </row>
    <row r="53" spans="1:16">
      <c r="A53" t="s">
        <v>3721</v>
      </c>
      <c r="B53">
        <v>220</v>
      </c>
      <c r="C53">
        <v>1</v>
      </c>
      <c r="D53" t="s">
        <v>3397</v>
      </c>
      <c r="E53" t="s">
        <v>3419</v>
      </c>
      <c r="F53" t="s">
        <v>3420</v>
      </c>
      <c r="G53">
        <v>16301</v>
      </c>
      <c r="H53" t="s">
        <v>3405</v>
      </c>
      <c r="I53" t="s">
        <v>3391</v>
      </c>
      <c r="J53" t="s">
        <v>3392</v>
      </c>
      <c r="K53" t="s">
        <v>6315</v>
      </c>
      <c r="L53" t="s">
        <v>6778</v>
      </c>
      <c r="M53" t="s">
        <v>6779</v>
      </c>
      <c r="N53" t="s">
        <v>6792</v>
      </c>
      <c r="O53">
        <v>1</v>
      </c>
      <c r="P53" t="str">
        <f>+BARRAS[[#This Row],[Barra]]&amp;"_"&amp;BARRAS[[#This Row],[Nivel de tensión]]</f>
        <v>TOESTE_220</v>
      </c>
    </row>
    <row r="54" spans="1:16">
      <c r="A54" t="s">
        <v>3722</v>
      </c>
      <c r="B54">
        <v>110</v>
      </c>
      <c r="C54">
        <v>1</v>
      </c>
      <c r="D54" t="s">
        <v>3397</v>
      </c>
      <c r="E54" t="s">
        <v>3723</v>
      </c>
      <c r="F54" t="s">
        <v>3420</v>
      </c>
      <c r="G54">
        <v>16301</v>
      </c>
      <c r="H54" t="s">
        <v>3443</v>
      </c>
      <c r="I54" t="s">
        <v>3391</v>
      </c>
      <c r="J54" t="s">
        <v>3392</v>
      </c>
      <c r="K54" t="s">
        <v>3300</v>
      </c>
      <c r="L54" t="s">
        <v>6778</v>
      </c>
      <c r="M54" t="s">
        <v>6779</v>
      </c>
      <c r="N54" t="s">
        <v>6792</v>
      </c>
      <c r="O54">
        <v>1</v>
      </c>
      <c r="P54" t="str">
        <f>+BARRAS[[#This Row],[Barra]]&amp;"_"&amp;BARRAS[[#This Row],[Nivel de tensión]]</f>
        <v>TOFF.DESALANT_110</v>
      </c>
    </row>
    <row r="55" spans="1:16">
      <c r="A55" t="s">
        <v>3724</v>
      </c>
      <c r="B55">
        <v>23</v>
      </c>
      <c r="C55">
        <v>2315</v>
      </c>
      <c r="D55" t="s">
        <v>3725</v>
      </c>
      <c r="E55" t="s">
        <v>3726</v>
      </c>
      <c r="F55" t="s">
        <v>3727</v>
      </c>
      <c r="G55">
        <v>16301</v>
      </c>
      <c r="H55" t="s">
        <v>3396</v>
      </c>
      <c r="I55" t="s">
        <v>3391</v>
      </c>
      <c r="J55" t="s">
        <v>3392</v>
      </c>
      <c r="K55" t="s">
        <v>6315</v>
      </c>
      <c r="L55" t="s">
        <v>6778</v>
      </c>
      <c r="M55" t="s">
        <v>6779</v>
      </c>
      <c r="N55" t="s">
        <v>6792</v>
      </c>
      <c r="O55">
        <v>1</v>
      </c>
      <c r="P55" t="str">
        <f>+BARRAS[[#This Row],[Barra]]&amp;"_"&amp;BARRAS[[#This Row],[Nivel de tensión]]</f>
        <v>TOFF.DOLORES_23</v>
      </c>
    </row>
    <row r="56" spans="1:16">
      <c r="A56" t="s">
        <v>3724</v>
      </c>
      <c r="B56">
        <v>110</v>
      </c>
      <c r="C56">
        <v>1</v>
      </c>
      <c r="D56" t="s">
        <v>3397</v>
      </c>
      <c r="E56" t="s">
        <v>3728</v>
      </c>
      <c r="F56" t="s">
        <v>3420</v>
      </c>
      <c r="G56">
        <v>16301</v>
      </c>
      <c r="H56" t="s">
        <v>3443</v>
      </c>
      <c r="I56" t="s">
        <v>3391</v>
      </c>
      <c r="J56" t="s">
        <v>3392</v>
      </c>
      <c r="K56" t="s">
        <v>3300</v>
      </c>
      <c r="L56" t="s">
        <v>6778</v>
      </c>
      <c r="M56" t="s">
        <v>6779</v>
      </c>
      <c r="N56" t="s">
        <v>6792</v>
      </c>
      <c r="O56">
        <v>1</v>
      </c>
      <c r="P56" t="str">
        <f>+BARRAS[[#This Row],[Barra]]&amp;"_"&amp;BARRAS[[#This Row],[Nivel de tensión]]</f>
        <v>TOFF.DOLORES_110</v>
      </c>
    </row>
    <row r="57" spans="1:16">
      <c r="A57" t="s">
        <v>6614</v>
      </c>
      <c r="B57">
        <v>220</v>
      </c>
      <c r="D57" t="s">
        <v>3680</v>
      </c>
      <c r="E57" t="s">
        <v>3925</v>
      </c>
      <c r="F57" t="s">
        <v>6615</v>
      </c>
      <c r="G57">
        <v>5107</v>
      </c>
      <c r="H57" t="s">
        <v>3405</v>
      </c>
      <c r="I57" t="s">
        <v>3683</v>
      </c>
      <c r="J57" t="s">
        <v>6403</v>
      </c>
      <c r="K57" t="s">
        <v>6315</v>
      </c>
      <c r="L57" t="s">
        <v>6778</v>
      </c>
      <c r="M57" t="s">
        <v>6779</v>
      </c>
      <c r="N57" t="s">
        <v>6792</v>
      </c>
      <c r="O57">
        <v>1</v>
      </c>
      <c r="P57" t="str">
        <f>+BARRAS[[#This Row],[Barra]]&amp;"_"&amp;BARRAS[[#This Row],[Nivel de tensión]]</f>
        <v>TOFF.GARZAS_220</v>
      </c>
    </row>
    <row r="58" spans="1:16">
      <c r="A58" t="s">
        <v>6486</v>
      </c>
      <c r="B58">
        <v>220</v>
      </c>
      <c r="D58" t="s">
        <v>3680</v>
      </c>
      <c r="E58" t="s">
        <v>3681</v>
      </c>
      <c r="F58" t="s">
        <v>6487</v>
      </c>
      <c r="G58">
        <v>4204</v>
      </c>
      <c r="H58" t="s">
        <v>3405</v>
      </c>
      <c r="I58" t="s">
        <v>3683</v>
      </c>
      <c r="J58" t="s">
        <v>6488</v>
      </c>
      <c r="K58" t="s">
        <v>6315</v>
      </c>
      <c r="L58" t="s">
        <v>6778</v>
      </c>
      <c r="M58" t="s">
        <v>6779</v>
      </c>
      <c r="N58" t="s">
        <v>6792</v>
      </c>
      <c r="O58">
        <v>1</v>
      </c>
      <c r="P58" t="str">
        <f>+BARRAS[[#This Row],[Barra]]&amp;"_"&amp;BARRAS[[#This Row],[Nivel de tensión]]</f>
        <v>TOFF.MAURO_220</v>
      </c>
    </row>
    <row r="59" spans="1:16">
      <c r="A59" t="s">
        <v>6536</v>
      </c>
      <c r="B59">
        <v>220</v>
      </c>
      <c r="D59" t="s">
        <v>3680</v>
      </c>
      <c r="E59" t="s">
        <v>3925</v>
      </c>
      <c r="F59" t="s">
        <v>6537</v>
      </c>
      <c r="G59">
        <v>2103</v>
      </c>
      <c r="H59" t="s">
        <v>3405</v>
      </c>
      <c r="I59" t="s">
        <v>3683</v>
      </c>
      <c r="J59" t="s">
        <v>6530</v>
      </c>
      <c r="K59" t="s">
        <v>6315</v>
      </c>
      <c r="L59" t="s">
        <v>6778</v>
      </c>
      <c r="M59" t="s">
        <v>6779</v>
      </c>
      <c r="N59" t="s">
        <v>6792</v>
      </c>
      <c r="O59">
        <v>1</v>
      </c>
      <c r="P59" t="str">
        <f>+BARRAS[[#This Row],[Barra]]&amp;"_"&amp;BARRAS[[#This Row],[Nivel de tensión]]</f>
        <v>TOFF.MISTRAL_220</v>
      </c>
    </row>
    <row r="60" spans="1:16">
      <c r="A60" t="s">
        <v>3729</v>
      </c>
      <c r="B60">
        <v>66</v>
      </c>
      <c r="C60">
        <v>1</v>
      </c>
      <c r="D60" t="s">
        <v>3397</v>
      </c>
      <c r="E60" t="s">
        <v>3730</v>
      </c>
      <c r="F60" t="s">
        <v>3420</v>
      </c>
      <c r="G60">
        <v>16301</v>
      </c>
      <c r="H60" t="s">
        <v>3405</v>
      </c>
      <c r="I60" t="s">
        <v>3391</v>
      </c>
      <c r="J60" t="s">
        <v>3392</v>
      </c>
      <c r="K60" t="s">
        <v>6315</v>
      </c>
      <c r="L60" t="s">
        <v>6778</v>
      </c>
      <c r="M60" t="s">
        <v>6779</v>
      </c>
      <c r="N60" t="s">
        <v>6792</v>
      </c>
      <c r="O60">
        <v>1</v>
      </c>
      <c r="P60" t="str">
        <f>+BARRAS[[#This Row],[Barra]]&amp;"_"&amp;BARRAS[[#This Row],[Nivel de tensión]]</f>
        <v>TOFF.QUIANI_66</v>
      </c>
    </row>
    <row r="61" spans="1:16">
      <c r="A61" t="s">
        <v>3731</v>
      </c>
      <c r="B61">
        <v>220</v>
      </c>
      <c r="C61">
        <v>1</v>
      </c>
      <c r="D61" t="s">
        <v>3397</v>
      </c>
      <c r="E61" t="s">
        <v>3419</v>
      </c>
      <c r="F61" t="s">
        <v>3420</v>
      </c>
      <c r="G61">
        <v>16301</v>
      </c>
      <c r="H61" t="s">
        <v>3405</v>
      </c>
      <c r="I61" t="s">
        <v>3391</v>
      </c>
      <c r="J61" t="s">
        <v>3392</v>
      </c>
      <c r="K61" t="s">
        <v>6315</v>
      </c>
      <c r="L61" t="s">
        <v>6778</v>
      </c>
      <c r="M61" t="s">
        <v>6779</v>
      </c>
      <c r="N61" t="s">
        <v>6792</v>
      </c>
      <c r="O61">
        <v>1</v>
      </c>
      <c r="P61" t="str">
        <f>+BARRAS[[#This Row],[Barra]]&amp;"_"&amp;BARRAS[[#This Row],[Nivel de tensión]]</f>
        <v>TOFF.QUILLA_220</v>
      </c>
    </row>
    <row r="62" spans="1:16">
      <c r="A62" t="s">
        <v>3732</v>
      </c>
      <c r="B62">
        <v>220</v>
      </c>
      <c r="C62">
        <v>1</v>
      </c>
      <c r="D62" t="s">
        <v>3397</v>
      </c>
      <c r="E62" t="s">
        <v>3733</v>
      </c>
      <c r="F62" t="s">
        <v>3420</v>
      </c>
      <c r="G62">
        <v>16301</v>
      </c>
      <c r="H62" t="s">
        <v>3405</v>
      </c>
      <c r="I62" t="s">
        <v>3391</v>
      </c>
      <c r="J62" t="s">
        <v>3392</v>
      </c>
      <c r="K62" t="s">
        <v>6315</v>
      </c>
      <c r="L62" t="s">
        <v>6778</v>
      </c>
      <c r="M62" t="s">
        <v>6779</v>
      </c>
      <c r="N62" t="s">
        <v>6792</v>
      </c>
      <c r="O62">
        <v>1</v>
      </c>
      <c r="P62" t="str">
        <f>+BARRAS[[#This Row],[Barra]]&amp;"_"&amp;BARRAS[[#This Row],[Nivel de tensión]]</f>
        <v>TOLPAN_220</v>
      </c>
    </row>
    <row r="63" spans="1:16">
      <c r="A63" t="s">
        <v>3734</v>
      </c>
      <c r="B63">
        <v>23</v>
      </c>
      <c r="C63">
        <v>276</v>
      </c>
      <c r="D63" t="s">
        <v>3735</v>
      </c>
      <c r="E63" t="s">
        <v>3736</v>
      </c>
      <c r="F63" t="s">
        <v>3737</v>
      </c>
      <c r="G63">
        <v>16301</v>
      </c>
      <c r="H63" t="s">
        <v>3414</v>
      </c>
      <c r="I63" t="s">
        <v>3391</v>
      </c>
      <c r="J63" t="s">
        <v>3392</v>
      </c>
      <c r="K63" t="s">
        <v>3304</v>
      </c>
      <c r="L63" t="s">
        <v>6778</v>
      </c>
      <c r="M63" t="s">
        <v>6779</v>
      </c>
      <c r="N63" t="s">
        <v>6792</v>
      </c>
      <c r="O63">
        <v>1</v>
      </c>
      <c r="P63" t="str">
        <f>+BARRAS[[#This Row],[Barra]]&amp;"_"&amp;BARRAS[[#This Row],[Nivel de tensión]]</f>
        <v>TOME_23</v>
      </c>
    </row>
    <row r="64" spans="1:16">
      <c r="A64" t="s">
        <v>3734</v>
      </c>
      <c r="B64">
        <v>66</v>
      </c>
      <c r="C64">
        <v>1</v>
      </c>
      <c r="D64" t="s">
        <v>3397</v>
      </c>
      <c r="E64" t="s">
        <v>3738</v>
      </c>
      <c r="F64" t="s">
        <v>3420</v>
      </c>
      <c r="G64">
        <v>16301</v>
      </c>
      <c r="H64" t="s">
        <v>3414</v>
      </c>
      <c r="I64" t="s">
        <v>3391</v>
      </c>
      <c r="J64" t="s">
        <v>3392</v>
      </c>
      <c r="K64" t="s">
        <v>3304</v>
      </c>
      <c r="L64" t="s">
        <v>6778</v>
      </c>
      <c r="M64" t="s">
        <v>6779</v>
      </c>
      <c r="N64" t="s">
        <v>6792</v>
      </c>
      <c r="O64">
        <v>1</v>
      </c>
      <c r="P64" t="str">
        <f>+BARRAS[[#This Row],[Barra]]&amp;"_"&amp;BARRAS[[#This Row],[Nivel de tensión]]</f>
        <v>TOME_66</v>
      </c>
    </row>
    <row r="65" spans="1:16">
      <c r="A65" t="s">
        <v>3739</v>
      </c>
      <c r="B65">
        <v>110</v>
      </c>
      <c r="C65">
        <v>1351</v>
      </c>
      <c r="D65" t="s">
        <v>3740</v>
      </c>
      <c r="E65" t="s">
        <v>3741</v>
      </c>
      <c r="F65" t="s">
        <v>3742</v>
      </c>
      <c r="G65">
        <v>16301</v>
      </c>
      <c r="H65" t="s">
        <v>3418</v>
      </c>
      <c r="I65" t="s">
        <v>3391</v>
      </c>
      <c r="J65" t="s">
        <v>3392</v>
      </c>
      <c r="K65" t="s">
        <v>3302</v>
      </c>
      <c r="L65" t="s">
        <v>6778</v>
      </c>
      <c r="M65" t="s">
        <v>6779</v>
      </c>
      <c r="N65" t="s">
        <v>6792</v>
      </c>
      <c r="O65">
        <v>1</v>
      </c>
      <c r="P65" t="str">
        <f>+BARRAS[[#This Row],[Barra]]&amp;"_"&amp;BARRAS[[#This Row],[Nivel de tensión]]</f>
        <v>TORQUEMADA_110</v>
      </c>
    </row>
    <row r="66" spans="1:16">
      <c r="A66" t="s">
        <v>6576</v>
      </c>
      <c r="B66">
        <v>66</v>
      </c>
      <c r="C66">
        <v>4775</v>
      </c>
      <c r="D66" t="s">
        <v>3397</v>
      </c>
      <c r="E66" t="s">
        <v>3419</v>
      </c>
      <c r="F66" t="s">
        <v>6577</v>
      </c>
      <c r="G66">
        <v>6115</v>
      </c>
      <c r="H66" t="s">
        <v>3414</v>
      </c>
      <c r="I66" t="s">
        <v>3391</v>
      </c>
      <c r="J66" t="s">
        <v>3466</v>
      </c>
      <c r="K66" t="s">
        <v>3304</v>
      </c>
      <c r="L66" t="s">
        <v>6778</v>
      </c>
      <c r="M66" t="s">
        <v>6779</v>
      </c>
      <c r="N66" t="s">
        <v>6792</v>
      </c>
      <c r="O66">
        <v>1</v>
      </c>
      <c r="P66" t="str">
        <f>+BARRAS[[#This Row],[Barra]]&amp;"_"&amp;BARRAS[[#This Row],[Nivel de tensión]]</f>
        <v>TOTIHUE_66</v>
      </c>
    </row>
    <row r="67" spans="1:16">
      <c r="A67" t="s">
        <v>6576</v>
      </c>
      <c r="B67">
        <v>220</v>
      </c>
      <c r="C67">
        <v>4773</v>
      </c>
      <c r="D67" t="s">
        <v>3397</v>
      </c>
      <c r="E67" t="s">
        <v>3419</v>
      </c>
      <c r="F67" t="s">
        <v>6577</v>
      </c>
      <c r="G67">
        <v>6115</v>
      </c>
      <c r="H67" t="s">
        <v>3414</v>
      </c>
      <c r="I67" t="s">
        <v>3391</v>
      </c>
      <c r="J67" t="s">
        <v>3466</v>
      </c>
      <c r="K67" t="s">
        <v>3304</v>
      </c>
      <c r="L67" t="s">
        <v>6778</v>
      </c>
      <c r="M67" t="s">
        <v>6779</v>
      </c>
      <c r="N67" t="s">
        <v>6792</v>
      </c>
      <c r="O67">
        <v>1</v>
      </c>
      <c r="P67" t="str">
        <f>+BARRAS[[#This Row],[Barra]]&amp;"_"&amp;BARRAS[[#This Row],[Nivel de tensión]]</f>
        <v>TOTIHUE_220</v>
      </c>
    </row>
    <row r="68" spans="1:16">
      <c r="A68" t="s">
        <v>1494</v>
      </c>
      <c r="B68">
        <v>12</v>
      </c>
      <c r="C68">
        <v>1079</v>
      </c>
      <c r="D68" t="s">
        <v>3743</v>
      </c>
      <c r="E68" t="s">
        <v>3744</v>
      </c>
      <c r="F68" t="s">
        <v>3745</v>
      </c>
      <c r="G68">
        <v>16301</v>
      </c>
      <c r="H68" t="s">
        <v>3418</v>
      </c>
      <c r="I68" t="s">
        <v>3391</v>
      </c>
      <c r="J68" t="s">
        <v>3392</v>
      </c>
      <c r="K68" t="s">
        <v>3302</v>
      </c>
      <c r="L68" t="s">
        <v>6778</v>
      </c>
      <c r="M68" t="s">
        <v>6779</v>
      </c>
      <c r="N68" t="s">
        <v>6792</v>
      </c>
      <c r="O68">
        <v>1</v>
      </c>
      <c r="P68" t="str">
        <f>+BARRAS[[#This Row],[Barra]]&amp;"_"&amp;BARRAS[[#This Row],[Nivel de tensión]]</f>
        <v>TOTORAL_12</v>
      </c>
    </row>
    <row r="69" spans="1:16">
      <c r="A69" t="s">
        <v>1494</v>
      </c>
      <c r="B69">
        <v>66</v>
      </c>
      <c r="C69">
        <v>1</v>
      </c>
      <c r="D69" t="s">
        <v>3397</v>
      </c>
      <c r="E69" t="s">
        <v>3746</v>
      </c>
      <c r="F69" t="s">
        <v>3420</v>
      </c>
      <c r="G69">
        <v>16301</v>
      </c>
      <c r="H69" t="s">
        <v>3418</v>
      </c>
      <c r="I69" t="s">
        <v>3391</v>
      </c>
      <c r="J69" t="s">
        <v>3392</v>
      </c>
      <c r="K69" t="s">
        <v>3302</v>
      </c>
      <c r="L69" t="s">
        <v>6778</v>
      </c>
      <c r="M69" t="s">
        <v>6779</v>
      </c>
      <c r="N69" t="s">
        <v>6792</v>
      </c>
      <c r="O69">
        <v>1</v>
      </c>
      <c r="P69" t="str">
        <f>+BARRAS[[#This Row],[Barra]]&amp;"_"&amp;BARRAS[[#This Row],[Nivel de tensión]]</f>
        <v>TOTORAL_66</v>
      </c>
    </row>
    <row r="70" spans="1:16">
      <c r="A70" t="s">
        <v>3747</v>
      </c>
      <c r="B70">
        <v>220</v>
      </c>
      <c r="C70">
        <v>1380</v>
      </c>
      <c r="D70" t="s">
        <v>3748</v>
      </c>
      <c r="E70" t="s">
        <v>3749</v>
      </c>
      <c r="F70" t="s">
        <v>3750</v>
      </c>
      <c r="G70">
        <v>16301</v>
      </c>
      <c r="H70" t="s">
        <v>3405</v>
      </c>
      <c r="I70" t="s">
        <v>3391</v>
      </c>
      <c r="J70" t="s">
        <v>3392</v>
      </c>
      <c r="K70" t="s">
        <v>6315</v>
      </c>
      <c r="L70" t="s">
        <v>6778</v>
      </c>
      <c r="M70" t="s">
        <v>6779</v>
      </c>
      <c r="N70" t="s">
        <v>6792</v>
      </c>
      <c r="O70">
        <v>1</v>
      </c>
      <c r="P70" t="str">
        <f>+BARRAS[[#This Row],[Barra]]&amp;"_"&amp;BARRAS[[#This Row],[Nivel de tensión]]</f>
        <v>TOTORALICMP_220</v>
      </c>
    </row>
    <row r="71" spans="1:16">
      <c r="A71" t="s">
        <v>3751</v>
      </c>
      <c r="B71">
        <v>110</v>
      </c>
      <c r="C71">
        <v>1</v>
      </c>
      <c r="D71" t="s">
        <v>3397</v>
      </c>
      <c r="E71" t="s">
        <v>3752</v>
      </c>
      <c r="F71" t="s">
        <v>3420</v>
      </c>
      <c r="G71">
        <v>16301</v>
      </c>
      <c r="H71" t="s">
        <v>3418</v>
      </c>
      <c r="I71" t="s">
        <v>3391</v>
      </c>
      <c r="J71" t="s">
        <v>3392</v>
      </c>
      <c r="K71" t="s">
        <v>3302</v>
      </c>
      <c r="L71" t="s">
        <v>6778</v>
      </c>
      <c r="M71" t="s">
        <v>6779</v>
      </c>
      <c r="N71" t="s">
        <v>6792</v>
      </c>
      <c r="O71">
        <v>1</v>
      </c>
      <c r="P71" t="str">
        <f>+BARRAS[[#This Row],[Barra]]&amp;"_"&amp;BARRAS[[#This Row],[Nivel de tensión]]</f>
        <v>TOTORALILLO_110</v>
      </c>
    </row>
    <row r="72" spans="1:16">
      <c r="A72" t="s">
        <v>3753</v>
      </c>
      <c r="B72">
        <v>13</v>
      </c>
      <c r="C72">
        <v>174</v>
      </c>
      <c r="D72" t="s">
        <v>3754</v>
      </c>
      <c r="E72" t="s">
        <v>3755</v>
      </c>
      <c r="F72" t="s">
        <v>3756</v>
      </c>
      <c r="G72">
        <v>16301</v>
      </c>
      <c r="H72" t="s">
        <v>3414</v>
      </c>
      <c r="I72" t="s">
        <v>3391</v>
      </c>
      <c r="J72" t="s">
        <v>3392</v>
      </c>
      <c r="K72" t="s">
        <v>3304</v>
      </c>
      <c r="L72" t="s">
        <v>6778</v>
      </c>
      <c r="M72" t="s">
        <v>6779</v>
      </c>
      <c r="N72" t="s">
        <v>6792</v>
      </c>
      <c r="O72">
        <v>1</v>
      </c>
      <c r="P72" t="str">
        <f>+BARRAS[[#This Row],[Barra]]&amp;"_"&amp;BARRAS[[#This Row],[Nivel de tensión]]</f>
        <v>TRAIGUEN_13</v>
      </c>
    </row>
    <row r="73" spans="1:16">
      <c r="A73" t="s">
        <v>3753</v>
      </c>
      <c r="B73">
        <v>66</v>
      </c>
      <c r="C73">
        <v>1</v>
      </c>
      <c r="D73" t="s">
        <v>3397</v>
      </c>
      <c r="E73" t="s">
        <v>3757</v>
      </c>
      <c r="F73" t="s">
        <v>3420</v>
      </c>
      <c r="G73">
        <v>16301</v>
      </c>
      <c r="H73" t="s">
        <v>3414</v>
      </c>
      <c r="I73" t="s">
        <v>3391</v>
      </c>
      <c r="J73" t="s">
        <v>3392</v>
      </c>
      <c r="K73" t="s">
        <v>3304</v>
      </c>
      <c r="L73" t="s">
        <v>6778</v>
      </c>
      <c r="M73" t="s">
        <v>6779</v>
      </c>
      <c r="N73" t="s">
        <v>6792</v>
      </c>
      <c r="O73">
        <v>1</v>
      </c>
      <c r="P73" t="str">
        <f>+BARRAS[[#This Row],[Barra]]&amp;"_"&amp;BARRAS[[#This Row],[Nivel de tensión]]</f>
        <v>TRAIGUEN_66</v>
      </c>
    </row>
    <row r="74" spans="1:16">
      <c r="A74" t="s">
        <v>1501</v>
      </c>
      <c r="B74">
        <v>13</v>
      </c>
      <c r="C74">
        <v>1053</v>
      </c>
      <c r="D74" t="s">
        <v>3758</v>
      </c>
      <c r="E74" t="s">
        <v>3759</v>
      </c>
      <c r="F74" t="s">
        <v>3760</v>
      </c>
      <c r="G74">
        <v>16301</v>
      </c>
      <c r="H74" t="s">
        <v>3414</v>
      </c>
      <c r="I74" t="s">
        <v>3391</v>
      </c>
      <c r="J74" t="s">
        <v>3392</v>
      </c>
      <c r="K74" t="s">
        <v>3304</v>
      </c>
      <c r="L74" t="s">
        <v>6778</v>
      </c>
      <c r="M74" t="s">
        <v>6779</v>
      </c>
      <c r="N74" t="s">
        <v>6792</v>
      </c>
      <c r="O74">
        <v>1</v>
      </c>
      <c r="P74" t="str">
        <f>+BARRAS[[#This Row],[Barra]]&amp;"_"&amp;BARRAS[[#This Row],[Nivel de tensión]]</f>
        <v>TRESESQUINAS_13</v>
      </c>
    </row>
    <row r="75" spans="1:16">
      <c r="A75" t="s">
        <v>1501</v>
      </c>
      <c r="B75">
        <v>66</v>
      </c>
      <c r="C75">
        <v>1052</v>
      </c>
      <c r="D75" t="s">
        <v>3758</v>
      </c>
      <c r="E75" t="s">
        <v>3761</v>
      </c>
      <c r="F75" t="s">
        <v>3760</v>
      </c>
      <c r="G75">
        <v>16301</v>
      </c>
      <c r="H75" t="s">
        <v>3414</v>
      </c>
      <c r="I75" t="s">
        <v>3391</v>
      </c>
      <c r="J75" t="s">
        <v>3392</v>
      </c>
      <c r="K75" t="s">
        <v>3304</v>
      </c>
      <c r="L75" t="s">
        <v>6778</v>
      </c>
      <c r="M75" t="s">
        <v>6779</v>
      </c>
      <c r="N75" t="s">
        <v>6792</v>
      </c>
      <c r="O75">
        <v>1</v>
      </c>
      <c r="P75" t="str">
        <f>+BARRAS[[#This Row],[Barra]]&amp;"_"&amp;BARRAS[[#This Row],[Nivel de tensión]]</f>
        <v>TRESESQUINAS_66</v>
      </c>
    </row>
    <row r="76" spans="1:16">
      <c r="A76" t="s">
        <v>3762</v>
      </c>
      <c r="B76">
        <v>66</v>
      </c>
      <c r="C76">
        <v>1</v>
      </c>
      <c r="D76" t="s">
        <v>3397</v>
      </c>
      <c r="E76" t="s">
        <v>3763</v>
      </c>
      <c r="F76" t="s">
        <v>3420</v>
      </c>
      <c r="G76">
        <v>16301</v>
      </c>
      <c r="H76" t="s">
        <v>3443</v>
      </c>
      <c r="I76" t="s">
        <v>3391</v>
      </c>
      <c r="J76" t="s">
        <v>3392</v>
      </c>
      <c r="K76" t="s">
        <v>3300</v>
      </c>
      <c r="L76" t="s">
        <v>6778</v>
      </c>
      <c r="M76" t="s">
        <v>6779</v>
      </c>
      <c r="N76" t="s">
        <v>6792</v>
      </c>
      <c r="O76">
        <v>1</v>
      </c>
      <c r="P76" t="str">
        <f>+BARRAS[[#This Row],[Barra]]&amp;"_"&amp;BARRAS[[#This Row],[Nivel de tensión]]</f>
        <v>TTAMARUGAL_66</v>
      </c>
    </row>
    <row r="77" spans="1:16">
      <c r="A77" t="s">
        <v>3764</v>
      </c>
      <c r="B77">
        <v>15</v>
      </c>
      <c r="C77">
        <v>176</v>
      </c>
      <c r="D77" t="s">
        <v>3765</v>
      </c>
      <c r="E77" t="s">
        <v>3766</v>
      </c>
      <c r="F77" t="s">
        <v>3767</v>
      </c>
      <c r="G77">
        <v>16301</v>
      </c>
      <c r="H77" t="s">
        <v>3414</v>
      </c>
      <c r="I77" t="s">
        <v>3391</v>
      </c>
      <c r="J77" t="s">
        <v>3392</v>
      </c>
      <c r="K77" t="s">
        <v>3304</v>
      </c>
      <c r="L77" t="s">
        <v>6778</v>
      </c>
      <c r="M77" t="s">
        <v>6779</v>
      </c>
      <c r="N77" t="s">
        <v>6792</v>
      </c>
      <c r="O77">
        <v>1</v>
      </c>
      <c r="P77" t="str">
        <f>+BARRAS[[#This Row],[Barra]]&amp;"_"&amp;BARRAS[[#This Row],[Nivel de tensión]]</f>
        <v>TUMBES_15</v>
      </c>
    </row>
    <row r="78" spans="1:16">
      <c r="A78" t="s">
        <v>3764</v>
      </c>
      <c r="B78">
        <v>66</v>
      </c>
      <c r="C78">
        <v>1</v>
      </c>
      <c r="D78" t="s">
        <v>3397</v>
      </c>
      <c r="E78" t="s">
        <v>3768</v>
      </c>
      <c r="F78" t="s">
        <v>3420</v>
      </c>
      <c r="G78">
        <v>16301</v>
      </c>
      <c r="H78" t="s">
        <v>3414</v>
      </c>
      <c r="I78" t="s">
        <v>3391</v>
      </c>
      <c r="J78" t="s">
        <v>3392</v>
      </c>
      <c r="K78" t="s">
        <v>3304</v>
      </c>
      <c r="L78" t="s">
        <v>6778</v>
      </c>
      <c r="M78" t="s">
        <v>6779</v>
      </c>
      <c r="N78" t="s">
        <v>6792</v>
      </c>
      <c r="O78">
        <v>1</v>
      </c>
      <c r="P78" t="str">
        <f>+BARRAS[[#This Row],[Barra]]&amp;"_"&amp;BARRAS[[#This Row],[Nivel de tensión]]</f>
        <v>TUMBES_66</v>
      </c>
    </row>
    <row r="79" spans="1:16">
      <c r="A79" t="s">
        <v>3823</v>
      </c>
      <c r="B79">
        <v>13</v>
      </c>
      <c r="C79">
        <v>178</v>
      </c>
      <c r="D79" t="s">
        <v>3824</v>
      </c>
      <c r="E79" t="s">
        <v>3825</v>
      </c>
      <c r="F79" t="s">
        <v>3826</v>
      </c>
      <c r="G79">
        <v>16301</v>
      </c>
      <c r="H79" t="s">
        <v>3414</v>
      </c>
      <c r="I79" t="s">
        <v>3391</v>
      </c>
      <c r="J79" t="s">
        <v>3392</v>
      </c>
      <c r="K79" t="s">
        <v>3304</v>
      </c>
      <c r="L79" t="s">
        <v>6778</v>
      </c>
      <c r="M79" t="s">
        <v>6779</v>
      </c>
      <c r="N79" t="s">
        <v>6792</v>
      </c>
      <c r="O79">
        <v>1</v>
      </c>
      <c r="P79" t="str">
        <f>+BARRAS[[#This Row],[Barra]]&amp;"_"&amp;BARRAS[[#This Row],[Nivel de tensión]]</f>
        <v>VICTORIA_13</v>
      </c>
    </row>
    <row r="80" spans="1:16">
      <c r="A80" t="s">
        <v>3823</v>
      </c>
      <c r="B80">
        <v>66</v>
      </c>
      <c r="C80">
        <v>1</v>
      </c>
      <c r="D80" t="s">
        <v>3397</v>
      </c>
      <c r="E80" t="s">
        <v>3827</v>
      </c>
      <c r="F80" t="s">
        <v>3420</v>
      </c>
      <c r="G80">
        <v>16301</v>
      </c>
      <c r="H80" t="s">
        <v>3414</v>
      </c>
      <c r="I80" t="s">
        <v>3391</v>
      </c>
      <c r="J80" t="s">
        <v>3392</v>
      </c>
      <c r="K80" t="s">
        <v>3304</v>
      </c>
      <c r="L80" t="s">
        <v>6778</v>
      </c>
      <c r="M80" t="s">
        <v>6779</v>
      </c>
      <c r="N80" t="s">
        <v>6792</v>
      </c>
      <c r="O80">
        <v>1</v>
      </c>
      <c r="P80" t="str">
        <f>+BARRAS[[#This Row],[Barra]]&amp;"_"&amp;BARRAS[[#This Row],[Nivel de tensión]]</f>
        <v>VICTORIA_66</v>
      </c>
    </row>
    <row r="81" spans="1:16">
      <c r="A81" t="s">
        <v>1540</v>
      </c>
      <c r="B81">
        <v>23</v>
      </c>
      <c r="C81">
        <v>280</v>
      </c>
      <c r="D81" t="s">
        <v>3828</v>
      </c>
      <c r="E81" t="s">
        <v>3829</v>
      </c>
      <c r="F81" t="s">
        <v>3830</v>
      </c>
      <c r="G81">
        <v>16301</v>
      </c>
      <c r="H81" t="s">
        <v>3400</v>
      </c>
      <c r="I81" t="s">
        <v>3391</v>
      </c>
      <c r="J81" t="s">
        <v>3392</v>
      </c>
      <c r="K81" t="s">
        <v>3301</v>
      </c>
      <c r="L81" t="s">
        <v>6778</v>
      </c>
      <c r="M81" t="s">
        <v>6779</v>
      </c>
      <c r="N81" t="s">
        <v>6792</v>
      </c>
      <c r="O81">
        <v>1</v>
      </c>
      <c r="P81" t="str">
        <f>+BARRAS[[#This Row],[Barra]]&amp;"_"&amp;BARRAS[[#This Row],[Nivel de tensión]]</f>
        <v>VICUNA_23</v>
      </c>
    </row>
    <row r="82" spans="1:16">
      <c r="A82" t="s">
        <v>1540</v>
      </c>
      <c r="B82">
        <v>110</v>
      </c>
      <c r="C82">
        <v>1</v>
      </c>
      <c r="D82" t="s">
        <v>3397</v>
      </c>
      <c r="E82" t="s">
        <v>3831</v>
      </c>
      <c r="F82" t="s">
        <v>3420</v>
      </c>
      <c r="G82">
        <v>16301</v>
      </c>
      <c r="H82" t="s">
        <v>3400</v>
      </c>
      <c r="I82" t="s">
        <v>3391</v>
      </c>
      <c r="J82" t="s">
        <v>3392</v>
      </c>
      <c r="K82" t="s">
        <v>3301</v>
      </c>
      <c r="L82" t="s">
        <v>6778</v>
      </c>
      <c r="M82" t="s">
        <v>6779</v>
      </c>
      <c r="N82" t="s">
        <v>6792</v>
      </c>
      <c r="O82">
        <v>1</v>
      </c>
      <c r="P82" t="str">
        <f>+BARRAS[[#This Row],[Barra]]&amp;"_"&amp;BARRAS[[#This Row],[Nivel de tensión]]</f>
        <v>VICUNA_110</v>
      </c>
    </row>
    <row r="83" spans="1:16">
      <c r="A83" t="s">
        <v>3832</v>
      </c>
      <c r="B83">
        <v>13</v>
      </c>
      <c r="C83">
        <v>203</v>
      </c>
      <c r="D83" t="s">
        <v>3833</v>
      </c>
      <c r="E83" t="s">
        <v>3834</v>
      </c>
      <c r="F83" t="s">
        <v>3835</v>
      </c>
      <c r="G83">
        <v>16301</v>
      </c>
      <c r="H83" t="s">
        <v>3414</v>
      </c>
      <c r="I83" t="s">
        <v>3391</v>
      </c>
      <c r="J83" t="s">
        <v>3392</v>
      </c>
      <c r="K83" t="s">
        <v>3304</v>
      </c>
      <c r="L83" t="s">
        <v>6778</v>
      </c>
      <c r="M83" t="s">
        <v>6779</v>
      </c>
      <c r="N83" t="s">
        <v>6792</v>
      </c>
      <c r="O83">
        <v>1</v>
      </c>
      <c r="P83" t="str">
        <f>+BARRAS[[#This Row],[Barra]]&amp;"_"&amp;BARRAS[[#This Row],[Nivel de tensión]]</f>
        <v>VILLARRICA_13</v>
      </c>
    </row>
    <row r="84" spans="1:16">
      <c r="A84" t="s">
        <v>3832</v>
      </c>
      <c r="B84">
        <v>66</v>
      </c>
      <c r="C84">
        <v>1</v>
      </c>
      <c r="D84" t="s">
        <v>3397</v>
      </c>
      <c r="E84" t="s">
        <v>3836</v>
      </c>
      <c r="F84" t="s">
        <v>3420</v>
      </c>
      <c r="G84">
        <v>16301</v>
      </c>
      <c r="H84" t="s">
        <v>3414</v>
      </c>
      <c r="I84" t="s">
        <v>3391</v>
      </c>
      <c r="J84" t="s">
        <v>3392</v>
      </c>
      <c r="K84" t="s">
        <v>3304</v>
      </c>
      <c r="L84" t="s">
        <v>6778</v>
      </c>
      <c r="M84" t="s">
        <v>6779</v>
      </c>
      <c r="N84" t="s">
        <v>6792</v>
      </c>
      <c r="O84">
        <v>1</v>
      </c>
      <c r="P84" t="str">
        <f>+BARRAS[[#This Row],[Barra]]&amp;"_"&amp;BARRAS[[#This Row],[Nivel de tensión]]</f>
        <v>VILLARRICA_66</v>
      </c>
    </row>
    <row r="85" spans="1:16">
      <c r="A85" t="s">
        <v>3837</v>
      </c>
      <c r="B85">
        <v>13</v>
      </c>
      <c r="C85">
        <v>980</v>
      </c>
      <c r="D85" t="s">
        <v>3838</v>
      </c>
      <c r="E85" t="s">
        <v>3839</v>
      </c>
      <c r="F85" t="s">
        <v>3840</v>
      </c>
      <c r="G85">
        <v>16301</v>
      </c>
      <c r="H85" t="s">
        <v>3469</v>
      </c>
      <c r="I85" t="s">
        <v>3391</v>
      </c>
      <c r="J85" t="s">
        <v>3392</v>
      </c>
      <c r="K85" t="s">
        <v>3303</v>
      </c>
      <c r="L85" t="s">
        <v>6778</v>
      </c>
      <c r="M85" t="s">
        <v>6779</v>
      </c>
      <c r="N85" t="s">
        <v>6792</v>
      </c>
      <c r="O85">
        <v>1</v>
      </c>
      <c r="P85" t="str">
        <f>+BARRAS[[#This Row],[Barra]]&amp;"_"&amp;BARRAS[[#This Row],[Nivel de tensión]]</f>
        <v>VITACURA_13</v>
      </c>
    </row>
    <row r="86" spans="1:16">
      <c r="A86" t="s">
        <v>3837</v>
      </c>
      <c r="B86">
        <v>110</v>
      </c>
      <c r="C86">
        <v>1</v>
      </c>
      <c r="D86" t="s">
        <v>3397</v>
      </c>
      <c r="E86" t="s">
        <v>3841</v>
      </c>
      <c r="F86" t="s">
        <v>3420</v>
      </c>
      <c r="G86">
        <v>16301</v>
      </c>
      <c r="H86" t="s">
        <v>3469</v>
      </c>
      <c r="I86" t="s">
        <v>3391</v>
      </c>
      <c r="J86" t="s">
        <v>3392</v>
      </c>
      <c r="K86" t="s">
        <v>3303</v>
      </c>
      <c r="L86" t="s">
        <v>6778</v>
      </c>
      <c r="M86" t="s">
        <v>6779</v>
      </c>
      <c r="N86" t="s">
        <v>6792</v>
      </c>
      <c r="O86">
        <v>1</v>
      </c>
      <c r="P86" t="str">
        <f>+BARRAS[[#This Row],[Barra]]&amp;"_"&amp;BARRAS[[#This Row],[Nivel de tensión]]</f>
        <v>VITACURA_110</v>
      </c>
    </row>
    <row r="87" spans="1:16">
      <c r="A87" t="s">
        <v>1547</v>
      </c>
      <c r="B87">
        <v>13</v>
      </c>
      <c r="C87">
        <v>1762</v>
      </c>
      <c r="D87" t="s">
        <v>3842</v>
      </c>
      <c r="E87" t="s">
        <v>3843</v>
      </c>
      <c r="F87" t="s">
        <v>3844</v>
      </c>
      <c r="G87">
        <v>16301</v>
      </c>
      <c r="H87" t="s">
        <v>3414</v>
      </c>
      <c r="I87" t="s">
        <v>3391</v>
      </c>
      <c r="J87" t="s">
        <v>3392</v>
      </c>
      <c r="K87" t="s">
        <v>3304</v>
      </c>
      <c r="L87" t="s">
        <v>6778</v>
      </c>
      <c r="M87" t="s">
        <v>6779</v>
      </c>
      <c r="N87" t="s">
        <v>6792</v>
      </c>
      <c r="O87">
        <v>1</v>
      </c>
      <c r="P87" t="str">
        <f>+BARRAS[[#This Row],[Barra]]&amp;"_"&amp;BARRAS[[#This Row],[Nivel de tensión]]</f>
        <v>Y.BUENAS_13</v>
      </c>
    </row>
    <row r="88" spans="1:16">
      <c r="A88" t="s">
        <v>1547</v>
      </c>
      <c r="B88">
        <v>154</v>
      </c>
      <c r="C88">
        <v>1</v>
      </c>
      <c r="D88" t="s">
        <v>3397</v>
      </c>
      <c r="E88" t="s">
        <v>3845</v>
      </c>
      <c r="F88" t="s">
        <v>3420</v>
      </c>
      <c r="G88">
        <v>16301</v>
      </c>
      <c r="H88" t="s">
        <v>3414</v>
      </c>
      <c r="I88" t="s">
        <v>3391</v>
      </c>
      <c r="J88" t="s">
        <v>3392</v>
      </c>
      <c r="K88" t="s">
        <v>3304</v>
      </c>
      <c r="L88" t="s">
        <v>6778</v>
      </c>
      <c r="M88" t="s">
        <v>6779</v>
      </c>
      <c r="N88" t="s">
        <v>6792</v>
      </c>
      <c r="O88">
        <v>1</v>
      </c>
      <c r="P88" t="str">
        <f>+BARRAS[[#This Row],[Barra]]&amp;"_"&amp;BARRAS[[#This Row],[Nivel de tensión]]</f>
        <v>Y.BUENAS_154</v>
      </c>
    </row>
    <row r="89" spans="1:16">
      <c r="A89" t="s">
        <v>3846</v>
      </c>
      <c r="B89">
        <v>220</v>
      </c>
      <c r="C89">
        <v>2384</v>
      </c>
      <c r="D89" t="s">
        <v>3402</v>
      </c>
      <c r="E89" t="s">
        <v>3847</v>
      </c>
      <c r="F89" t="s">
        <v>3848</v>
      </c>
      <c r="G89">
        <v>16301</v>
      </c>
      <c r="H89" t="s">
        <v>3405</v>
      </c>
      <c r="I89" t="s">
        <v>3391</v>
      </c>
      <c r="J89" t="s">
        <v>3392</v>
      </c>
      <c r="K89" t="s">
        <v>6315</v>
      </c>
      <c r="L89" t="s">
        <v>6778</v>
      </c>
      <c r="M89" t="s">
        <v>6779</v>
      </c>
      <c r="N89" t="s">
        <v>6792</v>
      </c>
      <c r="O89">
        <v>1</v>
      </c>
      <c r="P89" t="str">
        <f>+BARRAS[[#This Row],[Barra]]&amp;"_"&amp;BARRAS[[#This Row],[Nivel de tensión]]</f>
        <v>ZALDIVAR_220</v>
      </c>
    </row>
    <row r="90" spans="1:16">
      <c r="A90" t="s">
        <v>3849</v>
      </c>
      <c r="B90">
        <v>66</v>
      </c>
      <c r="C90">
        <v>1</v>
      </c>
      <c r="D90" t="s">
        <v>3397</v>
      </c>
      <c r="E90" t="s">
        <v>3419</v>
      </c>
      <c r="F90" t="s">
        <v>3420</v>
      </c>
      <c r="G90">
        <v>16301</v>
      </c>
      <c r="H90" t="s">
        <v>3405</v>
      </c>
      <c r="I90" t="s">
        <v>3391</v>
      </c>
      <c r="J90" t="s">
        <v>3392</v>
      </c>
      <c r="K90" t="s">
        <v>6315</v>
      </c>
      <c r="L90" t="s">
        <v>6778</v>
      </c>
      <c r="M90" t="s">
        <v>6779</v>
      </c>
      <c r="N90" t="s">
        <v>6792</v>
      </c>
      <c r="O90">
        <v>1</v>
      </c>
      <c r="P90" t="str">
        <f>+BARRAS[[#This Row],[Barra]]&amp;"_"&amp;BARRAS[[#This Row],[Nivel de tensión]]</f>
        <v>ZONA_CAIDA_66</v>
      </c>
    </row>
    <row r="91" spans="1:16">
      <c r="A91" t="s">
        <v>3849</v>
      </c>
      <c r="B91">
        <v>220</v>
      </c>
      <c r="C91">
        <v>2</v>
      </c>
      <c r="D91" t="s">
        <v>3397</v>
      </c>
      <c r="E91" t="s">
        <v>3419</v>
      </c>
      <c r="F91" t="s">
        <v>3420</v>
      </c>
      <c r="G91">
        <v>16301</v>
      </c>
      <c r="H91" t="s">
        <v>3405</v>
      </c>
      <c r="I91" t="s">
        <v>3391</v>
      </c>
      <c r="J91" t="s">
        <v>3392</v>
      </c>
      <c r="K91" t="s">
        <v>6315</v>
      </c>
      <c r="L91" t="s">
        <v>6778</v>
      </c>
      <c r="M91" t="s">
        <v>6779</v>
      </c>
      <c r="N91" t="s">
        <v>6792</v>
      </c>
      <c r="O91">
        <v>1</v>
      </c>
      <c r="P91" t="str">
        <f>+BARRAS[[#This Row],[Barra]]&amp;"_"&amp;BARRAS[[#This Row],[Nivel de tensión]]</f>
        <v>ZONA_CAIDA_220</v>
      </c>
    </row>
    <row r="92" spans="1:16">
      <c r="A92" t="s">
        <v>6531</v>
      </c>
      <c r="B92">
        <v>220</v>
      </c>
      <c r="D92" t="s">
        <v>3680</v>
      </c>
      <c r="E92" t="s">
        <v>3925</v>
      </c>
      <c r="F92" t="s">
        <v>6532</v>
      </c>
      <c r="G92">
        <v>2103</v>
      </c>
      <c r="H92" t="s">
        <v>3405</v>
      </c>
      <c r="I92" t="s">
        <v>3683</v>
      </c>
      <c r="J92" t="s">
        <v>6533</v>
      </c>
      <c r="K92" t="s">
        <v>6315</v>
      </c>
      <c r="L92" t="s">
        <v>6778</v>
      </c>
      <c r="M92" t="s">
        <v>6779</v>
      </c>
      <c r="N92" t="s">
        <v>6792</v>
      </c>
      <c r="O92">
        <v>1</v>
      </c>
      <c r="P92" t="str">
        <f>+BARRAS[[#This Row],[Barra]]&amp;"_"&amp;BARRAS[[#This Row],[Nivel de tensión]]</f>
        <v>GABY_220</v>
      </c>
    </row>
    <row r="93" spans="1:16">
      <c r="A93" t="s">
        <v>5002</v>
      </c>
      <c r="B93">
        <v>110</v>
      </c>
      <c r="C93">
        <v>1</v>
      </c>
      <c r="D93" t="s">
        <v>3397</v>
      </c>
      <c r="E93" t="s">
        <v>5003</v>
      </c>
      <c r="F93" t="s">
        <v>3420</v>
      </c>
      <c r="G93">
        <v>16301</v>
      </c>
      <c r="H93" t="s">
        <v>3400</v>
      </c>
      <c r="I93" t="s">
        <v>3391</v>
      </c>
      <c r="J93" t="s">
        <v>3392</v>
      </c>
      <c r="K93" t="s">
        <v>3301</v>
      </c>
      <c r="L93" t="s">
        <v>6778</v>
      </c>
      <c r="M93" t="s">
        <v>6779</v>
      </c>
      <c r="N93" t="s">
        <v>6792</v>
      </c>
      <c r="O93">
        <v>1</v>
      </c>
      <c r="P93" t="str">
        <f>+BARRAS[[#This Row],[Barra]]&amp;"_"&amp;BARRAS[[#This Row],[Nivel de tensión]]</f>
        <v>GALLEGUILLOS_110</v>
      </c>
    </row>
    <row r="94" spans="1:16">
      <c r="A94" t="s">
        <v>5004</v>
      </c>
      <c r="B94">
        <v>110</v>
      </c>
      <c r="C94">
        <v>3115</v>
      </c>
      <c r="D94" t="s">
        <v>5005</v>
      </c>
      <c r="E94" t="s">
        <v>5006</v>
      </c>
      <c r="F94" t="s">
        <v>5007</v>
      </c>
      <c r="G94">
        <v>10201</v>
      </c>
      <c r="H94" t="s">
        <v>3390</v>
      </c>
      <c r="I94" t="s">
        <v>3391</v>
      </c>
      <c r="J94" t="s">
        <v>3928</v>
      </c>
      <c r="K94" t="s">
        <v>3305</v>
      </c>
      <c r="L94" t="s">
        <v>6778</v>
      </c>
      <c r="M94" t="s">
        <v>6779</v>
      </c>
      <c r="N94" t="s">
        <v>6792</v>
      </c>
      <c r="O94">
        <v>1</v>
      </c>
      <c r="P94" t="str">
        <f>+BARRAS[[#This Row],[Barra]]&amp;"_"&amp;BARRAS[[#This Row],[Nivel de tensión]]</f>
        <v>GAMBOA1_110</v>
      </c>
    </row>
    <row r="95" spans="1:16">
      <c r="A95" t="s">
        <v>5004</v>
      </c>
      <c r="B95">
        <v>220</v>
      </c>
      <c r="C95">
        <v>3117</v>
      </c>
      <c r="D95" t="s">
        <v>5008</v>
      </c>
      <c r="E95" t="s">
        <v>5009</v>
      </c>
      <c r="F95" t="s">
        <v>5007</v>
      </c>
      <c r="G95">
        <v>10201</v>
      </c>
      <c r="H95" t="s">
        <v>3390</v>
      </c>
      <c r="I95" t="s">
        <v>3391</v>
      </c>
      <c r="J95" t="s">
        <v>3928</v>
      </c>
      <c r="K95" t="s">
        <v>3305</v>
      </c>
      <c r="L95" t="s">
        <v>6778</v>
      </c>
      <c r="M95" t="s">
        <v>6779</v>
      </c>
      <c r="N95" t="s">
        <v>6792</v>
      </c>
      <c r="O95">
        <v>1</v>
      </c>
      <c r="P95" t="str">
        <f>+BARRAS[[#This Row],[Barra]]&amp;"_"&amp;BARRAS[[#This Row],[Nivel de tensión]]</f>
        <v>GAMBOA1_220</v>
      </c>
    </row>
    <row r="96" spans="1:16">
      <c r="A96" t="s">
        <v>5010</v>
      </c>
      <c r="B96">
        <v>220</v>
      </c>
      <c r="C96">
        <v>1</v>
      </c>
      <c r="D96" t="s">
        <v>3397</v>
      </c>
      <c r="E96" t="s">
        <v>3419</v>
      </c>
      <c r="F96" t="s">
        <v>3420</v>
      </c>
      <c r="G96">
        <v>16301</v>
      </c>
      <c r="H96" t="s">
        <v>3409</v>
      </c>
      <c r="I96" t="s">
        <v>3391</v>
      </c>
      <c r="J96" t="s">
        <v>3392</v>
      </c>
      <c r="K96" t="s">
        <v>6315</v>
      </c>
      <c r="L96" t="s">
        <v>6778</v>
      </c>
      <c r="M96" t="s">
        <v>6779</v>
      </c>
      <c r="N96" t="s">
        <v>6792</v>
      </c>
      <c r="O96">
        <v>1</v>
      </c>
      <c r="P96" t="str">
        <f>+BARRAS[[#This Row],[Barra]]&amp;"_"&amp;BARRAS[[#This Row],[Nivel de tensión]]</f>
        <v>GEOGLIFOS_220</v>
      </c>
    </row>
    <row r="97" spans="1:16">
      <c r="A97" t="s">
        <v>5011</v>
      </c>
      <c r="B97">
        <v>13</v>
      </c>
      <c r="C97">
        <v>2415</v>
      </c>
      <c r="D97" t="s">
        <v>5012</v>
      </c>
      <c r="E97" t="s">
        <v>5013</v>
      </c>
      <c r="F97" t="s">
        <v>5014</v>
      </c>
      <c r="G97">
        <v>16301</v>
      </c>
      <c r="H97" t="s">
        <v>3414</v>
      </c>
      <c r="I97" t="s">
        <v>3391</v>
      </c>
      <c r="J97" t="s">
        <v>3392</v>
      </c>
      <c r="K97" t="s">
        <v>3304</v>
      </c>
      <c r="L97" t="s">
        <v>6778</v>
      </c>
      <c r="M97" t="s">
        <v>6779</v>
      </c>
      <c r="N97" t="s">
        <v>6792</v>
      </c>
      <c r="O97">
        <v>1</v>
      </c>
      <c r="P97" t="str">
        <f>+BARRAS[[#This Row],[Barra]]&amp;"_"&amp;BARRAS[[#This Row],[Nivel de tensión]]</f>
        <v>GORBEA_13</v>
      </c>
    </row>
    <row r="98" spans="1:16">
      <c r="A98" t="s">
        <v>5011</v>
      </c>
      <c r="B98">
        <v>66</v>
      </c>
      <c r="C98">
        <v>1</v>
      </c>
      <c r="D98" t="s">
        <v>3397</v>
      </c>
      <c r="E98" t="s">
        <v>5015</v>
      </c>
      <c r="F98" t="s">
        <v>3420</v>
      </c>
      <c r="G98">
        <v>16301</v>
      </c>
      <c r="H98" t="s">
        <v>3414</v>
      </c>
      <c r="I98" t="s">
        <v>3391</v>
      </c>
      <c r="J98" t="s">
        <v>3392</v>
      </c>
      <c r="K98" t="s">
        <v>3304</v>
      </c>
      <c r="L98" t="s">
        <v>6778</v>
      </c>
      <c r="M98" t="s">
        <v>6779</v>
      </c>
      <c r="N98" t="s">
        <v>6792</v>
      </c>
      <c r="O98">
        <v>1</v>
      </c>
      <c r="P98" t="str">
        <f>+BARRAS[[#This Row],[Barra]]&amp;"_"&amp;BARRAS[[#This Row],[Nivel de tensión]]</f>
        <v>GORBEA_66</v>
      </c>
    </row>
    <row r="99" spans="1:16">
      <c r="A99" t="s">
        <v>504</v>
      </c>
      <c r="B99">
        <v>15</v>
      </c>
      <c r="C99">
        <v>124</v>
      </c>
      <c r="D99" t="s">
        <v>5016</v>
      </c>
      <c r="E99" t="s">
        <v>5017</v>
      </c>
      <c r="F99" t="s">
        <v>3484</v>
      </c>
      <c r="G99">
        <v>16301</v>
      </c>
      <c r="H99" t="s">
        <v>3414</v>
      </c>
      <c r="I99" t="s">
        <v>3391</v>
      </c>
      <c r="J99" t="s">
        <v>3392</v>
      </c>
      <c r="K99" t="s">
        <v>3304</v>
      </c>
      <c r="L99" t="s">
        <v>6778</v>
      </c>
      <c r="M99" t="s">
        <v>6779</v>
      </c>
      <c r="N99" t="s">
        <v>6792</v>
      </c>
      <c r="O99">
        <v>1</v>
      </c>
      <c r="P99" t="str">
        <f>+BARRAS[[#This Row],[Barra]]&amp;"_"&amp;BARRAS[[#This Row],[Nivel de tensión]]</f>
        <v>GRANEROS_15</v>
      </c>
    </row>
    <row r="100" spans="1:16">
      <c r="A100" t="s">
        <v>504</v>
      </c>
      <c r="B100">
        <v>66</v>
      </c>
      <c r="C100">
        <v>1260</v>
      </c>
      <c r="D100" t="s">
        <v>5018</v>
      </c>
      <c r="E100" t="s">
        <v>5019</v>
      </c>
      <c r="F100" t="s">
        <v>3484</v>
      </c>
      <c r="G100">
        <v>16301</v>
      </c>
      <c r="H100" t="s">
        <v>3414</v>
      </c>
      <c r="I100" t="s">
        <v>3391</v>
      </c>
      <c r="J100" t="s">
        <v>3392</v>
      </c>
      <c r="K100" t="s">
        <v>3304</v>
      </c>
      <c r="L100" t="s">
        <v>6778</v>
      </c>
      <c r="M100" t="s">
        <v>6779</v>
      </c>
      <c r="N100" t="s">
        <v>6792</v>
      </c>
      <c r="O100">
        <v>1</v>
      </c>
      <c r="P100" t="str">
        <f>+BARRAS[[#This Row],[Barra]]&amp;"_"&amp;BARRAS[[#This Row],[Nivel de tensión]]</f>
        <v>GRANEROS_66</v>
      </c>
    </row>
    <row r="101" spans="1:16">
      <c r="A101" t="s">
        <v>5020</v>
      </c>
      <c r="B101">
        <v>220</v>
      </c>
      <c r="C101">
        <v>1</v>
      </c>
      <c r="D101" t="s">
        <v>3397</v>
      </c>
      <c r="E101" t="s">
        <v>5021</v>
      </c>
      <c r="F101" t="s">
        <v>3420</v>
      </c>
      <c r="G101">
        <v>16301</v>
      </c>
      <c r="H101" t="s">
        <v>3405</v>
      </c>
      <c r="I101" t="s">
        <v>3391</v>
      </c>
      <c r="J101" t="s">
        <v>3392</v>
      </c>
      <c r="K101" t="s">
        <v>6315</v>
      </c>
      <c r="L101" t="s">
        <v>6778</v>
      </c>
      <c r="M101" t="s">
        <v>6779</v>
      </c>
      <c r="N101" t="s">
        <v>6792</v>
      </c>
      <c r="O101">
        <v>1</v>
      </c>
      <c r="P101" t="str">
        <f>+BARRAS[[#This Row],[Barra]]&amp;"_"&amp;BARRAS[[#This Row],[Nivel de tensión]]</f>
        <v>GUACOLDA_220</v>
      </c>
    </row>
    <row r="102" spans="1:16">
      <c r="A102" t="s">
        <v>5022</v>
      </c>
      <c r="B102">
        <v>13</v>
      </c>
      <c r="C102">
        <v>3397</v>
      </c>
      <c r="D102" t="s">
        <v>5023</v>
      </c>
      <c r="E102" t="s">
        <v>5024</v>
      </c>
      <c r="F102" t="s">
        <v>5025</v>
      </c>
      <c r="G102">
        <v>2101</v>
      </c>
      <c r="H102" t="s">
        <v>3443</v>
      </c>
      <c r="I102" t="s">
        <v>3683</v>
      </c>
      <c r="J102" t="s">
        <v>3535</v>
      </c>
      <c r="K102" t="s">
        <v>3300</v>
      </c>
      <c r="L102" t="s">
        <v>6778</v>
      </c>
      <c r="M102" t="s">
        <v>6779</v>
      </c>
      <c r="N102" t="s">
        <v>6792</v>
      </c>
      <c r="O102">
        <v>1</v>
      </c>
      <c r="P102" t="str">
        <f>+BARRAS[[#This Row],[Barra]]&amp;"_"&amp;BARRAS[[#This Row],[Nivel de tensión]]</f>
        <v>GUARDIAMARINA_13</v>
      </c>
    </row>
    <row r="103" spans="1:16">
      <c r="A103" t="s">
        <v>5022</v>
      </c>
      <c r="B103">
        <v>23</v>
      </c>
      <c r="C103">
        <v>3395</v>
      </c>
      <c r="D103" t="s">
        <v>5026</v>
      </c>
      <c r="E103" t="s">
        <v>5027</v>
      </c>
      <c r="F103" t="s">
        <v>5025</v>
      </c>
      <c r="G103">
        <v>2101</v>
      </c>
      <c r="H103" t="s">
        <v>3443</v>
      </c>
      <c r="I103" t="s">
        <v>3683</v>
      </c>
      <c r="J103" t="s">
        <v>3535</v>
      </c>
      <c r="K103" t="s">
        <v>3300</v>
      </c>
      <c r="L103" t="s">
        <v>6778</v>
      </c>
      <c r="M103" t="s">
        <v>6779</v>
      </c>
      <c r="N103" t="s">
        <v>6792</v>
      </c>
      <c r="O103">
        <v>1</v>
      </c>
      <c r="P103" t="str">
        <f>+BARRAS[[#This Row],[Barra]]&amp;"_"&amp;BARRAS[[#This Row],[Nivel de tensión]]</f>
        <v>GUARDIAMARINA_23</v>
      </c>
    </row>
    <row r="104" spans="1:16">
      <c r="A104" t="s">
        <v>5022</v>
      </c>
      <c r="B104">
        <v>110</v>
      </c>
      <c r="C104">
        <v>1</v>
      </c>
      <c r="D104" t="s">
        <v>3397</v>
      </c>
      <c r="E104" t="s">
        <v>5028</v>
      </c>
      <c r="F104" t="s">
        <v>3420</v>
      </c>
      <c r="G104">
        <v>16301</v>
      </c>
      <c r="H104" t="s">
        <v>3443</v>
      </c>
      <c r="I104" t="s">
        <v>3391</v>
      </c>
      <c r="J104" t="s">
        <v>3392</v>
      </c>
      <c r="K104" t="s">
        <v>3300</v>
      </c>
      <c r="L104" t="s">
        <v>6778</v>
      </c>
      <c r="M104" t="s">
        <v>6779</v>
      </c>
      <c r="N104" t="s">
        <v>6792</v>
      </c>
      <c r="O104">
        <v>1</v>
      </c>
      <c r="P104" t="str">
        <f>+BARRAS[[#This Row],[Barra]]&amp;"_"&amp;BARRAS[[#This Row],[Nivel de tensión]]</f>
        <v>GUARDIAMARINA_110</v>
      </c>
    </row>
    <row r="105" spans="1:16">
      <c r="A105" t="s">
        <v>5029</v>
      </c>
      <c r="B105">
        <v>13</v>
      </c>
      <c r="C105">
        <v>114</v>
      </c>
      <c r="D105" t="s">
        <v>5030</v>
      </c>
      <c r="E105" t="s">
        <v>5031</v>
      </c>
      <c r="F105" t="s">
        <v>5032</v>
      </c>
      <c r="G105">
        <v>16301</v>
      </c>
      <c r="H105" t="s">
        <v>3400</v>
      </c>
      <c r="I105" t="s">
        <v>3391</v>
      </c>
      <c r="J105" t="s">
        <v>3392</v>
      </c>
      <c r="K105" t="s">
        <v>3301</v>
      </c>
      <c r="L105" t="s">
        <v>6778</v>
      </c>
      <c r="M105" t="s">
        <v>6779</v>
      </c>
      <c r="N105" t="s">
        <v>6792</v>
      </c>
      <c r="O105">
        <v>1</v>
      </c>
      <c r="P105" t="str">
        <f>+BARRAS[[#This Row],[Barra]]&amp;"_"&amp;BARRAS[[#This Row],[Nivel de tensión]]</f>
        <v>GUAYACAN_13</v>
      </c>
    </row>
    <row r="106" spans="1:16">
      <c r="A106" t="s">
        <v>5029</v>
      </c>
      <c r="B106">
        <v>66</v>
      </c>
      <c r="C106">
        <v>1</v>
      </c>
      <c r="D106" t="s">
        <v>3397</v>
      </c>
      <c r="E106" t="s">
        <v>5033</v>
      </c>
      <c r="F106" t="s">
        <v>3420</v>
      </c>
      <c r="G106">
        <v>16301</v>
      </c>
      <c r="H106" t="s">
        <v>3400</v>
      </c>
      <c r="I106" t="s">
        <v>3391</v>
      </c>
      <c r="J106" t="s">
        <v>3392</v>
      </c>
      <c r="K106" t="s">
        <v>3301</v>
      </c>
      <c r="L106" t="s">
        <v>6778</v>
      </c>
      <c r="M106" t="s">
        <v>6779</v>
      </c>
      <c r="N106" t="s">
        <v>6792</v>
      </c>
      <c r="O106">
        <v>1</v>
      </c>
      <c r="P106" t="str">
        <f>+BARRAS[[#This Row],[Barra]]&amp;"_"&amp;BARRAS[[#This Row],[Nivel de tensión]]</f>
        <v>GUAYACAN_66</v>
      </c>
    </row>
    <row r="107" spans="1:16">
      <c r="A107" t="s">
        <v>511</v>
      </c>
      <c r="B107">
        <v>13</v>
      </c>
      <c r="C107">
        <v>1227</v>
      </c>
      <c r="D107" t="s">
        <v>5034</v>
      </c>
      <c r="E107" t="s">
        <v>5035</v>
      </c>
      <c r="F107" t="s">
        <v>5036</v>
      </c>
      <c r="G107">
        <v>16301</v>
      </c>
      <c r="H107" t="s">
        <v>3400</v>
      </c>
      <c r="I107" t="s">
        <v>3391</v>
      </c>
      <c r="J107" t="s">
        <v>3392</v>
      </c>
      <c r="K107" t="s">
        <v>3301</v>
      </c>
      <c r="L107" t="s">
        <v>6778</v>
      </c>
      <c r="M107" t="s">
        <v>6779</v>
      </c>
      <c r="N107" t="s">
        <v>6792</v>
      </c>
      <c r="O107">
        <v>1</v>
      </c>
      <c r="P107" t="str">
        <f>+BARRAS[[#This Row],[Barra]]&amp;"_"&amp;BARRAS[[#This Row],[Nivel de tensión]]</f>
        <v>H.FUENTES_13</v>
      </c>
    </row>
    <row r="108" spans="1:16">
      <c r="A108" t="s">
        <v>511</v>
      </c>
      <c r="B108">
        <v>110</v>
      </c>
      <c r="C108">
        <v>1</v>
      </c>
      <c r="D108" t="s">
        <v>3397</v>
      </c>
      <c r="E108" t="s">
        <v>5037</v>
      </c>
      <c r="F108" t="s">
        <v>3420</v>
      </c>
      <c r="G108">
        <v>16301</v>
      </c>
      <c r="H108" t="s">
        <v>3400</v>
      </c>
      <c r="I108" t="s">
        <v>3391</v>
      </c>
      <c r="J108" t="s">
        <v>3392</v>
      </c>
      <c r="K108" t="s">
        <v>3301</v>
      </c>
      <c r="L108" t="s">
        <v>6778</v>
      </c>
      <c r="M108" t="s">
        <v>6779</v>
      </c>
      <c r="N108" t="s">
        <v>6792</v>
      </c>
      <c r="O108">
        <v>1</v>
      </c>
      <c r="P108" t="str">
        <f>+BARRAS[[#This Row],[Barra]]&amp;"_"&amp;BARRAS[[#This Row],[Nivel de tensión]]</f>
        <v>H.FUENTES_110</v>
      </c>
    </row>
    <row r="109" spans="1:16">
      <c r="A109" t="s">
        <v>5038</v>
      </c>
      <c r="B109">
        <v>66</v>
      </c>
      <c r="C109">
        <v>235</v>
      </c>
      <c r="D109" t="s">
        <v>5039</v>
      </c>
      <c r="E109" t="s">
        <v>5040</v>
      </c>
      <c r="F109" t="s">
        <v>5041</v>
      </c>
      <c r="G109">
        <v>16301</v>
      </c>
      <c r="H109" t="s">
        <v>3414</v>
      </c>
      <c r="I109" t="s">
        <v>3391</v>
      </c>
      <c r="J109" t="s">
        <v>3392</v>
      </c>
      <c r="K109" t="s">
        <v>3304</v>
      </c>
      <c r="L109" t="s">
        <v>6778</v>
      </c>
      <c r="M109" t="s">
        <v>6779</v>
      </c>
      <c r="N109" t="s">
        <v>6792</v>
      </c>
      <c r="O109">
        <v>1</v>
      </c>
      <c r="P109" t="str">
        <f>+BARRAS[[#This Row],[Barra]]&amp;"_"&amp;BARRAS[[#This Row],[Nivel de tensión]]</f>
        <v>HORCONES_66</v>
      </c>
    </row>
    <row r="110" spans="1:16">
      <c r="A110" t="s">
        <v>515</v>
      </c>
      <c r="B110">
        <v>13</v>
      </c>
      <c r="C110">
        <v>127</v>
      </c>
      <c r="D110" t="s">
        <v>5042</v>
      </c>
      <c r="E110" t="s">
        <v>5043</v>
      </c>
      <c r="F110" t="s">
        <v>5044</v>
      </c>
      <c r="G110">
        <v>16301</v>
      </c>
      <c r="H110" t="s">
        <v>3414</v>
      </c>
      <c r="I110" t="s">
        <v>3391</v>
      </c>
      <c r="J110" t="s">
        <v>3392</v>
      </c>
      <c r="K110" t="s">
        <v>3304</v>
      </c>
      <c r="L110" t="s">
        <v>6778</v>
      </c>
      <c r="M110" t="s">
        <v>6779</v>
      </c>
      <c r="N110" t="s">
        <v>6792</v>
      </c>
      <c r="O110">
        <v>1</v>
      </c>
      <c r="P110" t="str">
        <f>+BARRAS[[#This Row],[Barra]]&amp;"_"&amp;BARRAS[[#This Row],[Nivel de tensión]]</f>
        <v>HOSPITAL_13</v>
      </c>
    </row>
    <row r="111" spans="1:16">
      <c r="A111" t="s">
        <v>515</v>
      </c>
      <c r="B111">
        <v>66</v>
      </c>
      <c r="C111">
        <v>236</v>
      </c>
      <c r="D111" t="s">
        <v>5045</v>
      </c>
      <c r="E111" t="s">
        <v>5046</v>
      </c>
      <c r="F111" t="s">
        <v>5044</v>
      </c>
      <c r="G111">
        <v>16301</v>
      </c>
      <c r="H111" t="s">
        <v>3414</v>
      </c>
      <c r="I111" t="s">
        <v>3391</v>
      </c>
      <c r="J111" t="s">
        <v>3392</v>
      </c>
      <c r="K111" t="s">
        <v>3304</v>
      </c>
      <c r="L111" t="s">
        <v>6778</v>
      </c>
      <c r="M111" t="s">
        <v>6779</v>
      </c>
      <c r="N111" t="s">
        <v>6792</v>
      </c>
      <c r="O111">
        <v>1</v>
      </c>
      <c r="P111" t="str">
        <f>+BARRAS[[#This Row],[Barra]]&amp;"_"&amp;BARRAS[[#This Row],[Nivel de tensión]]</f>
        <v>HOSPITAL_66</v>
      </c>
    </row>
    <row r="112" spans="1:16">
      <c r="A112" t="s">
        <v>518</v>
      </c>
      <c r="B112">
        <v>13</v>
      </c>
      <c r="C112">
        <v>576</v>
      </c>
      <c r="D112" t="s">
        <v>3447</v>
      </c>
      <c r="E112" t="s">
        <v>3448</v>
      </c>
      <c r="F112" t="s">
        <v>3449</v>
      </c>
      <c r="G112">
        <v>16301</v>
      </c>
      <c r="H112" t="s">
        <v>3414</v>
      </c>
      <c r="I112" t="s">
        <v>3391</v>
      </c>
      <c r="J112" t="s">
        <v>3392</v>
      </c>
      <c r="K112" t="s">
        <v>3304</v>
      </c>
      <c r="L112" t="s">
        <v>6778</v>
      </c>
      <c r="M112" t="s">
        <v>6779</v>
      </c>
      <c r="N112" t="s">
        <v>6792</v>
      </c>
      <c r="O112">
        <v>1</v>
      </c>
      <c r="P112" t="str">
        <f>+BARRAS[[#This Row],[Barra]]&amp;"_"&amp;BARRAS[[#This Row],[Nivel de tensión]]</f>
        <v>HUALANE_13</v>
      </c>
    </row>
    <row r="113" spans="1:16">
      <c r="A113" t="s">
        <v>518</v>
      </c>
      <c r="B113">
        <v>66</v>
      </c>
      <c r="C113">
        <v>1</v>
      </c>
      <c r="D113" t="s">
        <v>3397</v>
      </c>
      <c r="E113" t="s">
        <v>5047</v>
      </c>
      <c r="F113" t="s">
        <v>3420</v>
      </c>
      <c r="G113">
        <v>16301</v>
      </c>
      <c r="H113" t="s">
        <v>3414</v>
      </c>
      <c r="I113" t="s">
        <v>3391</v>
      </c>
      <c r="J113" t="s">
        <v>3392</v>
      </c>
      <c r="K113" t="s">
        <v>3304</v>
      </c>
      <c r="L113" t="s">
        <v>6778</v>
      </c>
      <c r="M113" t="s">
        <v>6779</v>
      </c>
      <c r="N113" t="s">
        <v>6792</v>
      </c>
      <c r="O113">
        <v>1</v>
      </c>
      <c r="P113" t="str">
        <f>+BARRAS[[#This Row],[Barra]]&amp;"_"&amp;BARRAS[[#This Row],[Nivel de tensión]]</f>
        <v>HUALANE_66</v>
      </c>
    </row>
    <row r="114" spans="1:16">
      <c r="A114" t="s">
        <v>521</v>
      </c>
      <c r="B114">
        <v>154</v>
      </c>
      <c r="C114">
        <v>1</v>
      </c>
      <c r="D114" t="s">
        <v>3397</v>
      </c>
      <c r="E114" t="s">
        <v>5048</v>
      </c>
      <c r="F114" t="s">
        <v>3420</v>
      </c>
      <c r="G114">
        <v>16301</v>
      </c>
      <c r="H114" t="s">
        <v>3405</v>
      </c>
      <c r="I114" t="s">
        <v>3391</v>
      </c>
      <c r="J114" t="s">
        <v>3392</v>
      </c>
      <c r="K114" t="s">
        <v>6315</v>
      </c>
      <c r="L114" t="s">
        <v>6778</v>
      </c>
      <c r="M114" t="s">
        <v>6779</v>
      </c>
      <c r="N114" t="s">
        <v>6792</v>
      </c>
      <c r="O114">
        <v>1</v>
      </c>
      <c r="P114" t="str">
        <f>+BARRAS[[#This Row],[Barra]]&amp;"_"&amp;BARRAS[[#This Row],[Nivel de tensión]]</f>
        <v>HUALPEN_154</v>
      </c>
    </row>
    <row r="115" spans="1:16">
      <c r="A115" t="s">
        <v>521</v>
      </c>
      <c r="B115">
        <v>220</v>
      </c>
      <c r="C115">
        <v>1268</v>
      </c>
      <c r="D115" t="s">
        <v>5049</v>
      </c>
      <c r="E115" t="s">
        <v>5050</v>
      </c>
      <c r="F115" t="s">
        <v>3484</v>
      </c>
      <c r="G115">
        <v>16301</v>
      </c>
      <c r="H115" t="s">
        <v>3414</v>
      </c>
      <c r="I115" t="s">
        <v>3391</v>
      </c>
      <c r="J115" t="s">
        <v>3392</v>
      </c>
      <c r="K115" t="s">
        <v>3304</v>
      </c>
      <c r="L115" t="s">
        <v>6778</v>
      </c>
      <c r="M115" t="s">
        <v>6779</v>
      </c>
      <c r="N115" t="s">
        <v>6792</v>
      </c>
      <c r="O115">
        <v>1</v>
      </c>
      <c r="P115" t="str">
        <f>+BARRAS[[#This Row],[Barra]]&amp;"_"&amp;BARRAS[[#This Row],[Nivel de tensión]]</f>
        <v>HUALPEN_220</v>
      </c>
    </row>
    <row r="116" spans="1:16">
      <c r="A116" t="s">
        <v>5051</v>
      </c>
      <c r="B116">
        <v>220</v>
      </c>
      <c r="C116">
        <v>1</v>
      </c>
      <c r="D116" t="s">
        <v>3397</v>
      </c>
      <c r="E116" t="s">
        <v>5052</v>
      </c>
      <c r="F116" t="s">
        <v>3420</v>
      </c>
      <c r="G116">
        <v>16301</v>
      </c>
      <c r="H116" t="s">
        <v>3409</v>
      </c>
      <c r="I116" t="s">
        <v>3391</v>
      </c>
      <c r="J116" t="s">
        <v>3392</v>
      </c>
      <c r="K116" t="s">
        <v>6315</v>
      </c>
      <c r="L116" t="s">
        <v>6778</v>
      </c>
      <c r="M116" t="s">
        <v>6779</v>
      </c>
      <c r="N116" t="s">
        <v>6792</v>
      </c>
      <c r="O116">
        <v>1</v>
      </c>
      <c r="P116" t="str">
        <f>+BARRAS[[#This Row],[Barra]]&amp;"_"&amp;BARRAS[[#This Row],[Nivel de tensión]]</f>
        <v>HUALQUI_220</v>
      </c>
    </row>
    <row r="117" spans="1:16">
      <c r="A117" t="s">
        <v>525</v>
      </c>
      <c r="B117">
        <v>13</v>
      </c>
      <c r="C117">
        <v>578</v>
      </c>
      <c r="D117" t="s">
        <v>5053</v>
      </c>
      <c r="E117" t="s">
        <v>5054</v>
      </c>
      <c r="F117" t="s">
        <v>3484</v>
      </c>
      <c r="G117">
        <v>16301</v>
      </c>
      <c r="H117" t="s">
        <v>3414</v>
      </c>
      <c r="I117" t="s">
        <v>3391</v>
      </c>
      <c r="J117" t="s">
        <v>3392</v>
      </c>
      <c r="K117" t="s">
        <v>3304</v>
      </c>
      <c r="L117" t="s">
        <v>6778</v>
      </c>
      <c r="M117" t="s">
        <v>6779</v>
      </c>
      <c r="N117" t="s">
        <v>6792</v>
      </c>
      <c r="O117">
        <v>1</v>
      </c>
      <c r="P117" t="str">
        <f>+BARRAS[[#This Row],[Barra]]&amp;"_"&amp;BARRAS[[#This Row],[Nivel de tensión]]</f>
        <v>HUALTE_13</v>
      </c>
    </row>
    <row r="118" spans="1:16">
      <c r="A118" t="s">
        <v>5104</v>
      </c>
      <c r="B118">
        <v>110</v>
      </c>
      <c r="C118">
        <v>1</v>
      </c>
      <c r="D118" t="s">
        <v>3397</v>
      </c>
      <c r="E118" t="s">
        <v>5105</v>
      </c>
      <c r="F118" t="s">
        <v>3420</v>
      </c>
      <c r="G118">
        <v>16301</v>
      </c>
      <c r="H118" t="s">
        <v>3396</v>
      </c>
      <c r="I118" t="s">
        <v>3391</v>
      </c>
      <c r="J118" t="s">
        <v>3392</v>
      </c>
      <c r="K118" t="s">
        <v>6315</v>
      </c>
      <c r="L118" t="s">
        <v>6778</v>
      </c>
      <c r="M118" t="s">
        <v>6779</v>
      </c>
      <c r="N118" t="s">
        <v>6792</v>
      </c>
      <c r="O118">
        <v>1</v>
      </c>
      <c r="P118" t="str">
        <f>+BARRAS[[#This Row],[Barra]]&amp;"_"&amp;BARRAS[[#This Row],[Nivel de tensión]]</f>
        <v>JAVIERA_110</v>
      </c>
    </row>
    <row r="119" spans="1:16">
      <c r="A119" t="s">
        <v>5106</v>
      </c>
      <c r="B119">
        <v>13</v>
      </c>
      <c r="C119">
        <v>1002</v>
      </c>
      <c r="D119" t="s">
        <v>5107</v>
      </c>
      <c r="E119" t="s">
        <v>5108</v>
      </c>
      <c r="F119" t="s">
        <v>5109</v>
      </c>
      <c r="G119">
        <v>16301</v>
      </c>
      <c r="H119" t="s">
        <v>3418</v>
      </c>
      <c r="I119" t="s">
        <v>3391</v>
      </c>
      <c r="J119" t="s">
        <v>3392</v>
      </c>
      <c r="K119" t="s">
        <v>3302</v>
      </c>
      <c r="L119" t="s">
        <v>6778</v>
      </c>
      <c r="M119" t="s">
        <v>6779</v>
      </c>
      <c r="N119" t="s">
        <v>6792</v>
      </c>
      <c r="O119">
        <v>1</v>
      </c>
      <c r="P119" t="str">
        <f>+BARRAS[[#This Row],[Barra]]&amp;"_"&amp;BARRAS[[#This Row],[Nivel de tensión]]</f>
        <v>JUNCAL_13</v>
      </c>
    </row>
    <row r="120" spans="1:16">
      <c r="A120" t="s">
        <v>5106</v>
      </c>
      <c r="B120">
        <v>44</v>
      </c>
      <c r="C120">
        <v>1</v>
      </c>
      <c r="D120" t="s">
        <v>3397</v>
      </c>
      <c r="E120" t="s">
        <v>5110</v>
      </c>
      <c r="F120" t="s">
        <v>3420</v>
      </c>
      <c r="G120">
        <v>16301</v>
      </c>
      <c r="H120" t="s">
        <v>3418</v>
      </c>
      <c r="I120" t="s">
        <v>3391</v>
      </c>
      <c r="J120" t="s">
        <v>3392</v>
      </c>
      <c r="K120" t="s">
        <v>3302</v>
      </c>
      <c r="L120" t="s">
        <v>6778</v>
      </c>
      <c r="M120" t="s">
        <v>6779</v>
      </c>
      <c r="N120" t="s">
        <v>6792</v>
      </c>
      <c r="O120">
        <v>1</v>
      </c>
      <c r="P120" t="str">
        <f>+BARRAS[[#This Row],[Barra]]&amp;"_"&amp;BARRAS[[#This Row],[Nivel de tensión]]</f>
        <v>JUNCAL_44</v>
      </c>
    </row>
    <row r="121" spans="1:16">
      <c r="A121" t="s">
        <v>5111</v>
      </c>
      <c r="B121">
        <v>220</v>
      </c>
      <c r="C121">
        <v>2140</v>
      </c>
      <c r="D121" t="s">
        <v>3397</v>
      </c>
      <c r="E121" t="s">
        <v>5112</v>
      </c>
      <c r="F121" t="s">
        <v>5113</v>
      </c>
      <c r="G121">
        <v>16301</v>
      </c>
      <c r="H121" t="s">
        <v>3405</v>
      </c>
      <c r="I121" t="s">
        <v>3391</v>
      </c>
      <c r="J121" t="s">
        <v>3392</v>
      </c>
      <c r="K121" t="s">
        <v>6315</v>
      </c>
      <c r="L121" t="s">
        <v>6778</v>
      </c>
      <c r="M121" t="s">
        <v>6779</v>
      </c>
      <c r="N121" t="s">
        <v>6792</v>
      </c>
      <c r="O121">
        <v>1</v>
      </c>
      <c r="P121" t="str">
        <f>+BARRAS[[#This Row],[Barra]]&amp;"_"&amp;BARRAS[[#This Row],[Nivel de tensión]]</f>
        <v>KAPATUR_220</v>
      </c>
    </row>
    <row r="122" spans="1:16">
      <c r="A122" t="s">
        <v>5114</v>
      </c>
      <c r="B122">
        <v>220</v>
      </c>
      <c r="C122">
        <v>1</v>
      </c>
      <c r="D122" t="s">
        <v>3397</v>
      </c>
      <c r="E122" t="s">
        <v>5115</v>
      </c>
      <c r="F122" t="s">
        <v>3420</v>
      </c>
      <c r="G122">
        <v>16301</v>
      </c>
      <c r="H122" t="s">
        <v>3405</v>
      </c>
      <c r="I122" t="s">
        <v>3391</v>
      </c>
      <c r="J122" t="s">
        <v>3392</v>
      </c>
      <c r="K122" t="s">
        <v>6315</v>
      </c>
      <c r="L122" t="s">
        <v>6778</v>
      </c>
      <c r="M122" t="s">
        <v>6779</v>
      </c>
      <c r="N122" t="s">
        <v>6792</v>
      </c>
      <c r="O122">
        <v>1</v>
      </c>
      <c r="P122" t="str">
        <f>+BARRAS[[#This Row],[Barra]]&amp;"_"&amp;BARRAS[[#This Row],[Nivel de tensión]]</f>
        <v>KELAR_220</v>
      </c>
    </row>
    <row r="123" spans="1:16">
      <c r="A123" t="s">
        <v>5116</v>
      </c>
      <c r="B123">
        <v>220</v>
      </c>
      <c r="C123">
        <v>1</v>
      </c>
      <c r="D123" t="s">
        <v>3397</v>
      </c>
      <c r="E123" t="s">
        <v>3419</v>
      </c>
      <c r="F123" t="s">
        <v>3420</v>
      </c>
      <c r="G123">
        <v>16301</v>
      </c>
      <c r="H123" t="s">
        <v>3409</v>
      </c>
      <c r="I123" t="s">
        <v>3391</v>
      </c>
      <c r="J123" t="s">
        <v>3392</v>
      </c>
      <c r="K123" t="s">
        <v>6315</v>
      </c>
      <c r="L123" t="s">
        <v>6778</v>
      </c>
      <c r="M123" t="s">
        <v>6779</v>
      </c>
      <c r="N123" t="s">
        <v>6792</v>
      </c>
      <c r="O123">
        <v>1</v>
      </c>
      <c r="P123" t="str">
        <f>+BARRAS[[#This Row],[Barra]]&amp;"_"&amp;BARRAS[[#This Row],[Nivel de tensión]]</f>
        <v>KIM_NVACH_AUX_220</v>
      </c>
    </row>
    <row r="124" spans="1:16">
      <c r="A124" t="s">
        <v>5117</v>
      </c>
      <c r="B124">
        <v>220</v>
      </c>
      <c r="C124">
        <v>1</v>
      </c>
      <c r="D124" t="s">
        <v>3397</v>
      </c>
      <c r="E124" t="s">
        <v>5118</v>
      </c>
      <c r="F124" t="s">
        <v>3420</v>
      </c>
      <c r="G124">
        <v>16301</v>
      </c>
      <c r="H124" t="s">
        <v>3405</v>
      </c>
      <c r="I124" t="s">
        <v>3391</v>
      </c>
      <c r="J124" t="s">
        <v>3392</v>
      </c>
      <c r="K124" t="s">
        <v>6315</v>
      </c>
      <c r="L124" t="s">
        <v>6778</v>
      </c>
      <c r="M124" t="s">
        <v>6779</v>
      </c>
      <c r="N124" t="s">
        <v>6792</v>
      </c>
      <c r="O124">
        <v>1</v>
      </c>
      <c r="P124" t="str">
        <f>+BARRAS[[#This Row],[Barra]]&amp;"_"&amp;BARRAS[[#This Row],[Nivel de tensión]]</f>
        <v>KIMAL_220</v>
      </c>
    </row>
    <row r="125" spans="1:16">
      <c r="A125" t="s">
        <v>5117</v>
      </c>
      <c r="B125">
        <v>500</v>
      </c>
      <c r="C125">
        <v>1</v>
      </c>
      <c r="D125" t="s">
        <v>3397</v>
      </c>
      <c r="E125" t="s">
        <v>5119</v>
      </c>
      <c r="F125" t="s">
        <v>3420</v>
      </c>
      <c r="G125">
        <v>16301</v>
      </c>
      <c r="H125" t="s">
        <v>3701</v>
      </c>
      <c r="I125" t="s">
        <v>3391</v>
      </c>
      <c r="J125" t="s">
        <v>3392</v>
      </c>
      <c r="K125" t="s">
        <v>6315</v>
      </c>
      <c r="L125" t="s">
        <v>6778</v>
      </c>
      <c r="M125" t="s">
        <v>6779</v>
      </c>
      <c r="N125" t="s">
        <v>6792</v>
      </c>
      <c r="O125">
        <v>1</v>
      </c>
      <c r="P125" t="str">
        <f>+BARRAS[[#This Row],[Barra]]&amp;"_"&amp;BARRAS[[#This Row],[Nivel de tensión]]</f>
        <v>KIMAL_500</v>
      </c>
    </row>
    <row r="126" spans="1:16">
      <c r="A126" t="s">
        <v>5120</v>
      </c>
      <c r="B126">
        <v>100</v>
      </c>
      <c r="C126">
        <v>2138</v>
      </c>
      <c r="D126" t="s">
        <v>5121</v>
      </c>
      <c r="E126" t="s">
        <v>5122</v>
      </c>
      <c r="F126" t="s">
        <v>5123</v>
      </c>
      <c r="G126">
        <v>16301</v>
      </c>
      <c r="H126" t="s">
        <v>3405</v>
      </c>
      <c r="I126" t="s">
        <v>3391</v>
      </c>
      <c r="J126" t="s">
        <v>3392</v>
      </c>
      <c r="K126" t="s">
        <v>6315</v>
      </c>
      <c r="L126" t="s">
        <v>6778</v>
      </c>
      <c r="M126" t="s">
        <v>6779</v>
      </c>
      <c r="N126" t="s">
        <v>6792</v>
      </c>
      <c r="O126">
        <v>1</v>
      </c>
      <c r="P126" t="str">
        <f>+BARRAS[[#This Row],[Barra]]&amp;"_"&amp;BARRAS[[#This Row],[Nivel de tensión]]</f>
        <v>KM6_100</v>
      </c>
    </row>
    <row r="127" spans="1:16">
      <c r="A127" t="s">
        <v>5124</v>
      </c>
      <c r="B127">
        <v>110</v>
      </c>
      <c r="C127">
        <v>1</v>
      </c>
      <c r="D127" t="s">
        <v>3397</v>
      </c>
      <c r="E127" t="s">
        <v>5125</v>
      </c>
      <c r="F127" t="s">
        <v>3420</v>
      </c>
      <c r="G127">
        <v>16301</v>
      </c>
      <c r="H127" t="s">
        <v>3469</v>
      </c>
      <c r="I127" t="s">
        <v>3391</v>
      </c>
      <c r="J127" t="s">
        <v>3392</v>
      </c>
      <c r="K127" t="s">
        <v>3303</v>
      </c>
      <c r="L127" t="s">
        <v>6778</v>
      </c>
      <c r="M127" t="s">
        <v>6779</v>
      </c>
      <c r="N127" t="s">
        <v>6792</v>
      </c>
      <c r="O127">
        <v>1</v>
      </c>
      <c r="P127" t="str">
        <f>+BARRAS[[#This Row],[Barra]]&amp;"_"&amp;BARRAS[[#This Row],[Nivel de tensión]]</f>
        <v>L.ALMENDROS_110</v>
      </c>
    </row>
    <row r="128" spans="1:16">
      <c r="A128" t="s">
        <v>5124</v>
      </c>
      <c r="B128">
        <v>220</v>
      </c>
      <c r="C128">
        <v>1</v>
      </c>
      <c r="D128" t="s">
        <v>3397</v>
      </c>
      <c r="E128" t="s">
        <v>5126</v>
      </c>
      <c r="F128" t="s">
        <v>3420</v>
      </c>
      <c r="G128">
        <v>16301</v>
      </c>
      <c r="H128" t="s">
        <v>3469</v>
      </c>
      <c r="I128" t="s">
        <v>3391</v>
      </c>
      <c r="J128" t="s">
        <v>3392</v>
      </c>
      <c r="K128" t="s">
        <v>3303</v>
      </c>
      <c r="L128" t="s">
        <v>6778</v>
      </c>
      <c r="M128" t="s">
        <v>6779</v>
      </c>
      <c r="N128" t="s">
        <v>6792</v>
      </c>
      <c r="O128">
        <v>1</v>
      </c>
      <c r="P128" t="str">
        <f>+BARRAS[[#This Row],[Barra]]&amp;"_"&amp;BARRAS[[#This Row],[Nivel de tensión]]</f>
        <v>L.ALMENDROS_220</v>
      </c>
    </row>
    <row r="129" spans="1:16">
      <c r="A129" t="s">
        <v>563</v>
      </c>
      <c r="B129">
        <v>13</v>
      </c>
      <c r="C129">
        <v>186</v>
      </c>
      <c r="D129" t="s">
        <v>5127</v>
      </c>
      <c r="E129" t="s">
        <v>5128</v>
      </c>
      <c r="F129" t="s">
        <v>5129</v>
      </c>
      <c r="G129">
        <v>16301</v>
      </c>
      <c r="H129" t="s">
        <v>3414</v>
      </c>
      <c r="I129" t="s">
        <v>3391</v>
      </c>
      <c r="J129" t="s">
        <v>3392</v>
      </c>
      <c r="K129" t="s">
        <v>3304</v>
      </c>
      <c r="L129" t="s">
        <v>6778</v>
      </c>
      <c r="M129" t="s">
        <v>6779</v>
      </c>
      <c r="N129" t="s">
        <v>6792</v>
      </c>
      <c r="O129">
        <v>1</v>
      </c>
      <c r="P129" t="str">
        <f>+BARRAS[[#This Row],[Barra]]&amp;"_"&amp;BARRAS[[#This Row],[Nivel de tensión]]</f>
        <v>L.ANGELES_13</v>
      </c>
    </row>
    <row r="130" spans="1:16">
      <c r="A130" t="s">
        <v>563</v>
      </c>
      <c r="B130">
        <v>66</v>
      </c>
      <c r="C130">
        <v>1</v>
      </c>
      <c r="D130" t="s">
        <v>3397</v>
      </c>
      <c r="E130" t="s">
        <v>5130</v>
      </c>
      <c r="F130" t="s">
        <v>3420</v>
      </c>
      <c r="G130">
        <v>16301</v>
      </c>
      <c r="H130" t="s">
        <v>3414</v>
      </c>
      <c r="I130" t="s">
        <v>3391</v>
      </c>
      <c r="J130" t="s">
        <v>3392</v>
      </c>
      <c r="K130" t="s">
        <v>3304</v>
      </c>
      <c r="L130" t="s">
        <v>6778</v>
      </c>
      <c r="M130" t="s">
        <v>6779</v>
      </c>
      <c r="N130" t="s">
        <v>6792</v>
      </c>
      <c r="O130">
        <v>1</v>
      </c>
      <c r="P130" t="str">
        <f>+BARRAS[[#This Row],[Barra]]&amp;"_"&amp;BARRAS[[#This Row],[Nivel de tensión]]</f>
        <v>L.ANGELES_66</v>
      </c>
    </row>
    <row r="131" spans="1:16">
      <c r="A131" t="s">
        <v>563</v>
      </c>
      <c r="B131">
        <v>154</v>
      </c>
      <c r="C131">
        <v>1</v>
      </c>
      <c r="D131" t="s">
        <v>3397</v>
      </c>
      <c r="E131" t="s">
        <v>5131</v>
      </c>
      <c r="F131" t="s">
        <v>3420</v>
      </c>
      <c r="G131">
        <v>16301</v>
      </c>
      <c r="H131" t="s">
        <v>3414</v>
      </c>
      <c r="I131" t="s">
        <v>3391</v>
      </c>
      <c r="J131" t="s">
        <v>3392</v>
      </c>
      <c r="K131" t="s">
        <v>3304</v>
      </c>
      <c r="L131" t="s">
        <v>6778</v>
      </c>
      <c r="M131" t="s">
        <v>6779</v>
      </c>
      <c r="N131" t="s">
        <v>6792</v>
      </c>
      <c r="O131">
        <v>1</v>
      </c>
      <c r="P131" t="str">
        <f>+BARRAS[[#This Row],[Barra]]&amp;"_"&amp;BARRAS[[#This Row],[Nivel de tensión]]</f>
        <v>L.ANGELES_154</v>
      </c>
    </row>
    <row r="132" spans="1:16">
      <c r="A132" t="s">
        <v>567</v>
      </c>
      <c r="B132">
        <v>13</v>
      </c>
      <c r="C132">
        <v>131</v>
      </c>
      <c r="D132" t="s">
        <v>5132</v>
      </c>
      <c r="E132" t="s">
        <v>5133</v>
      </c>
      <c r="F132" t="s">
        <v>5134</v>
      </c>
      <c r="G132">
        <v>16301</v>
      </c>
      <c r="H132" t="s">
        <v>3414</v>
      </c>
      <c r="I132" t="s">
        <v>3391</v>
      </c>
      <c r="J132" t="s">
        <v>3392</v>
      </c>
      <c r="K132" t="s">
        <v>3304</v>
      </c>
      <c r="L132" t="s">
        <v>6778</v>
      </c>
      <c r="M132" t="s">
        <v>6779</v>
      </c>
      <c r="N132" t="s">
        <v>6792</v>
      </c>
      <c r="O132">
        <v>1</v>
      </c>
      <c r="P132" t="str">
        <f>+BARRAS[[#This Row],[Barra]]&amp;"_"&amp;BARRAS[[#This Row],[Nivel de tensión]]</f>
        <v>L.CABRAS_13</v>
      </c>
    </row>
    <row r="133" spans="1:16">
      <c r="A133" t="s">
        <v>567</v>
      </c>
      <c r="B133">
        <v>66</v>
      </c>
      <c r="C133">
        <v>1</v>
      </c>
      <c r="D133" t="s">
        <v>3397</v>
      </c>
      <c r="E133" t="s">
        <v>5135</v>
      </c>
      <c r="F133" t="s">
        <v>3420</v>
      </c>
      <c r="G133">
        <v>16301</v>
      </c>
      <c r="H133" t="s">
        <v>3414</v>
      </c>
      <c r="I133" t="s">
        <v>3391</v>
      </c>
      <c r="J133" t="s">
        <v>3392</v>
      </c>
      <c r="K133" t="s">
        <v>3304</v>
      </c>
      <c r="L133" t="s">
        <v>6778</v>
      </c>
      <c r="M133" t="s">
        <v>6779</v>
      </c>
      <c r="N133" t="s">
        <v>6792</v>
      </c>
      <c r="O133">
        <v>1</v>
      </c>
      <c r="P133" t="str">
        <f>+BARRAS[[#This Row],[Barra]]&amp;"_"&amp;BARRAS[[#This Row],[Nivel de tensión]]</f>
        <v>L.CABRAS_66</v>
      </c>
    </row>
    <row r="134" spans="1:16">
      <c r="A134" t="s">
        <v>5136</v>
      </c>
      <c r="B134">
        <v>220</v>
      </c>
      <c r="C134">
        <v>1</v>
      </c>
      <c r="D134" t="s">
        <v>3397</v>
      </c>
      <c r="E134" t="s">
        <v>5137</v>
      </c>
      <c r="F134" t="s">
        <v>3420</v>
      </c>
      <c r="G134">
        <v>16301</v>
      </c>
      <c r="H134" t="s">
        <v>3701</v>
      </c>
      <c r="I134" t="s">
        <v>3391</v>
      </c>
      <c r="J134" t="s">
        <v>3392</v>
      </c>
      <c r="K134" t="s">
        <v>6315</v>
      </c>
      <c r="L134" t="s">
        <v>6778</v>
      </c>
      <c r="M134" t="s">
        <v>6779</v>
      </c>
      <c r="N134" t="s">
        <v>6792</v>
      </c>
      <c r="O134">
        <v>1</v>
      </c>
      <c r="P134" t="str">
        <f>+BARRAS[[#This Row],[Barra]]&amp;"_"&amp;BARRAS[[#This Row],[Nivel de tensión]]</f>
        <v>L.CHANGOS_220</v>
      </c>
    </row>
    <row r="135" spans="1:16">
      <c r="A135" t="s">
        <v>5136</v>
      </c>
      <c r="B135">
        <v>500</v>
      </c>
      <c r="C135">
        <v>1</v>
      </c>
      <c r="D135" t="s">
        <v>3397</v>
      </c>
      <c r="E135" t="s">
        <v>5138</v>
      </c>
      <c r="F135" t="s">
        <v>3420</v>
      </c>
      <c r="G135">
        <v>16301</v>
      </c>
      <c r="H135" t="s">
        <v>3701</v>
      </c>
      <c r="I135" t="s">
        <v>3391</v>
      </c>
      <c r="J135" t="s">
        <v>3392</v>
      </c>
      <c r="K135" t="s">
        <v>6315</v>
      </c>
      <c r="L135" t="s">
        <v>6778</v>
      </c>
      <c r="M135" t="s">
        <v>6779</v>
      </c>
      <c r="N135" t="s">
        <v>6792</v>
      </c>
      <c r="O135">
        <v>1</v>
      </c>
      <c r="P135" t="str">
        <f>+BARRAS[[#This Row],[Barra]]&amp;"_"&amp;BARRAS[[#This Row],[Nivel de tensión]]</f>
        <v>L.CHANGOS_500</v>
      </c>
    </row>
    <row r="136" spans="1:16">
      <c r="A136" t="s">
        <v>5139</v>
      </c>
      <c r="B136">
        <v>110</v>
      </c>
      <c r="C136">
        <v>1175</v>
      </c>
      <c r="D136" t="s">
        <v>5140</v>
      </c>
      <c r="E136" t="s">
        <v>5141</v>
      </c>
      <c r="F136" t="s">
        <v>5142</v>
      </c>
      <c r="G136">
        <v>16301</v>
      </c>
      <c r="H136" t="s">
        <v>3396</v>
      </c>
      <c r="I136" t="s">
        <v>3391</v>
      </c>
      <c r="J136" t="s">
        <v>3392</v>
      </c>
      <c r="K136" t="s">
        <v>6315</v>
      </c>
      <c r="L136" t="s">
        <v>6778</v>
      </c>
      <c r="M136" t="s">
        <v>6779</v>
      </c>
      <c r="N136" t="s">
        <v>6792</v>
      </c>
      <c r="O136">
        <v>1</v>
      </c>
      <c r="P136" t="str">
        <f>+BARRAS[[#This Row],[Barra]]&amp;"_"&amp;BARRAS[[#This Row],[Nivel de tensión]]</f>
        <v>L.COLOR1_110</v>
      </c>
    </row>
    <row r="137" spans="1:16">
      <c r="A137" t="s">
        <v>5143</v>
      </c>
      <c r="B137">
        <v>13</v>
      </c>
      <c r="C137">
        <v>184</v>
      </c>
      <c r="D137" t="s">
        <v>5144</v>
      </c>
      <c r="E137" t="s">
        <v>5145</v>
      </c>
      <c r="F137" t="s">
        <v>5146</v>
      </c>
      <c r="G137">
        <v>16301</v>
      </c>
      <c r="H137" t="s">
        <v>3414</v>
      </c>
      <c r="I137" t="s">
        <v>3391</v>
      </c>
      <c r="J137" t="s">
        <v>3392</v>
      </c>
      <c r="K137" t="s">
        <v>3304</v>
      </c>
      <c r="L137" t="s">
        <v>6778</v>
      </c>
      <c r="M137" t="s">
        <v>6779</v>
      </c>
      <c r="N137" t="s">
        <v>6792</v>
      </c>
      <c r="O137">
        <v>1</v>
      </c>
      <c r="P137" t="str">
        <f>+BARRAS[[#This Row],[Barra]]&amp;"_"&amp;BARRAS[[#This Row],[Nivel de tensión]]</f>
        <v>L.COLORADAS_13</v>
      </c>
    </row>
    <row r="138" spans="1:16">
      <c r="A138" t="s">
        <v>5143</v>
      </c>
      <c r="B138">
        <v>66</v>
      </c>
      <c r="C138">
        <v>1</v>
      </c>
      <c r="D138" t="s">
        <v>3397</v>
      </c>
      <c r="E138" t="s">
        <v>5147</v>
      </c>
      <c r="F138" t="s">
        <v>3420</v>
      </c>
      <c r="G138">
        <v>16301</v>
      </c>
      <c r="H138" t="s">
        <v>3414</v>
      </c>
      <c r="I138" t="s">
        <v>3391</v>
      </c>
      <c r="J138" t="s">
        <v>3392</v>
      </c>
      <c r="K138" t="s">
        <v>3304</v>
      </c>
      <c r="L138" t="s">
        <v>6778</v>
      </c>
      <c r="M138" t="s">
        <v>6779</v>
      </c>
      <c r="N138" t="s">
        <v>6792</v>
      </c>
      <c r="O138">
        <v>1</v>
      </c>
      <c r="P138" t="str">
        <f>+BARRAS[[#This Row],[Barra]]&amp;"_"&amp;BARRAS[[#This Row],[Nivel de tensión]]</f>
        <v>L.COLORADAS_66</v>
      </c>
    </row>
    <row r="139" spans="1:16">
      <c r="A139" t="s">
        <v>575</v>
      </c>
      <c r="B139">
        <v>220</v>
      </c>
      <c r="C139">
        <v>1</v>
      </c>
      <c r="D139" t="s">
        <v>3397</v>
      </c>
      <c r="E139" t="s">
        <v>3419</v>
      </c>
      <c r="F139" t="s">
        <v>3420</v>
      </c>
      <c r="G139">
        <v>16301</v>
      </c>
      <c r="H139" t="s">
        <v>3405</v>
      </c>
      <c r="I139" t="s">
        <v>3391</v>
      </c>
      <c r="J139" t="s">
        <v>3392</v>
      </c>
      <c r="K139" t="s">
        <v>6315</v>
      </c>
      <c r="L139" t="s">
        <v>6778</v>
      </c>
      <c r="M139" t="s">
        <v>6779</v>
      </c>
      <c r="N139" t="s">
        <v>6792</v>
      </c>
      <c r="O139">
        <v>1</v>
      </c>
      <c r="P139" t="str">
        <f>+BARRAS[[#This Row],[Barra]]&amp;"_"&amp;BARRAS[[#This Row],[Nivel de tensión]]</f>
        <v>L.CONFLUENCIA_220</v>
      </c>
    </row>
    <row r="140" spans="1:16">
      <c r="A140" t="s">
        <v>5148</v>
      </c>
      <c r="B140">
        <v>220</v>
      </c>
      <c r="C140">
        <v>3086</v>
      </c>
      <c r="D140" t="s">
        <v>5149</v>
      </c>
      <c r="E140" t="s">
        <v>5150</v>
      </c>
      <c r="F140" t="s">
        <v>5151</v>
      </c>
      <c r="G140">
        <v>16301</v>
      </c>
      <c r="H140" t="s">
        <v>3405</v>
      </c>
      <c r="I140" t="s">
        <v>3391</v>
      </c>
      <c r="J140" t="s">
        <v>3392</v>
      </c>
      <c r="K140" t="s">
        <v>6315</v>
      </c>
      <c r="L140" t="s">
        <v>6778</v>
      </c>
      <c r="M140" t="s">
        <v>6779</v>
      </c>
      <c r="N140" t="s">
        <v>6792</v>
      </c>
      <c r="O140">
        <v>1</v>
      </c>
      <c r="P140" t="str">
        <f>+BARRAS[[#This Row],[Barra]]&amp;"_"&amp;BARRAS[[#This Row],[Nivel de tensión]]</f>
        <v>L.ERMITA_220</v>
      </c>
    </row>
    <row r="141" spans="1:16">
      <c r="A141" t="s">
        <v>3453</v>
      </c>
      <c r="B141">
        <v>220</v>
      </c>
      <c r="C141">
        <v>1</v>
      </c>
      <c r="D141" t="s">
        <v>3397</v>
      </c>
      <c r="E141" t="s">
        <v>3454</v>
      </c>
      <c r="F141" t="s">
        <v>3420</v>
      </c>
      <c r="G141">
        <v>16301</v>
      </c>
      <c r="H141" t="s">
        <v>3405</v>
      </c>
      <c r="I141" t="s">
        <v>3391</v>
      </c>
      <c r="J141" t="s">
        <v>3392</v>
      </c>
      <c r="K141" t="s">
        <v>6315</v>
      </c>
      <c r="L141" t="s">
        <v>6778</v>
      </c>
      <c r="M141" t="s">
        <v>6779</v>
      </c>
      <c r="N141" t="s">
        <v>6792</v>
      </c>
      <c r="O141">
        <v>1</v>
      </c>
      <c r="P141" t="str">
        <f>+BARRAS[[#This Row],[Barra]]&amp;"_"&amp;BARRAS[[#This Row],[Nivel de tensión]]</f>
        <v>L.HIGUERA_220</v>
      </c>
    </row>
    <row r="142" spans="1:16">
      <c r="A142" t="s">
        <v>5152</v>
      </c>
      <c r="B142">
        <v>66</v>
      </c>
      <c r="C142">
        <v>1</v>
      </c>
      <c r="D142" t="s">
        <v>5153</v>
      </c>
      <c r="E142" t="s">
        <v>5154</v>
      </c>
      <c r="F142" t="s">
        <v>3484</v>
      </c>
      <c r="G142">
        <v>16301</v>
      </c>
      <c r="H142" t="s">
        <v>3414</v>
      </c>
      <c r="I142" t="s">
        <v>3391</v>
      </c>
      <c r="J142" t="s">
        <v>3392</v>
      </c>
      <c r="K142" t="s">
        <v>3304</v>
      </c>
      <c r="L142" t="s">
        <v>6778</v>
      </c>
      <c r="M142" t="s">
        <v>6779</v>
      </c>
      <c r="N142" t="s">
        <v>6792</v>
      </c>
      <c r="O142">
        <v>1</v>
      </c>
      <c r="P142" t="str">
        <f>+BARRAS[[#This Row],[Barra]]&amp;"_"&amp;BARRAS[[#This Row],[Nivel de tensión]]</f>
        <v>L.INDURA_66</v>
      </c>
    </row>
    <row r="143" spans="1:16">
      <c r="A143" t="s">
        <v>609</v>
      </c>
      <c r="B143">
        <v>110</v>
      </c>
      <c r="C143">
        <v>1823</v>
      </c>
      <c r="D143" t="s">
        <v>5217</v>
      </c>
      <c r="E143" t="s">
        <v>5218</v>
      </c>
      <c r="F143" t="s">
        <v>5215</v>
      </c>
      <c r="G143">
        <v>16301</v>
      </c>
      <c r="H143" t="s">
        <v>3418</v>
      </c>
      <c r="I143" t="s">
        <v>3391</v>
      </c>
      <c r="J143" t="s">
        <v>3392</v>
      </c>
      <c r="K143" t="s">
        <v>3302</v>
      </c>
      <c r="L143" t="s">
        <v>6778</v>
      </c>
      <c r="M143" t="s">
        <v>6779</v>
      </c>
      <c r="N143" t="s">
        <v>6792</v>
      </c>
      <c r="O143">
        <v>1</v>
      </c>
      <c r="P143" t="str">
        <f>+BARRAS[[#This Row],[Barra]]&amp;"_"&amp;BARRAS[[#This Row],[Nivel de tensión]]</f>
        <v>LA_CALERA_110</v>
      </c>
    </row>
    <row r="144" spans="1:16">
      <c r="A144" t="s">
        <v>5219</v>
      </c>
      <c r="B144">
        <v>220</v>
      </c>
      <c r="C144">
        <v>1</v>
      </c>
      <c r="D144" t="s">
        <v>3397</v>
      </c>
      <c r="E144" t="s">
        <v>5220</v>
      </c>
      <c r="F144" t="s">
        <v>3420</v>
      </c>
      <c r="G144">
        <v>16301</v>
      </c>
      <c r="H144" t="s">
        <v>3409</v>
      </c>
      <c r="I144" t="s">
        <v>3391</v>
      </c>
      <c r="J144" t="s">
        <v>3392</v>
      </c>
      <c r="K144" t="s">
        <v>6315</v>
      </c>
      <c r="L144" t="s">
        <v>6778</v>
      </c>
      <c r="M144" t="s">
        <v>6779</v>
      </c>
      <c r="N144" t="s">
        <v>6792</v>
      </c>
      <c r="O144">
        <v>1</v>
      </c>
      <c r="P144" t="str">
        <f>+BARRAS[[#This Row],[Barra]]&amp;"_"&amp;BARRAS[[#This Row],[Nivel de tensión]]</f>
        <v>LA_CEBADA_220</v>
      </c>
    </row>
    <row r="145" spans="1:16">
      <c r="A145" t="s">
        <v>5221</v>
      </c>
      <c r="B145">
        <v>13</v>
      </c>
      <c r="C145">
        <v>746</v>
      </c>
      <c r="D145" t="s">
        <v>5222</v>
      </c>
      <c r="E145" t="s">
        <v>5223</v>
      </c>
      <c r="F145" t="s">
        <v>5224</v>
      </c>
      <c r="G145">
        <v>16301</v>
      </c>
      <c r="H145" t="s">
        <v>3469</v>
      </c>
      <c r="I145" t="s">
        <v>3391</v>
      </c>
      <c r="J145" t="s">
        <v>3392</v>
      </c>
      <c r="K145" t="s">
        <v>3303</v>
      </c>
      <c r="L145" t="s">
        <v>6778</v>
      </c>
      <c r="M145" t="s">
        <v>6779</v>
      </c>
      <c r="N145" t="s">
        <v>6792</v>
      </c>
      <c r="O145">
        <v>1</v>
      </c>
      <c r="P145" t="str">
        <f>+BARRAS[[#This Row],[Barra]]&amp;"_"&amp;BARRAS[[#This Row],[Nivel de tensión]]</f>
        <v>LA_CISTERNA_13</v>
      </c>
    </row>
    <row r="146" spans="1:16">
      <c r="A146" t="s">
        <v>5221</v>
      </c>
      <c r="B146">
        <v>110</v>
      </c>
      <c r="C146">
        <v>1</v>
      </c>
      <c r="D146" t="s">
        <v>3397</v>
      </c>
      <c r="E146" t="s">
        <v>5225</v>
      </c>
      <c r="F146" t="s">
        <v>3420</v>
      </c>
      <c r="G146">
        <v>16301</v>
      </c>
      <c r="H146" t="s">
        <v>3469</v>
      </c>
      <c r="I146" t="s">
        <v>3391</v>
      </c>
      <c r="J146" t="s">
        <v>3392</v>
      </c>
      <c r="K146" t="s">
        <v>3303</v>
      </c>
      <c r="L146" t="s">
        <v>6778</v>
      </c>
      <c r="M146" t="s">
        <v>6779</v>
      </c>
      <c r="N146" t="s">
        <v>6792</v>
      </c>
      <c r="O146">
        <v>1</v>
      </c>
      <c r="P146" t="str">
        <f>+BARRAS[[#This Row],[Barra]]&amp;"_"&amp;BARRAS[[#This Row],[Nivel de tensión]]</f>
        <v>LA_CISTERNA_110</v>
      </c>
    </row>
    <row r="147" spans="1:16">
      <c r="A147" t="s">
        <v>5226</v>
      </c>
      <c r="B147">
        <v>13</v>
      </c>
      <c r="C147">
        <v>756</v>
      </c>
      <c r="D147" t="s">
        <v>5227</v>
      </c>
      <c r="E147" t="s">
        <v>5228</v>
      </c>
      <c r="F147" t="s">
        <v>5229</v>
      </c>
      <c r="G147">
        <v>16301</v>
      </c>
      <c r="H147" t="s">
        <v>3469</v>
      </c>
      <c r="I147" t="s">
        <v>3391</v>
      </c>
      <c r="J147" t="s">
        <v>3392</v>
      </c>
      <c r="K147" t="s">
        <v>3303</v>
      </c>
      <c r="L147" t="s">
        <v>6778</v>
      </c>
      <c r="M147" t="s">
        <v>6779</v>
      </c>
      <c r="N147" t="s">
        <v>6792</v>
      </c>
      <c r="O147">
        <v>1</v>
      </c>
      <c r="P147" t="str">
        <f>+BARRAS[[#This Row],[Barra]]&amp;"_"&amp;BARRAS[[#This Row],[Nivel de tensión]]</f>
        <v>LA_DEHESA_13</v>
      </c>
    </row>
    <row r="148" spans="1:16">
      <c r="A148" t="s">
        <v>5226</v>
      </c>
      <c r="B148">
        <v>23</v>
      </c>
      <c r="C148">
        <v>759</v>
      </c>
      <c r="D148" t="s">
        <v>5230</v>
      </c>
      <c r="E148" t="s">
        <v>5231</v>
      </c>
      <c r="F148" t="s">
        <v>5229</v>
      </c>
      <c r="G148">
        <v>16301</v>
      </c>
      <c r="H148" t="s">
        <v>3469</v>
      </c>
      <c r="I148" t="s">
        <v>3391</v>
      </c>
      <c r="J148" t="s">
        <v>3392</v>
      </c>
      <c r="K148" t="s">
        <v>3303</v>
      </c>
      <c r="L148" t="s">
        <v>6778</v>
      </c>
      <c r="M148" t="s">
        <v>6779</v>
      </c>
      <c r="N148" t="s">
        <v>6792</v>
      </c>
      <c r="O148">
        <v>1</v>
      </c>
      <c r="P148" t="str">
        <f>+BARRAS[[#This Row],[Barra]]&amp;"_"&amp;BARRAS[[#This Row],[Nivel de tensión]]</f>
        <v>LA_DEHESA_23</v>
      </c>
    </row>
    <row r="149" spans="1:16">
      <c r="A149" t="s">
        <v>5226</v>
      </c>
      <c r="B149">
        <v>110</v>
      </c>
      <c r="C149">
        <v>1</v>
      </c>
      <c r="D149" t="s">
        <v>3397</v>
      </c>
      <c r="E149" t="s">
        <v>5232</v>
      </c>
      <c r="F149" t="s">
        <v>3420</v>
      </c>
      <c r="G149">
        <v>16301</v>
      </c>
      <c r="H149" t="s">
        <v>3469</v>
      </c>
      <c r="I149" t="s">
        <v>3391</v>
      </c>
      <c r="J149" t="s">
        <v>3392</v>
      </c>
      <c r="K149" t="s">
        <v>3303</v>
      </c>
      <c r="L149" t="s">
        <v>6778</v>
      </c>
      <c r="M149" t="s">
        <v>6779</v>
      </c>
      <c r="N149" t="s">
        <v>6792</v>
      </c>
      <c r="O149">
        <v>1</v>
      </c>
      <c r="P149" t="str">
        <f>+BARRAS[[#This Row],[Barra]]&amp;"_"&amp;BARRAS[[#This Row],[Nivel de tensión]]</f>
        <v>LA_DEHESA_110</v>
      </c>
    </row>
    <row r="150" spans="1:16">
      <c r="A150" t="s">
        <v>5233</v>
      </c>
      <c r="B150">
        <v>110</v>
      </c>
      <c r="C150">
        <v>1</v>
      </c>
      <c r="D150" t="s">
        <v>3397</v>
      </c>
      <c r="E150" t="s">
        <v>5234</v>
      </c>
      <c r="F150" t="s">
        <v>3420</v>
      </c>
      <c r="G150">
        <v>16301</v>
      </c>
      <c r="H150" t="s">
        <v>3414</v>
      </c>
      <c r="I150" t="s">
        <v>3391</v>
      </c>
      <c r="J150" t="s">
        <v>3392</v>
      </c>
      <c r="K150" t="s">
        <v>3304</v>
      </c>
      <c r="L150" t="s">
        <v>6778</v>
      </c>
      <c r="M150" t="s">
        <v>6779</v>
      </c>
      <c r="N150" t="s">
        <v>6792</v>
      </c>
      <c r="O150">
        <v>1</v>
      </c>
      <c r="P150" t="str">
        <f>+BARRAS[[#This Row],[Barra]]&amp;"_"&amp;BARRAS[[#This Row],[Nivel de tensión]]</f>
        <v>LA_ESTRELLA_110</v>
      </c>
    </row>
    <row r="151" spans="1:16">
      <c r="A151" t="s">
        <v>5235</v>
      </c>
      <c r="B151">
        <v>66</v>
      </c>
      <c r="C151">
        <v>1</v>
      </c>
      <c r="D151" t="s">
        <v>3397</v>
      </c>
      <c r="E151" t="s">
        <v>3419</v>
      </c>
      <c r="F151" t="s">
        <v>3420</v>
      </c>
      <c r="G151">
        <v>16301</v>
      </c>
      <c r="H151" t="s">
        <v>3405</v>
      </c>
      <c r="I151" t="s">
        <v>3391</v>
      </c>
      <c r="J151" t="s">
        <v>3392</v>
      </c>
      <c r="K151" t="s">
        <v>6315</v>
      </c>
      <c r="L151" t="s">
        <v>6778</v>
      </c>
      <c r="M151" t="s">
        <v>6779</v>
      </c>
      <c r="N151" t="s">
        <v>6792</v>
      </c>
      <c r="O151">
        <v>1</v>
      </c>
      <c r="P151" t="str">
        <f>+BARRAS[[#This Row],[Barra]]&amp;"_"&amp;BARRAS[[#This Row],[Nivel de tensión]]</f>
        <v>LA_MINA_66</v>
      </c>
    </row>
    <row r="152" spans="1:16">
      <c r="A152" t="s">
        <v>621</v>
      </c>
      <c r="B152">
        <v>13</v>
      </c>
      <c r="C152">
        <v>763</v>
      </c>
      <c r="D152" t="s">
        <v>5236</v>
      </c>
      <c r="E152" t="s">
        <v>5237</v>
      </c>
      <c r="F152" t="s">
        <v>5238</v>
      </c>
      <c r="G152">
        <v>16301</v>
      </c>
      <c r="H152" t="s">
        <v>3469</v>
      </c>
      <c r="I152" t="s">
        <v>3391</v>
      </c>
      <c r="J152" t="s">
        <v>3392</v>
      </c>
      <c r="K152" t="s">
        <v>3303</v>
      </c>
      <c r="L152" t="s">
        <v>6778</v>
      </c>
      <c r="M152" t="s">
        <v>6779</v>
      </c>
      <c r="N152" t="s">
        <v>6792</v>
      </c>
      <c r="O152">
        <v>1</v>
      </c>
      <c r="P152" t="str">
        <f>+BARRAS[[#This Row],[Barra]]&amp;"_"&amp;BARRAS[[#This Row],[Nivel de tensión]]</f>
        <v>LA_PINTANA_13</v>
      </c>
    </row>
    <row r="153" spans="1:16">
      <c r="A153" t="s">
        <v>621</v>
      </c>
      <c r="B153">
        <v>110</v>
      </c>
      <c r="C153">
        <v>1</v>
      </c>
      <c r="D153" t="s">
        <v>3397</v>
      </c>
      <c r="E153" t="s">
        <v>5239</v>
      </c>
      <c r="F153" t="s">
        <v>3420</v>
      </c>
      <c r="G153">
        <v>16301</v>
      </c>
      <c r="H153" t="s">
        <v>3469</v>
      </c>
      <c r="I153" t="s">
        <v>3391</v>
      </c>
      <c r="J153" t="s">
        <v>3392</v>
      </c>
      <c r="K153" t="s">
        <v>3303</v>
      </c>
      <c r="L153" t="s">
        <v>6778</v>
      </c>
      <c r="M153" t="s">
        <v>6779</v>
      </c>
      <c r="N153" t="s">
        <v>6792</v>
      </c>
      <c r="O153">
        <v>1</v>
      </c>
      <c r="P153" t="str">
        <f>+BARRAS[[#This Row],[Barra]]&amp;"_"&amp;BARRAS[[#This Row],[Nivel de tensión]]</f>
        <v>LA_PINTANA_110</v>
      </c>
    </row>
    <row r="154" spans="1:16">
      <c r="A154" t="s">
        <v>624</v>
      </c>
      <c r="B154">
        <v>13</v>
      </c>
      <c r="C154">
        <v>764</v>
      </c>
      <c r="D154" t="s">
        <v>5236</v>
      </c>
      <c r="E154" t="s">
        <v>5237</v>
      </c>
      <c r="F154" t="s">
        <v>5238</v>
      </c>
      <c r="G154">
        <v>16301</v>
      </c>
      <c r="H154" t="s">
        <v>3469</v>
      </c>
      <c r="I154" t="s">
        <v>3391</v>
      </c>
      <c r="J154" t="s">
        <v>3392</v>
      </c>
      <c r="K154" t="s">
        <v>3303</v>
      </c>
      <c r="L154" t="s">
        <v>6778</v>
      </c>
      <c r="M154" t="s">
        <v>6779</v>
      </c>
      <c r="N154" t="s">
        <v>6792</v>
      </c>
      <c r="O154">
        <v>1</v>
      </c>
      <c r="P154" t="str">
        <f>+BARRAS[[#This Row],[Barra]]&amp;"_"&amp;BARRAS[[#This Row],[Nivel de tensión]]</f>
        <v>LA_PINTANA2_13</v>
      </c>
    </row>
    <row r="155" spans="1:16">
      <c r="A155" t="s">
        <v>6396</v>
      </c>
      <c r="B155">
        <v>110</v>
      </c>
      <c r="C155">
        <v>3407</v>
      </c>
      <c r="D155" t="s">
        <v>5211</v>
      </c>
      <c r="E155" t="s">
        <v>3456</v>
      </c>
      <c r="F155" t="s">
        <v>3457</v>
      </c>
      <c r="G155">
        <v>5501</v>
      </c>
      <c r="H155" t="s">
        <v>3418</v>
      </c>
      <c r="I155" t="s">
        <v>3391</v>
      </c>
      <c r="J155" t="s">
        <v>3458</v>
      </c>
      <c r="K155" t="s">
        <v>3302</v>
      </c>
      <c r="L155" t="s">
        <v>6778</v>
      </c>
      <c r="M155" t="s">
        <v>6779</v>
      </c>
      <c r="N155" t="s">
        <v>6792</v>
      </c>
      <c r="O155">
        <v>1</v>
      </c>
      <c r="P155" t="str">
        <f>+BARRAS[[#This Row],[Barra]]&amp;"_"&amp;BARRAS[[#This Row],[Nivel de tensión]]</f>
        <v>LA_POLVORA_110</v>
      </c>
    </row>
    <row r="156" spans="1:16">
      <c r="A156" t="s">
        <v>6396</v>
      </c>
      <c r="B156">
        <v>220</v>
      </c>
      <c r="C156">
        <v>3409</v>
      </c>
      <c r="D156" t="s">
        <v>3455</v>
      </c>
      <c r="E156" t="s">
        <v>3456</v>
      </c>
      <c r="F156" t="s">
        <v>3457</v>
      </c>
      <c r="G156">
        <v>5501</v>
      </c>
      <c r="H156" t="s">
        <v>3418</v>
      </c>
      <c r="I156" t="s">
        <v>3391</v>
      </c>
      <c r="J156" t="s">
        <v>3458</v>
      </c>
      <c r="K156" t="s">
        <v>3302</v>
      </c>
      <c r="L156" t="s">
        <v>6778</v>
      </c>
      <c r="M156" t="s">
        <v>6779</v>
      </c>
      <c r="N156" t="s">
        <v>6792</v>
      </c>
      <c r="O156">
        <v>1</v>
      </c>
      <c r="P156" t="str">
        <f>+BARRAS[[#This Row],[Barra]]&amp;"_"&amp;BARRAS[[#This Row],[Nivel de tensión]]</f>
        <v>LA_POLVORA_220</v>
      </c>
    </row>
    <row r="157" spans="1:16">
      <c r="A157" t="s">
        <v>5240</v>
      </c>
      <c r="B157">
        <v>13</v>
      </c>
      <c r="C157">
        <v>771</v>
      </c>
      <c r="D157" t="s">
        <v>5241</v>
      </c>
      <c r="E157" t="s">
        <v>5242</v>
      </c>
      <c r="F157" t="s">
        <v>5243</v>
      </c>
      <c r="G157">
        <v>16301</v>
      </c>
      <c r="H157" t="s">
        <v>3469</v>
      </c>
      <c r="I157" t="s">
        <v>3391</v>
      </c>
      <c r="J157" t="s">
        <v>3392</v>
      </c>
      <c r="K157" t="s">
        <v>3303</v>
      </c>
      <c r="L157" t="s">
        <v>6778</v>
      </c>
      <c r="M157" t="s">
        <v>6779</v>
      </c>
      <c r="N157" t="s">
        <v>6792</v>
      </c>
      <c r="O157">
        <v>1</v>
      </c>
      <c r="P157" t="str">
        <f>+BARRAS[[#This Row],[Barra]]&amp;"_"&amp;BARRAS[[#This Row],[Nivel de tensión]]</f>
        <v>LA_REINA_13</v>
      </c>
    </row>
    <row r="158" spans="1:16">
      <c r="A158" t="s">
        <v>5240</v>
      </c>
      <c r="B158">
        <v>110</v>
      </c>
      <c r="C158">
        <v>1</v>
      </c>
      <c r="D158" t="s">
        <v>3397</v>
      </c>
      <c r="E158" t="s">
        <v>5244</v>
      </c>
      <c r="F158" t="s">
        <v>3420</v>
      </c>
      <c r="G158">
        <v>16301</v>
      </c>
      <c r="H158" t="s">
        <v>3469</v>
      </c>
      <c r="I158" t="s">
        <v>3391</v>
      </c>
      <c r="J158" t="s">
        <v>3392</v>
      </c>
      <c r="K158" t="s">
        <v>3303</v>
      </c>
      <c r="L158" t="s">
        <v>6778</v>
      </c>
      <c r="M158" t="s">
        <v>6779</v>
      </c>
      <c r="N158" t="s">
        <v>6792</v>
      </c>
      <c r="O158">
        <v>1</v>
      </c>
      <c r="P158" t="str">
        <f>+BARRAS[[#This Row],[Barra]]&amp;"_"&amp;BARRAS[[#This Row],[Nivel de tensión]]</f>
        <v>LA_REINA_110</v>
      </c>
    </row>
    <row r="159" spans="1:16">
      <c r="A159" t="s">
        <v>5245</v>
      </c>
      <c r="B159">
        <v>110</v>
      </c>
      <c r="C159">
        <v>1</v>
      </c>
      <c r="D159" t="s">
        <v>3397</v>
      </c>
      <c r="E159" t="s">
        <v>5246</v>
      </c>
      <c r="F159" t="s">
        <v>3420</v>
      </c>
      <c r="G159">
        <v>16301</v>
      </c>
      <c r="H159" t="s">
        <v>3400</v>
      </c>
      <c r="I159" t="s">
        <v>3391</v>
      </c>
      <c r="J159" t="s">
        <v>3392</v>
      </c>
      <c r="K159" t="s">
        <v>3301</v>
      </c>
      <c r="L159" t="s">
        <v>6778</v>
      </c>
      <c r="M159" t="s">
        <v>6779</v>
      </c>
      <c r="N159" t="s">
        <v>6792</v>
      </c>
      <c r="O159">
        <v>1</v>
      </c>
      <c r="P159" t="str">
        <f>+BARRAS[[#This Row],[Barra]]&amp;"_"&amp;BARRAS[[#This Row],[Nivel de tensión]]</f>
        <v>LA_RUCA_110</v>
      </c>
    </row>
    <row r="160" spans="1:16">
      <c r="A160" t="s">
        <v>5245</v>
      </c>
      <c r="B160">
        <v>220</v>
      </c>
      <c r="D160" t="s">
        <v>3680</v>
      </c>
      <c r="E160" t="s">
        <v>3925</v>
      </c>
      <c r="F160" t="s">
        <v>6581</v>
      </c>
      <c r="G160">
        <v>4301</v>
      </c>
      <c r="H160" t="s">
        <v>3400</v>
      </c>
      <c r="I160" t="s">
        <v>3683</v>
      </c>
      <c r="J160" t="s">
        <v>6582</v>
      </c>
      <c r="K160" t="s">
        <v>3301</v>
      </c>
      <c r="L160" t="s">
        <v>6778</v>
      </c>
      <c r="M160" t="s">
        <v>6779</v>
      </c>
      <c r="N160" t="s">
        <v>6792</v>
      </c>
      <c r="O160">
        <v>1</v>
      </c>
      <c r="P160" t="str">
        <f>+BARRAS[[#This Row],[Barra]]&amp;"_"&amp;BARRAS[[#This Row],[Nivel de tensión]]</f>
        <v>LA_RUCA_220</v>
      </c>
    </row>
    <row r="161" spans="1:16">
      <c r="A161" t="s">
        <v>629</v>
      </c>
      <c r="B161">
        <v>220</v>
      </c>
      <c r="C161">
        <v>2154</v>
      </c>
      <c r="D161" t="s">
        <v>5247</v>
      </c>
      <c r="E161" t="s">
        <v>5248</v>
      </c>
      <c r="F161" t="s">
        <v>5249</v>
      </c>
      <c r="G161">
        <v>16301</v>
      </c>
      <c r="H161" t="s">
        <v>3405</v>
      </c>
      <c r="I161" t="s">
        <v>3391</v>
      </c>
      <c r="J161" t="s">
        <v>3392</v>
      </c>
      <c r="K161" t="s">
        <v>6315</v>
      </c>
      <c r="L161" t="s">
        <v>6778</v>
      </c>
      <c r="M161" t="s">
        <v>6779</v>
      </c>
      <c r="N161" t="s">
        <v>6792</v>
      </c>
      <c r="O161">
        <v>1</v>
      </c>
      <c r="P161" t="str">
        <f>+BARRAS[[#This Row],[Barra]]&amp;"_"&amp;BARRAS[[#This Row],[Nivel de tensión]]</f>
        <v>LABERINTO_220</v>
      </c>
    </row>
    <row r="162" spans="1:16">
      <c r="A162" t="s">
        <v>5250</v>
      </c>
      <c r="B162">
        <v>220</v>
      </c>
      <c r="C162">
        <v>2340</v>
      </c>
      <c r="D162" t="s">
        <v>5251</v>
      </c>
      <c r="E162" t="s">
        <v>5252</v>
      </c>
      <c r="F162" t="s">
        <v>5253</v>
      </c>
      <c r="G162">
        <v>16301</v>
      </c>
      <c r="H162" t="s">
        <v>3405</v>
      </c>
      <c r="I162" t="s">
        <v>3391</v>
      </c>
      <c r="J162" t="s">
        <v>3392</v>
      </c>
      <c r="K162" t="s">
        <v>6315</v>
      </c>
      <c r="L162" t="s">
        <v>6778</v>
      </c>
      <c r="M162" t="s">
        <v>6779</v>
      </c>
      <c r="N162" t="s">
        <v>6792</v>
      </c>
      <c r="O162">
        <v>1</v>
      </c>
      <c r="P162" t="str">
        <f>+BARRAS[[#This Row],[Barra]]&amp;"_"&amp;BARRAS[[#This Row],[Nivel de tensión]]</f>
        <v>LACRUZ_220</v>
      </c>
    </row>
    <row r="163" spans="1:16">
      <c r="A163" t="s">
        <v>632</v>
      </c>
      <c r="B163">
        <v>23</v>
      </c>
      <c r="C163">
        <v>2163</v>
      </c>
      <c r="D163" t="s">
        <v>5254</v>
      </c>
      <c r="E163" t="s">
        <v>5255</v>
      </c>
      <c r="F163" t="s">
        <v>5256</v>
      </c>
      <c r="G163">
        <v>16301</v>
      </c>
      <c r="H163" t="s">
        <v>3396</v>
      </c>
      <c r="I163" t="s">
        <v>3391</v>
      </c>
      <c r="J163" t="s">
        <v>3392</v>
      </c>
      <c r="K163" t="s">
        <v>6315</v>
      </c>
      <c r="L163" t="s">
        <v>6778</v>
      </c>
      <c r="M163" t="s">
        <v>6779</v>
      </c>
      <c r="N163" t="s">
        <v>6792</v>
      </c>
      <c r="O163">
        <v>1</v>
      </c>
      <c r="P163" t="str">
        <f>+BARRAS[[#This Row],[Barra]]&amp;"_"&amp;BARRAS[[#This Row],[Nivel de tensión]]</f>
        <v>LAGUNAS_23</v>
      </c>
    </row>
    <row r="164" spans="1:16">
      <c r="A164" t="s">
        <v>632</v>
      </c>
      <c r="B164">
        <v>220</v>
      </c>
      <c r="C164">
        <v>2160</v>
      </c>
      <c r="D164" t="s">
        <v>5257</v>
      </c>
      <c r="E164" t="s">
        <v>5258</v>
      </c>
      <c r="F164" t="s">
        <v>5256</v>
      </c>
      <c r="G164">
        <v>16301</v>
      </c>
      <c r="H164" t="s">
        <v>3396</v>
      </c>
      <c r="I164" t="s">
        <v>3391</v>
      </c>
      <c r="J164" t="s">
        <v>3392</v>
      </c>
      <c r="K164" t="s">
        <v>6315</v>
      </c>
      <c r="L164" t="s">
        <v>6778</v>
      </c>
      <c r="M164" t="s">
        <v>6779</v>
      </c>
      <c r="N164" t="s">
        <v>6792</v>
      </c>
      <c r="O164">
        <v>1</v>
      </c>
      <c r="P164" t="str">
        <f>+BARRAS[[#This Row],[Barra]]&amp;"_"&amp;BARRAS[[#This Row],[Nivel de tensión]]</f>
        <v>LAGUNAS_220</v>
      </c>
    </row>
    <row r="165" spans="1:16">
      <c r="A165" t="s">
        <v>635</v>
      </c>
      <c r="B165">
        <v>154</v>
      </c>
      <c r="C165">
        <v>1</v>
      </c>
      <c r="D165" t="s">
        <v>3397</v>
      </c>
      <c r="E165" t="s">
        <v>5259</v>
      </c>
      <c r="F165" t="s">
        <v>3420</v>
      </c>
      <c r="G165">
        <v>16301</v>
      </c>
      <c r="H165" t="s">
        <v>3414</v>
      </c>
      <c r="I165" t="s">
        <v>3391</v>
      </c>
      <c r="J165" t="s">
        <v>3392</v>
      </c>
      <c r="K165" t="s">
        <v>3304</v>
      </c>
      <c r="L165" t="s">
        <v>6778</v>
      </c>
      <c r="M165" t="s">
        <v>6779</v>
      </c>
      <c r="N165" t="s">
        <v>6792</v>
      </c>
      <c r="O165">
        <v>1</v>
      </c>
      <c r="P165" t="str">
        <f>+BARRAS[[#This Row],[Barra]]&amp;"_"&amp;BARRAS[[#This Row],[Nivel de tensión]]</f>
        <v>LAGUNILLAS_154</v>
      </c>
    </row>
    <row r="166" spans="1:16">
      <c r="A166" t="s">
        <v>635</v>
      </c>
      <c r="B166">
        <v>220</v>
      </c>
      <c r="C166">
        <v>1270</v>
      </c>
      <c r="D166" t="s">
        <v>3397</v>
      </c>
      <c r="E166" t="s">
        <v>5260</v>
      </c>
      <c r="F166" t="s">
        <v>5261</v>
      </c>
      <c r="G166">
        <v>16301</v>
      </c>
      <c r="H166" t="s">
        <v>3409</v>
      </c>
      <c r="I166" t="s">
        <v>3391</v>
      </c>
      <c r="J166" t="s">
        <v>3392</v>
      </c>
      <c r="K166" t="s">
        <v>6315</v>
      </c>
      <c r="L166" t="s">
        <v>6778</v>
      </c>
      <c r="M166" t="s">
        <v>6779</v>
      </c>
      <c r="N166" t="s">
        <v>6792</v>
      </c>
      <c r="O166">
        <v>1</v>
      </c>
      <c r="P166" t="str">
        <f>+BARRAS[[#This Row],[Barra]]&amp;"_"&amp;BARRAS[[#This Row],[Nivel de tensión]]</f>
        <v>LAGUNILLAS_220</v>
      </c>
    </row>
    <row r="167" spans="1:16">
      <c r="A167" t="s">
        <v>5262</v>
      </c>
      <c r="B167">
        <v>66</v>
      </c>
      <c r="C167">
        <v>1</v>
      </c>
      <c r="D167" t="s">
        <v>3397</v>
      </c>
      <c r="E167" t="s">
        <v>5263</v>
      </c>
      <c r="F167" t="s">
        <v>3420</v>
      </c>
      <c r="G167">
        <v>16301</v>
      </c>
      <c r="H167" t="s">
        <v>3405</v>
      </c>
      <c r="I167" t="s">
        <v>3391</v>
      </c>
      <c r="J167" t="s">
        <v>3392</v>
      </c>
      <c r="K167" t="s">
        <v>6315</v>
      </c>
      <c r="L167" t="s">
        <v>6778</v>
      </c>
      <c r="M167" t="s">
        <v>6779</v>
      </c>
      <c r="N167" t="s">
        <v>6792</v>
      </c>
      <c r="O167">
        <v>1</v>
      </c>
      <c r="P167" t="str">
        <f>+BARRAS[[#This Row],[Barra]]&amp;"_"&amp;BARRAS[[#This Row],[Nivel de tensión]]</f>
        <v>LAHUAYCA2_66</v>
      </c>
    </row>
    <row r="168" spans="1:16">
      <c r="A168" t="s">
        <v>639</v>
      </c>
      <c r="B168">
        <v>13</v>
      </c>
      <c r="C168">
        <v>494</v>
      </c>
      <c r="D168" t="s">
        <v>5264</v>
      </c>
      <c r="E168" t="s">
        <v>5265</v>
      </c>
      <c r="F168" t="s">
        <v>5266</v>
      </c>
      <c r="G168">
        <v>16301</v>
      </c>
      <c r="H168" t="s">
        <v>3414</v>
      </c>
      <c r="I168" t="s">
        <v>3391</v>
      </c>
      <c r="J168" t="s">
        <v>3392</v>
      </c>
      <c r="K168" t="s">
        <v>3304</v>
      </c>
      <c r="L168" t="s">
        <v>6778</v>
      </c>
      <c r="M168" t="s">
        <v>6779</v>
      </c>
      <c r="N168" t="s">
        <v>6792</v>
      </c>
      <c r="O168">
        <v>1</v>
      </c>
      <c r="P168" t="str">
        <f>+BARRAS[[#This Row],[Barra]]&amp;"_"&amp;BARRAS[[#This Row],[Nivel de tensión]]</f>
        <v>LAJA_13</v>
      </c>
    </row>
    <row r="169" spans="1:16">
      <c r="A169" t="s">
        <v>666</v>
      </c>
      <c r="B169">
        <v>66</v>
      </c>
      <c r="C169">
        <v>1</v>
      </c>
      <c r="D169" t="s">
        <v>3397</v>
      </c>
      <c r="E169" t="s">
        <v>5313</v>
      </c>
      <c r="F169" t="s">
        <v>3420</v>
      </c>
      <c r="G169">
        <v>16301</v>
      </c>
      <c r="H169" t="s">
        <v>3414</v>
      </c>
      <c r="I169" t="s">
        <v>3391</v>
      </c>
      <c r="J169" t="s">
        <v>3392</v>
      </c>
      <c r="K169" t="s">
        <v>3304</v>
      </c>
      <c r="L169" t="s">
        <v>6778</v>
      </c>
      <c r="M169" t="s">
        <v>6779</v>
      </c>
      <c r="N169" t="s">
        <v>6792</v>
      </c>
      <c r="O169">
        <v>1</v>
      </c>
      <c r="P169" t="str">
        <f>+BARRAS[[#This Row],[Barra]]&amp;"_"&amp;BARRAS[[#This Row],[Nivel de tensión]]</f>
        <v>LASARANAS_66</v>
      </c>
    </row>
    <row r="170" spans="1:16">
      <c r="A170" t="s">
        <v>666</v>
      </c>
      <c r="B170">
        <v>110</v>
      </c>
      <c r="C170">
        <v>1</v>
      </c>
      <c r="D170" t="s">
        <v>3397</v>
      </c>
      <c r="E170" t="s">
        <v>5314</v>
      </c>
      <c r="F170" t="s">
        <v>3420</v>
      </c>
      <c r="G170">
        <v>16301</v>
      </c>
      <c r="H170" t="s">
        <v>3414</v>
      </c>
      <c r="I170" t="s">
        <v>3391</v>
      </c>
      <c r="J170" t="s">
        <v>3392</v>
      </c>
      <c r="K170" t="s">
        <v>3304</v>
      </c>
      <c r="L170" t="s">
        <v>6778</v>
      </c>
      <c r="M170" t="s">
        <v>6779</v>
      </c>
      <c r="N170" t="s">
        <v>6792</v>
      </c>
      <c r="O170">
        <v>1</v>
      </c>
      <c r="P170" t="str">
        <f>+BARRAS[[#This Row],[Barra]]&amp;"_"&amp;BARRAS[[#This Row],[Nivel de tensión]]</f>
        <v>LASARANAS_110</v>
      </c>
    </row>
    <row r="171" spans="1:16">
      <c r="A171" t="s">
        <v>3462</v>
      </c>
      <c r="B171">
        <v>15</v>
      </c>
      <c r="C171">
        <v>1312</v>
      </c>
      <c r="D171" t="s">
        <v>5315</v>
      </c>
      <c r="E171" t="s">
        <v>5316</v>
      </c>
      <c r="F171" t="s">
        <v>5317</v>
      </c>
      <c r="G171">
        <v>16301</v>
      </c>
      <c r="H171" t="s">
        <v>3414</v>
      </c>
      <c r="I171" t="s">
        <v>3391</v>
      </c>
      <c r="J171" t="s">
        <v>3392</v>
      </c>
      <c r="K171" t="s">
        <v>3304</v>
      </c>
      <c r="L171" t="s">
        <v>6778</v>
      </c>
      <c r="M171" t="s">
        <v>6779</v>
      </c>
      <c r="N171" t="s">
        <v>6792</v>
      </c>
      <c r="O171">
        <v>1</v>
      </c>
      <c r="P171" t="str">
        <f>+BARRAS[[#This Row],[Barra]]&amp;"_"&amp;BARRAS[[#This Row],[Nivel de tensión]]</f>
        <v>LASENCINAS_15</v>
      </c>
    </row>
    <row r="172" spans="1:16">
      <c r="A172" t="s">
        <v>3462</v>
      </c>
      <c r="B172">
        <v>66</v>
      </c>
      <c r="C172">
        <v>1</v>
      </c>
      <c r="D172" t="s">
        <v>3397</v>
      </c>
      <c r="E172" t="s">
        <v>3463</v>
      </c>
      <c r="F172" t="s">
        <v>3420</v>
      </c>
      <c r="G172">
        <v>16301</v>
      </c>
      <c r="H172" t="s">
        <v>3414</v>
      </c>
      <c r="I172" t="s">
        <v>3391</v>
      </c>
      <c r="J172" t="s">
        <v>3392</v>
      </c>
      <c r="K172" t="s">
        <v>3304</v>
      </c>
      <c r="L172" t="s">
        <v>6778</v>
      </c>
      <c r="M172" t="s">
        <v>6779</v>
      </c>
      <c r="N172" t="s">
        <v>6792</v>
      </c>
      <c r="O172">
        <v>1</v>
      </c>
      <c r="P172" t="str">
        <f>+BARRAS[[#This Row],[Barra]]&amp;"_"&amp;BARRAS[[#This Row],[Nivel de tensión]]</f>
        <v>LASENCINAS_66</v>
      </c>
    </row>
    <row r="173" spans="1:16">
      <c r="A173" t="s">
        <v>5318</v>
      </c>
      <c r="B173">
        <v>23</v>
      </c>
      <c r="C173">
        <v>3345</v>
      </c>
      <c r="D173" t="s">
        <v>3397</v>
      </c>
      <c r="E173" t="s">
        <v>3419</v>
      </c>
      <c r="F173" t="s">
        <v>3420</v>
      </c>
      <c r="G173">
        <v>16301</v>
      </c>
      <c r="H173" t="s">
        <v>3405</v>
      </c>
      <c r="I173" t="s">
        <v>3391</v>
      </c>
      <c r="J173" t="s">
        <v>3392</v>
      </c>
      <c r="K173" t="s">
        <v>6315</v>
      </c>
      <c r="L173" t="s">
        <v>6778</v>
      </c>
      <c r="M173" t="s">
        <v>6779</v>
      </c>
      <c r="N173" t="s">
        <v>6792</v>
      </c>
      <c r="O173">
        <v>1</v>
      </c>
      <c r="P173" t="str">
        <f>+BARRAS[[#This Row],[Barra]]&amp;"_"&amp;BARRAS[[#This Row],[Nivel de tensión]]</f>
        <v>LASJUNTAS_23</v>
      </c>
    </row>
    <row r="174" spans="1:16">
      <c r="A174" t="s">
        <v>5318</v>
      </c>
      <c r="B174">
        <v>220</v>
      </c>
      <c r="C174">
        <v>1</v>
      </c>
      <c r="D174" t="s">
        <v>3397</v>
      </c>
      <c r="E174" t="s">
        <v>3419</v>
      </c>
      <c r="F174" t="s">
        <v>3420</v>
      </c>
      <c r="G174">
        <v>16301</v>
      </c>
      <c r="H174" t="s">
        <v>3405</v>
      </c>
      <c r="I174" t="s">
        <v>3391</v>
      </c>
      <c r="J174" t="s">
        <v>3392</v>
      </c>
      <c r="K174" t="s">
        <v>6315</v>
      </c>
      <c r="L174" t="s">
        <v>6778</v>
      </c>
      <c r="M174" t="s">
        <v>6779</v>
      </c>
      <c r="N174" t="s">
        <v>6792</v>
      </c>
      <c r="O174">
        <v>1</v>
      </c>
      <c r="P174" t="str">
        <f>+BARRAS[[#This Row],[Barra]]&amp;"_"&amp;BARRAS[[#This Row],[Nivel de tensión]]</f>
        <v>LASJUNTAS_220</v>
      </c>
    </row>
    <row r="175" spans="1:16">
      <c r="A175" t="s">
        <v>5319</v>
      </c>
      <c r="B175">
        <v>66</v>
      </c>
      <c r="C175">
        <v>1</v>
      </c>
      <c r="D175" t="s">
        <v>3397</v>
      </c>
      <c r="E175" t="s">
        <v>5320</v>
      </c>
      <c r="F175" t="s">
        <v>3420</v>
      </c>
      <c r="G175">
        <v>16301</v>
      </c>
      <c r="H175" t="s">
        <v>3414</v>
      </c>
      <c r="I175" t="s">
        <v>3391</v>
      </c>
      <c r="J175" t="s">
        <v>3392</v>
      </c>
      <c r="K175" t="s">
        <v>3304</v>
      </c>
      <c r="L175" t="s">
        <v>6778</v>
      </c>
      <c r="M175" t="s">
        <v>6779</v>
      </c>
      <c r="N175" t="s">
        <v>6792</v>
      </c>
      <c r="O175">
        <v>1</v>
      </c>
      <c r="P175" t="str">
        <f>+BARRAS[[#This Row],[Barra]]&amp;"_"&amp;BARRAS[[#This Row],[Nivel de tensión]]</f>
        <v>LASTARRIA_66</v>
      </c>
    </row>
    <row r="176" spans="1:16">
      <c r="A176" t="s">
        <v>5319</v>
      </c>
      <c r="B176">
        <v>220</v>
      </c>
      <c r="C176">
        <v>1</v>
      </c>
      <c r="D176" t="s">
        <v>3397</v>
      </c>
      <c r="E176" t="s">
        <v>5321</v>
      </c>
      <c r="F176" t="s">
        <v>3420</v>
      </c>
      <c r="G176">
        <v>16301</v>
      </c>
      <c r="H176" t="s">
        <v>3409</v>
      </c>
      <c r="I176" t="s">
        <v>3391</v>
      </c>
      <c r="J176" t="s">
        <v>3392</v>
      </c>
      <c r="K176" t="s">
        <v>6315</v>
      </c>
      <c r="L176" t="s">
        <v>6778</v>
      </c>
      <c r="M176" t="s">
        <v>6779</v>
      </c>
      <c r="N176" t="s">
        <v>6792</v>
      </c>
      <c r="O176">
        <v>1</v>
      </c>
      <c r="P176" t="str">
        <f>+BARRAS[[#This Row],[Barra]]&amp;"_"&amp;BARRAS[[#This Row],[Nivel de tensión]]</f>
        <v>LASTARRIA_220</v>
      </c>
    </row>
    <row r="177" spans="1:16">
      <c r="A177" t="s">
        <v>5322</v>
      </c>
      <c r="B177">
        <v>13</v>
      </c>
      <c r="C177">
        <v>133</v>
      </c>
      <c r="D177" t="s">
        <v>5323</v>
      </c>
      <c r="E177" t="s">
        <v>5324</v>
      </c>
      <c r="F177" t="s">
        <v>5325</v>
      </c>
      <c r="G177">
        <v>16301</v>
      </c>
      <c r="H177" t="s">
        <v>3414</v>
      </c>
      <c r="I177" t="s">
        <v>3391</v>
      </c>
      <c r="J177" t="s">
        <v>3392</v>
      </c>
      <c r="K177" t="s">
        <v>3304</v>
      </c>
      <c r="L177" t="s">
        <v>6778</v>
      </c>
      <c r="M177" t="s">
        <v>6779</v>
      </c>
      <c r="N177" t="s">
        <v>6792</v>
      </c>
      <c r="O177">
        <v>1</v>
      </c>
      <c r="P177" t="str">
        <f>+BARRAS[[#This Row],[Barra]]&amp;"_"&amp;BARRAS[[#This Row],[Nivel de tensión]]</f>
        <v>LATORRE_13</v>
      </c>
    </row>
    <row r="178" spans="1:16">
      <c r="A178" t="s">
        <v>5322</v>
      </c>
      <c r="B178">
        <v>66</v>
      </c>
      <c r="C178">
        <v>1</v>
      </c>
      <c r="D178" t="s">
        <v>3397</v>
      </c>
      <c r="E178" t="s">
        <v>5326</v>
      </c>
      <c r="F178" t="s">
        <v>3420</v>
      </c>
      <c r="G178">
        <v>16301</v>
      </c>
      <c r="H178" t="s">
        <v>3414</v>
      </c>
      <c r="I178" t="s">
        <v>3391</v>
      </c>
      <c r="J178" t="s">
        <v>3392</v>
      </c>
      <c r="K178" t="s">
        <v>3304</v>
      </c>
      <c r="L178" t="s">
        <v>6778</v>
      </c>
      <c r="M178" t="s">
        <v>6779</v>
      </c>
      <c r="N178" t="s">
        <v>6792</v>
      </c>
      <c r="O178">
        <v>1</v>
      </c>
      <c r="P178" t="str">
        <f>+BARRAS[[#This Row],[Barra]]&amp;"_"&amp;BARRAS[[#This Row],[Nivel de tensión]]</f>
        <v>LATORRE_66</v>
      </c>
    </row>
    <row r="179" spans="1:16">
      <c r="A179" t="s">
        <v>676</v>
      </c>
      <c r="B179">
        <v>13</v>
      </c>
      <c r="C179">
        <v>169</v>
      </c>
      <c r="D179" t="s">
        <v>5327</v>
      </c>
      <c r="E179" t="s">
        <v>5328</v>
      </c>
      <c r="F179" t="s">
        <v>5329</v>
      </c>
      <c r="G179">
        <v>16301</v>
      </c>
      <c r="H179" t="s">
        <v>3414</v>
      </c>
      <c r="I179" t="s">
        <v>3391</v>
      </c>
      <c r="J179" t="s">
        <v>3392</v>
      </c>
      <c r="K179" t="s">
        <v>3304</v>
      </c>
      <c r="L179" t="s">
        <v>6778</v>
      </c>
      <c r="M179" t="s">
        <v>6779</v>
      </c>
      <c r="N179" t="s">
        <v>6792</v>
      </c>
      <c r="O179">
        <v>1</v>
      </c>
      <c r="P179" t="str">
        <f>+BARRAS[[#This Row],[Barra]]&amp;"_"&amp;BARRAS[[#This Row],[Nivel de tensión]]</f>
        <v>LAUTARO_13</v>
      </c>
    </row>
    <row r="180" spans="1:16">
      <c r="A180" t="s">
        <v>676</v>
      </c>
      <c r="B180">
        <v>23</v>
      </c>
      <c r="C180">
        <v>1314</v>
      </c>
      <c r="D180" t="s">
        <v>5330</v>
      </c>
      <c r="E180" t="s">
        <v>5331</v>
      </c>
      <c r="F180" t="s">
        <v>5329</v>
      </c>
      <c r="G180">
        <v>16301</v>
      </c>
      <c r="H180" t="s">
        <v>3414</v>
      </c>
      <c r="I180" t="s">
        <v>3391</v>
      </c>
      <c r="J180" t="s">
        <v>3392</v>
      </c>
      <c r="K180" t="s">
        <v>3304</v>
      </c>
      <c r="L180" t="s">
        <v>6778</v>
      </c>
      <c r="M180" t="s">
        <v>6779</v>
      </c>
      <c r="N180" t="s">
        <v>6792</v>
      </c>
      <c r="O180">
        <v>1</v>
      </c>
      <c r="P180" t="str">
        <f>+BARRAS[[#This Row],[Barra]]&amp;"_"&amp;BARRAS[[#This Row],[Nivel de tensión]]</f>
        <v>LAUTARO_23</v>
      </c>
    </row>
    <row r="181" spans="1:16">
      <c r="A181" t="s">
        <v>676</v>
      </c>
      <c r="B181">
        <v>66</v>
      </c>
      <c r="C181">
        <v>345</v>
      </c>
      <c r="D181" t="s">
        <v>5332</v>
      </c>
      <c r="E181" t="s">
        <v>5333</v>
      </c>
      <c r="F181" t="s">
        <v>5329</v>
      </c>
      <c r="G181">
        <v>16301</v>
      </c>
      <c r="H181" t="s">
        <v>3414</v>
      </c>
      <c r="I181" t="s">
        <v>3391</v>
      </c>
      <c r="J181" t="s">
        <v>3392</v>
      </c>
      <c r="K181" t="s">
        <v>3304</v>
      </c>
      <c r="L181" t="s">
        <v>6778</v>
      </c>
      <c r="M181" t="s">
        <v>6779</v>
      </c>
      <c r="N181" t="s">
        <v>6792</v>
      </c>
      <c r="O181">
        <v>1</v>
      </c>
      <c r="P181" t="str">
        <f>+BARRAS[[#This Row],[Barra]]&amp;"_"&amp;BARRAS[[#This Row],[Nivel de tensión]]</f>
        <v>LAUTARO_66</v>
      </c>
    </row>
    <row r="182" spans="1:16">
      <c r="A182" t="s">
        <v>680</v>
      </c>
      <c r="B182">
        <v>13</v>
      </c>
      <c r="C182">
        <v>584</v>
      </c>
      <c r="D182" t="s">
        <v>5334</v>
      </c>
      <c r="E182" t="s">
        <v>5335</v>
      </c>
      <c r="F182" t="s">
        <v>5336</v>
      </c>
      <c r="G182">
        <v>16301</v>
      </c>
      <c r="H182" t="s">
        <v>3414</v>
      </c>
      <c r="I182" t="s">
        <v>3391</v>
      </c>
      <c r="J182" t="s">
        <v>3392</v>
      </c>
      <c r="K182" t="s">
        <v>3304</v>
      </c>
      <c r="L182" t="s">
        <v>6778</v>
      </c>
      <c r="M182" t="s">
        <v>6779</v>
      </c>
      <c r="N182" t="s">
        <v>6792</v>
      </c>
      <c r="O182">
        <v>1</v>
      </c>
      <c r="P182" t="str">
        <f>+BARRAS[[#This Row],[Barra]]&amp;"_"&amp;BARRAS[[#This Row],[Nivel de tensión]]</f>
        <v>LAVEGA_13</v>
      </c>
    </row>
    <row r="183" spans="1:16">
      <c r="A183" t="s">
        <v>680</v>
      </c>
      <c r="B183">
        <v>66</v>
      </c>
      <c r="C183">
        <v>1</v>
      </c>
      <c r="D183" t="s">
        <v>3397</v>
      </c>
      <c r="E183" t="s">
        <v>5337</v>
      </c>
      <c r="F183" t="s">
        <v>3420</v>
      </c>
      <c r="G183">
        <v>16301</v>
      </c>
      <c r="H183" t="s">
        <v>3414</v>
      </c>
      <c r="I183" t="s">
        <v>3391</v>
      </c>
      <c r="J183" t="s">
        <v>3392</v>
      </c>
      <c r="K183" t="s">
        <v>3304</v>
      </c>
      <c r="L183" t="s">
        <v>6778</v>
      </c>
      <c r="M183" t="s">
        <v>6779</v>
      </c>
      <c r="N183" t="s">
        <v>6792</v>
      </c>
      <c r="O183">
        <v>1</v>
      </c>
      <c r="P183" t="str">
        <f>+BARRAS[[#This Row],[Barra]]&amp;"_"&amp;BARRAS[[#This Row],[Nivel de tensión]]</f>
        <v>LAVEGA_66</v>
      </c>
    </row>
    <row r="184" spans="1:16">
      <c r="A184" t="s">
        <v>683</v>
      </c>
      <c r="B184">
        <v>13</v>
      </c>
      <c r="C184">
        <v>123</v>
      </c>
      <c r="D184" t="s">
        <v>5338</v>
      </c>
      <c r="E184" t="s">
        <v>5339</v>
      </c>
      <c r="F184" t="s">
        <v>5340</v>
      </c>
      <c r="G184">
        <v>16301</v>
      </c>
      <c r="H184" t="s">
        <v>3414</v>
      </c>
      <c r="I184" t="s">
        <v>3391</v>
      </c>
      <c r="J184" t="s">
        <v>3392</v>
      </c>
      <c r="K184" t="s">
        <v>3304</v>
      </c>
      <c r="L184" t="s">
        <v>6778</v>
      </c>
      <c r="M184" t="s">
        <v>6779</v>
      </c>
      <c r="N184" t="s">
        <v>6792</v>
      </c>
      <c r="O184">
        <v>1</v>
      </c>
      <c r="P184" t="str">
        <f>+BARRAS[[#This Row],[Barra]]&amp;"_"&amp;BARRAS[[#This Row],[Nivel de tensión]]</f>
        <v>LEBU_13</v>
      </c>
    </row>
    <row r="185" spans="1:16">
      <c r="A185" t="s">
        <v>683</v>
      </c>
      <c r="B185">
        <v>66</v>
      </c>
      <c r="C185">
        <v>1</v>
      </c>
      <c r="D185" t="s">
        <v>3397</v>
      </c>
      <c r="E185" t="s">
        <v>5341</v>
      </c>
      <c r="F185" t="s">
        <v>3420</v>
      </c>
      <c r="G185">
        <v>16301</v>
      </c>
      <c r="H185" t="s">
        <v>3405</v>
      </c>
      <c r="I185" t="s">
        <v>3391</v>
      </c>
      <c r="J185" t="s">
        <v>3392</v>
      </c>
      <c r="K185" t="s">
        <v>6315</v>
      </c>
      <c r="L185" t="s">
        <v>6778</v>
      </c>
      <c r="M185" t="s">
        <v>6779</v>
      </c>
      <c r="N185" t="s">
        <v>6792</v>
      </c>
      <c r="O185">
        <v>1</v>
      </c>
      <c r="P185" t="str">
        <f>+BARRAS[[#This Row],[Barra]]&amp;"_"&amp;BARRAS[[#This Row],[Nivel de tensión]]</f>
        <v>LEBU_66</v>
      </c>
    </row>
    <row r="186" spans="1:16">
      <c r="A186" t="s">
        <v>5342</v>
      </c>
      <c r="B186">
        <v>13</v>
      </c>
      <c r="C186">
        <v>1</v>
      </c>
      <c r="D186" t="s">
        <v>5338</v>
      </c>
      <c r="E186" t="s">
        <v>5343</v>
      </c>
      <c r="F186" t="s">
        <v>3484</v>
      </c>
      <c r="G186">
        <v>16301</v>
      </c>
      <c r="H186" t="s">
        <v>3405</v>
      </c>
      <c r="I186" t="s">
        <v>3391</v>
      </c>
      <c r="J186" t="s">
        <v>3392</v>
      </c>
      <c r="K186" t="s">
        <v>6315</v>
      </c>
      <c r="L186" t="s">
        <v>6778</v>
      </c>
      <c r="M186" t="s">
        <v>6779</v>
      </c>
      <c r="N186" t="s">
        <v>6792</v>
      </c>
      <c r="O186">
        <v>1</v>
      </c>
      <c r="P186" t="str">
        <f>+BARRAS[[#This Row],[Barra]]&amp;"_"&amp;BARRAS[[#This Row],[Nivel de tensión]]</f>
        <v>LEBU2_13</v>
      </c>
    </row>
    <row r="187" spans="1:16">
      <c r="A187" t="s">
        <v>687</v>
      </c>
      <c r="B187">
        <v>13</v>
      </c>
      <c r="C187">
        <v>635</v>
      </c>
      <c r="D187" t="s">
        <v>5344</v>
      </c>
      <c r="E187" t="s">
        <v>5345</v>
      </c>
      <c r="F187" t="s">
        <v>5346</v>
      </c>
      <c r="G187">
        <v>16301</v>
      </c>
      <c r="H187" t="s">
        <v>3414</v>
      </c>
      <c r="I187" t="s">
        <v>3391</v>
      </c>
      <c r="J187" t="s">
        <v>3392</v>
      </c>
      <c r="K187" t="s">
        <v>3304</v>
      </c>
      <c r="L187" t="s">
        <v>6778</v>
      </c>
      <c r="M187" t="s">
        <v>6779</v>
      </c>
      <c r="N187" t="s">
        <v>6792</v>
      </c>
      <c r="O187">
        <v>1</v>
      </c>
      <c r="P187" t="str">
        <f>+BARRAS[[#This Row],[Barra]]&amp;"_"&amp;BARRAS[[#This Row],[Nivel de tensión]]</f>
        <v>LEYDA_13</v>
      </c>
    </row>
    <row r="188" spans="1:16">
      <c r="A188" t="s">
        <v>687</v>
      </c>
      <c r="B188">
        <v>110</v>
      </c>
      <c r="C188">
        <v>1</v>
      </c>
      <c r="D188" t="s">
        <v>3397</v>
      </c>
      <c r="E188" t="s">
        <v>5347</v>
      </c>
      <c r="F188" t="s">
        <v>3420</v>
      </c>
      <c r="G188">
        <v>16301</v>
      </c>
      <c r="H188" t="s">
        <v>3414</v>
      </c>
      <c r="I188" t="s">
        <v>3391</v>
      </c>
      <c r="J188" t="s">
        <v>3392</v>
      </c>
      <c r="K188" t="s">
        <v>3304</v>
      </c>
      <c r="L188" t="s">
        <v>6778</v>
      </c>
      <c r="M188" t="s">
        <v>6779</v>
      </c>
      <c r="N188" t="s">
        <v>6792</v>
      </c>
      <c r="O188">
        <v>1</v>
      </c>
      <c r="P188" t="str">
        <f>+BARRAS[[#This Row],[Barra]]&amp;"_"&amp;BARRAS[[#This Row],[Nivel de tensión]]</f>
        <v>LEYDA_110</v>
      </c>
    </row>
    <row r="189" spans="1:16">
      <c r="A189" t="s">
        <v>5348</v>
      </c>
      <c r="B189">
        <v>13</v>
      </c>
      <c r="C189">
        <v>1</v>
      </c>
      <c r="D189" t="s">
        <v>3397</v>
      </c>
      <c r="E189" t="s">
        <v>3419</v>
      </c>
      <c r="F189" t="s">
        <v>3420</v>
      </c>
      <c r="G189">
        <v>16301</v>
      </c>
      <c r="H189" t="s">
        <v>3405</v>
      </c>
      <c r="I189" t="s">
        <v>3391</v>
      </c>
      <c r="J189" t="s">
        <v>3392</v>
      </c>
      <c r="K189" t="s">
        <v>6315</v>
      </c>
      <c r="L189" t="s">
        <v>6778</v>
      </c>
      <c r="M189" t="s">
        <v>6779</v>
      </c>
      <c r="N189" t="s">
        <v>6792</v>
      </c>
      <c r="O189">
        <v>1</v>
      </c>
      <c r="P189" t="str">
        <f>+BARRAS[[#This Row],[Barra]]&amp;"_"&amp;BARRAS[[#This Row],[Nivel de tensión]]</f>
        <v>LICAN_13</v>
      </c>
    </row>
    <row r="190" spans="1:16">
      <c r="A190" t="s">
        <v>690</v>
      </c>
      <c r="B190">
        <v>13</v>
      </c>
      <c r="C190">
        <v>1075</v>
      </c>
      <c r="D190" t="s">
        <v>5349</v>
      </c>
      <c r="E190" t="s">
        <v>5350</v>
      </c>
      <c r="F190" t="s">
        <v>5351</v>
      </c>
      <c r="G190">
        <v>16301</v>
      </c>
      <c r="H190" t="s">
        <v>3414</v>
      </c>
      <c r="I190" t="s">
        <v>3391</v>
      </c>
      <c r="J190" t="s">
        <v>3392</v>
      </c>
      <c r="K190" t="s">
        <v>3304</v>
      </c>
      <c r="L190" t="s">
        <v>6778</v>
      </c>
      <c r="M190" t="s">
        <v>6779</v>
      </c>
      <c r="N190" t="s">
        <v>6792</v>
      </c>
      <c r="O190">
        <v>1</v>
      </c>
      <c r="P190" t="str">
        <f>+BARRAS[[#This Row],[Barra]]&amp;"_"&amp;BARRAS[[#This Row],[Nivel de tensión]]</f>
        <v>LICANCO_13</v>
      </c>
    </row>
    <row r="191" spans="1:16">
      <c r="A191" t="s">
        <v>690</v>
      </c>
      <c r="B191">
        <v>66</v>
      </c>
      <c r="C191">
        <v>1</v>
      </c>
      <c r="D191" t="s">
        <v>3397</v>
      </c>
      <c r="E191" t="s">
        <v>5352</v>
      </c>
      <c r="F191" t="s">
        <v>3420</v>
      </c>
      <c r="G191">
        <v>16301</v>
      </c>
      <c r="H191" t="s">
        <v>3414</v>
      </c>
      <c r="I191" t="s">
        <v>3391</v>
      </c>
      <c r="J191" t="s">
        <v>3392</v>
      </c>
      <c r="K191" t="s">
        <v>3304</v>
      </c>
      <c r="L191" t="s">
        <v>6778</v>
      </c>
      <c r="M191" t="s">
        <v>6779</v>
      </c>
      <c r="N191" t="s">
        <v>6792</v>
      </c>
      <c r="O191">
        <v>1</v>
      </c>
      <c r="P191" t="str">
        <f>+BARRAS[[#This Row],[Barra]]&amp;"_"&amp;BARRAS[[#This Row],[Nivel de tensión]]</f>
        <v>LICANCO_66</v>
      </c>
    </row>
    <row r="192" spans="1:16">
      <c r="A192" t="s">
        <v>693</v>
      </c>
      <c r="B192">
        <v>13</v>
      </c>
      <c r="C192">
        <v>1835</v>
      </c>
      <c r="D192" t="s">
        <v>5353</v>
      </c>
      <c r="E192" t="s">
        <v>5354</v>
      </c>
      <c r="F192" t="s">
        <v>5355</v>
      </c>
      <c r="G192">
        <v>16301</v>
      </c>
      <c r="H192" t="s">
        <v>3414</v>
      </c>
      <c r="I192" t="s">
        <v>3391</v>
      </c>
      <c r="J192" t="s">
        <v>3392</v>
      </c>
      <c r="K192" t="s">
        <v>3304</v>
      </c>
      <c r="L192" t="s">
        <v>6778</v>
      </c>
      <c r="M192" t="s">
        <v>6779</v>
      </c>
      <c r="N192" t="s">
        <v>6792</v>
      </c>
      <c r="O192">
        <v>1</v>
      </c>
      <c r="P192" t="str">
        <f>+BARRAS[[#This Row],[Barra]]&amp;"_"&amp;BARRAS[[#This Row],[Nivel de tensión]]</f>
        <v>LICANTEN_13</v>
      </c>
    </row>
    <row r="193" spans="1:16">
      <c r="A193" t="s">
        <v>693</v>
      </c>
      <c r="B193">
        <v>66</v>
      </c>
      <c r="C193">
        <v>1763</v>
      </c>
      <c r="D193" t="s">
        <v>5356</v>
      </c>
      <c r="E193" t="s">
        <v>5357</v>
      </c>
      <c r="F193" t="s">
        <v>5355</v>
      </c>
      <c r="G193">
        <v>16301</v>
      </c>
      <c r="H193" t="s">
        <v>3414</v>
      </c>
      <c r="I193" t="s">
        <v>3391</v>
      </c>
      <c r="J193" t="s">
        <v>3392</v>
      </c>
      <c r="K193" t="s">
        <v>3304</v>
      </c>
      <c r="L193" t="s">
        <v>6778</v>
      </c>
      <c r="M193" t="s">
        <v>6779</v>
      </c>
      <c r="N193" t="s">
        <v>6792</v>
      </c>
      <c r="O193">
        <v>1</v>
      </c>
      <c r="P193" t="str">
        <f>+BARRAS[[#This Row],[Barra]]&amp;"_"&amp;BARRAS[[#This Row],[Nivel de tensión]]</f>
        <v>LICANTEN_66</v>
      </c>
    </row>
    <row r="194" spans="1:16">
      <c r="A194" t="s">
        <v>696</v>
      </c>
      <c r="B194">
        <v>13</v>
      </c>
      <c r="C194">
        <v>593</v>
      </c>
      <c r="D194" t="s">
        <v>5358</v>
      </c>
      <c r="E194" t="s">
        <v>5359</v>
      </c>
      <c r="F194" t="s">
        <v>5360</v>
      </c>
      <c r="G194">
        <v>16301</v>
      </c>
      <c r="H194" t="s">
        <v>3414</v>
      </c>
      <c r="I194" t="s">
        <v>3391</v>
      </c>
      <c r="J194" t="s">
        <v>3392</v>
      </c>
      <c r="K194" t="s">
        <v>3304</v>
      </c>
      <c r="L194" t="s">
        <v>6778</v>
      </c>
      <c r="M194" t="s">
        <v>6779</v>
      </c>
      <c r="N194" t="s">
        <v>6792</v>
      </c>
      <c r="O194">
        <v>1</v>
      </c>
      <c r="P194" t="str">
        <f>+BARRAS[[#This Row],[Barra]]&amp;"_"&amp;BARRAS[[#This Row],[Nivel de tensión]]</f>
        <v>LIHUEIMO_13</v>
      </c>
    </row>
    <row r="195" spans="1:16">
      <c r="A195" t="s">
        <v>696</v>
      </c>
      <c r="B195">
        <v>66</v>
      </c>
      <c r="C195">
        <v>1</v>
      </c>
      <c r="D195" t="s">
        <v>3397</v>
      </c>
      <c r="E195" t="s">
        <v>5361</v>
      </c>
      <c r="F195" t="s">
        <v>3420</v>
      </c>
      <c r="G195">
        <v>16301</v>
      </c>
      <c r="H195" t="s">
        <v>3414</v>
      </c>
      <c r="I195" t="s">
        <v>3391</v>
      </c>
      <c r="J195" t="s">
        <v>3392</v>
      </c>
      <c r="K195" t="s">
        <v>3304</v>
      </c>
      <c r="L195" t="s">
        <v>6778</v>
      </c>
      <c r="M195" t="s">
        <v>6779</v>
      </c>
      <c r="N195" t="s">
        <v>6792</v>
      </c>
      <c r="O195">
        <v>1</v>
      </c>
      <c r="P195" t="str">
        <f>+BARRAS[[#This Row],[Barra]]&amp;"_"&amp;BARRAS[[#This Row],[Nivel de tensión]]</f>
        <v>LIHUEIMO_66</v>
      </c>
    </row>
    <row r="196" spans="1:16">
      <c r="A196" t="s">
        <v>5408</v>
      </c>
      <c r="B196">
        <v>110</v>
      </c>
      <c r="C196">
        <v>1148</v>
      </c>
      <c r="D196" t="s">
        <v>4975</v>
      </c>
      <c r="E196" t="s">
        <v>4976</v>
      </c>
      <c r="F196" t="s">
        <v>5409</v>
      </c>
      <c r="G196">
        <v>16301</v>
      </c>
      <c r="H196" t="s">
        <v>3469</v>
      </c>
      <c r="I196" t="s">
        <v>3391</v>
      </c>
      <c r="J196" t="s">
        <v>3392</v>
      </c>
      <c r="K196" t="s">
        <v>3303</v>
      </c>
      <c r="L196" t="s">
        <v>6778</v>
      </c>
      <c r="M196" t="s">
        <v>6779</v>
      </c>
      <c r="N196" t="s">
        <v>6792</v>
      </c>
      <c r="O196">
        <v>1</v>
      </c>
      <c r="P196" t="str">
        <f>+BARRAS[[#This Row],[Barra]]&amp;"_"&amp;BARRAS[[#This Row],[Nivel de tensión]]</f>
        <v>LO_ESPEJO_110</v>
      </c>
    </row>
    <row r="197" spans="1:16">
      <c r="A197" t="s">
        <v>5410</v>
      </c>
      <c r="B197">
        <v>12</v>
      </c>
      <c r="C197">
        <v>802</v>
      </c>
      <c r="D197" t="s">
        <v>5411</v>
      </c>
      <c r="E197" t="s">
        <v>5412</v>
      </c>
      <c r="F197" t="s">
        <v>5413</v>
      </c>
      <c r="G197">
        <v>16301</v>
      </c>
      <c r="H197" t="s">
        <v>3469</v>
      </c>
      <c r="I197" t="s">
        <v>3391</v>
      </c>
      <c r="J197" t="s">
        <v>3392</v>
      </c>
      <c r="K197" t="s">
        <v>3303</v>
      </c>
      <c r="L197" t="s">
        <v>6778</v>
      </c>
      <c r="M197" t="s">
        <v>6779</v>
      </c>
      <c r="N197" t="s">
        <v>6792</v>
      </c>
      <c r="O197">
        <v>1</v>
      </c>
      <c r="P197" t="str">
        <f>+BARRAS[[#This Row],[Barra]]&amp;"_"&amp;BARRAS[[#This Row],[Nivel de tensión]]</f>
        <v>LO_PRADO_12</v>
      </c>
    </row>
    <row r="198" spans="1:16">
      <c r="A198" t="s">
        <v>5410</v>
      </c>
      <c r="B198">
        <v>44</v>
      </c>
      <c r="C198">
        <v>1</v>
      </c>
      <c r="D198" t="s">
        <v>3397</v>
      </c>
      <c r="E198" t="s">
        <v>5414</v>
      </c>
      <c r="F198" t="s">
        <v>3420</v>
      </c>
      <c r="G198">
        <v>16301</v>
      </c>
      <c r="H198" t="s">
        <v>3469</v>
      </c>
      <c r="I198" t="s">
        <v>3391</v>
      </c>
      <c r="J198" t="s">
        <v>3392</v>
      </c>
      <c r="K198" t="s">
        <v>3303</v>
      </c>
      <c r="L198" t="s">
        <v>6778</v>
      </c>
      <c r="M198" t="s">
        <v>6779</v>
      </c>
      <c r="N198" t="s">
        <v>6792</v>
      </c>
      <c r="O198">
        <v>1</v>
      </c>
      <c r="P198" t="str">
        <f>+BARRAS[[#This Row],[Barra]]&amp;"_"&amp;BARRAS[[#This Row],[Nivel de tensión]]</f>
        <v>LO_PRADO_44</v>
      </c>
    </row>
    <row r="199" spans="1:16">
      <c r="A199" t="s">
        <v>5410</v>
      </c>
      <c r="B199">
        <v>110</v>
      </c>
      <c r="C199">
        <v>1</v>
      </c>
      <c r="D199" t="s">
        <v>3397</v>
      </c>
      <c r="E199" t="s">
        <v>5415</v>
      </c>
      <c r="F199" t="s">
        <v>3420</v>
      </c>
      <c r="G199">
        <v>16301</v>
      </c>
      <c r="H199" t="s">
        <v>3469</v>
      </c>
      <c r="I199" t="s">
        <v>3391</v>
      </c>
      <c r="J199" t="s">
        <v>3392</v>
      </c>
      <c r="K199" t="s">
        <v>3303</v>
      </c>
      <c r="L199" t="s">
        <v>6778</v>
      </c>
      <c r="M199" t="s">
        <v>6779</v>
      </c>
      <c r="N199" t="s">
        <v>6792</v>
      </c>
      <c r="O199">
        <v>1</v>
      </c>
      <c r="P199" t="str">
        <f>+BARRAS[[#This Row],[Barra]]&amp;"_"&amp;BARRAS[[#This Row],[Nivel de tensión]]</f>
        <v>LO_PRADO_110</v>
      </c>
    </row>
    <row r="200" spans="1:16">
      <c r="A200" t="s">
        <v>3467</v>
      </c>
      <c r="B200">
        <v>13</v>
      </c>
      <c r="C200">
        <v>805</v>
      </c>
      <c r="D200" t="s">
        <v>5416</v>
      </c>
      <c r="E200" t="s">
        <v>5417</v>
      </c>
      <c r="F200" t="s">
        <v>5418</v>
      </c>
      <c r="G200">
        <v>16301</v>
      </c>
      <c r="H200" t="s">
        <v>3469</v>
      </c>
      <c r="I200" t="s">
        <v>3391</v>
      </c>
      <c r="J200" t="s">
        <v>3392</v>
      </c>
      <c r="K200" t="s">
        <v>3303</v>
      </c>
      <c r="L200" t="s">
        <v>6778</v>
      </c>
      <c r="M200" t="s">
        <v>6779</v>
      </c>
      <c r="N200" t="s">
        <v>6792</v>
      </c>
      <c r="O200">
        <v>1</v>
      </c>
      <c r="P200" t="str">
        <f>+BARRAS[[#This Row],[Barra]]&amp;"_"&amp;BARRAS[[#This Row],[Nivel de tensión]]</f>
        <v>LO_VALLEDOR_13</v>
      </c>
    </row>
    <row r="201" spans="1:16">
      <c r="A201" t="s">
        <v>3467</v>
      </c>
      <c r="B201">
        <v>110</v>
      </c>
      <c r="C201">
        <v>1</v>
      </c>
      <c r="D201" t="s">
        <v>3397</v>
      </c>
      <c r="E201" t="s">
        <v>3468</v>
      </c>
      <c r="F201" t="s">
        <v>3420</v>
      </c>
      <c r="G201">
        <v>16301</v>
      </c>
      <c r="H201" t="s">
        <v>3469</v>
      </c>
      <c r="I201" t="s">
        <v>3391</v>
      </c>
      <c r="J201" t="s">
        <v>3392</v>
      </c>
      <c r="K201" t="s">
        <v>3303</v>
      </c>
      <c r="L201" t="s">
        <v>6778</v>
      </c>
      <c r="M201" t="s">
        <v>6779</v>
      </c>
      <c r="N201" t="s">
        <v>6792</v>
      </c>
      <c r="O201">
        <v>1</v>
      </c>
      <c r="P201" t="str">
        <f>+BARRAS[[#This Row],[Barra]]&amp;"_"&amp;BARRAS[[#This Row],[Nivel de tensión]]</f>
        <v>LO_VALLEDOR_110</v>
      </c>
    </row>
    <row r="202" spans="1:16">
      <c r="A202" t="s">
        <v>5419</v>
      </c>
      <c r="B202">
        <v>220</v>
      </c>
      <c r="C202">
        <v>2325</v>
      </c>
      <c r="D202" t="s">
        <v>5420</v>
      </c>
      <c r="E202" t="s">
        <v>5421</v>
      </c>
      <c r="F202" t="s">
        <v>5422</v>
      </c>
      <c r="G202">
        <v>16301</v>
      </c>
      <c r="H202" t="s">
        <v>3405</v>
      </c>
      <c r="I202" t="s">
        <v>3391</v>
      </c>
      <c r="J202" t="s">
        <v>3392</v>
      </c>
      <c r="K202" t="s">
        <v>6315</v>
      </c>
      <c r="L202" t="s">
        <v>6778</v>
      </c>
      <c r="M202" t="s">
        <v>6779</v>
      </c>
      <c r="N202" t="s">
        <v>6792</v>
      </c>
      <c r="O202">
        <v>1</v>
      </c>
      <c r="P202" t="str">
        <f>+BARRAS[[#This Row],[Barra]]&amp;"_"&amp;BARRAS[[#This Row],[Nivel de tensión]]</f>
        <v>LOA_220</v>
      </c>
    </row>
    <row r="203" spans="1:16">
      <c r="A203" t="s">
        <v>5423</v>
      </c>
      <c r="B203">
        <v>13</v>
      </c>
      <c r="C203">
        <v>1</v>
      </c>
      <c r="D203" t="s">
        <v>3397</v>
      </c>
      <c r="E203" t="s">
        <v>3419</v>
      </c>
      <c r="F203" t="s">
        <v>3420</v>
      </c>
      <c r="G203">
        <v>16301</v>
      </c>
      <c r="H203" t="s">
        <v>3405</v>
      </c>
      <c r="I203" t="s">
        <v>3391</v>
      </c>
      <c r="J203" t="s">
        <v>3392</v>
      </c>
      <c r="K203" t="s">
        <v>6315</v>
      </c>
      <c r="L203" t="s">
        <v>6778</v>
      </c>
      <c r="M203" t="s">
        <v>6779</v>
      </c>
      <c r="N203" t="s">
        <v>6792</v>
      </c>
      <c r="O203">
        <v>1</v>
      </c>
      <c r="P203" t="str">
        <f>+BARRAS[[#This Row],[Barra]]&amp;"_"&amp;BARRAS[[#This Row],[Nivel de tensión]]</f>
        <v>LOMA_ALTA_13</v>
      </c>
    </row>
    <row r="204" spans="1:16">
      <c r="A204" t="s">
        <v>5423</v>
      </c>
      <c r="B204">
        <v>220</v>
      </c>
      <c r="C204">
        <v>1</v>
      </c>
      <c r="D204" t="s">
        <v>3397</v>
      </c>
      <c r="E204" t="s">
        <v>5424</v>
      </c>
      <c r="F204" t="s">
        <v>3420</v>
      </c>
      <c r="G204">
        <v>16301</v>
      </c>
      <c r="H204" t="s">
        <v>3405</v>
      </c>
      <c r="I204" t="s">
        <v>3391</v>
      </c>
      <c r="J204" t="s">
        <v>3392</v>
      </c>
      <c r="K204" t="s">
        <v>6315</v>
      </c>
      <c r="L204" t="s">
        <v>6778</v>
      </c>
      <c r="M204" t="s">
        <v>6779</v>
      </c>
      <c r="N204" t="s">
        <v>6792</v>
      </c>
      <c r="O204">
        <v>1</v>
      </c>
      <c r="P204" t="str">
        <f>+BARRAS[[#This Row],[Barra]]&amp;"_"&amp;BARRAS[[#This Row],[Nivel de tensión]]</f>
        <v>LOMA_ALTA_220</v>
      </c>
    </row>
    <row r="205" spans="1:16">
      <c r="A205" t="s">
        <v>732</v>
      </c>
      <c r="B205">
        <v>13</v>
      </c>
      <c r="C205">
        <v>183</v>
      </c>
      <c r="D205" t="s">
        <v>5425</v>
      </c>
      <c r="E205" t="s">
        <v>5426</v>
      </c>
      <c r="F205" t="s">
        <v>5427</v>
      </c>
      <c r="G205">
        <v>16301</v>
      </c>
      <c r="H205" t="s">
        <v>3396</v>
      </c>
      <c r="I205" t="s">
        <v>3391</v>
      </c>
      <c r="J205" t="s">
        <v>3392</v>
      </c>
      <c r="K205" t="s">
        <v>6315</v>
      </c>
      <c r="L205" t="s">
        <v>6778</v>
      </c>
      <c r="M205" t="s">
        <v>6779</v>
      </c>
      <c r="N205" t="s">
        <v>6792</v>
      </c>
      <c r="O205">
        <v>1</v>
      </c>
      <c r="P205" t="str">
        <f>+BARRAS[[#This Row],[Barra]]&amp;"_"&amp;BARRAS[[#This Row],[Nivel de tensión]]</f>
        <v>LOMIRANDA_13</v>
      </c>
    </row>
    <row r="206" spans="1:16">
      <c r="A206" t="s">
        <v>732</v>
      </c>
      <c r="B206">
        <v>66</v>
      </c>
      <c r="C206">
        <v>1</v>
      </c>
      <c r="D206" t="s">
        <v>3397</v>
      </c>
      <c r="E206" t="s">
        <v>5428</v>
      </c>
      <c r="F206" t="s">
        <v>3420</v>
      </c>
      <c r="G206">
        <v>16301</v>
      </c>
      <c r="H206" t="s">
        <v>3414</v>
      </c>
      <c r="I206" t="s">
        <v>3391</v>
      </c>
      <c r="J206" t="s">
        <v>3392</v>
      </c>
      <c r="K206" t="s">
        <v>3304</v>
      </c>
      <c r="L206" t="s">
        <v>6778</v>
      </c>
      <c r="M206" t="s">
        <v>6779</v>
      </c>
      <c r="N206" t="s">
        <v>6792</v>
      </c>
      <c r="O206">
        <v>1</v>
      </c>
      <c r="P206" t="str">
        <f>+BARRAS[[#This Row],[Barra]]&amp;"_"&amp;BARRAS[[#This Row],[Nivel de tensión]]</f>
        <v>LOMIRANDA_66</v>
      </c>
    </row>
    <row r="207" spans="1:16">
      <c r="A207" t="s">
        <v>735</v>
      </c>
      <c r="B207">
        <v>13</v>
      </c>
      <c r="C207">
        <v>214</v>
      </c>
      <c r="D207" t="s">
        <v>5429</v>
      </c>
      <c r="E207" t="s">
        <v>5430</v>
      </c>
      <c r="F207" t="s">
        <v>5431</v>
      </c>
      <c r="G207">
        <v>16301</v>
      </c>
      <c r="H207" t="s">
        <v>3414</v>
      </c>
      <c r="I207" t="s">
        <v>3391</v>
      </c>
      <c r="J207" t="s">
        <v>3392</v>
      </c>
      <c r="K207" t="s">
        <v>3304</v>
      </c>
      <c r="L207" t="s">
        <v>6778</v>
      </c>
      <c r="M207" t="s">
        <v>6779</v>
      </c>
      <c r="N207" t="s">
        <v>6792</v>
      </c>
      <c r="O207">
        <v>1</v>
      </c>
      <c r="P207" t="str">
        <f>+BARRAS[[#This Row],[Barra]]&amp;"_"&amp;BARRAS[[#This Row],[Nivel de tensión]]</f>
        <v>LONCOCHE_13</v>
      </c>
    </row>
    <row r="208" spans="1:16">
      <c r="A208" t="s">
        <v>735</v>
      </c>
      <c r="B208">
        <v>66</v>
      </c>
      <c r="C208">
        <v>1</v>
      </c>
      <c r="D208" t="s">
        <v>3397</v>
      </c>
      <c r="E208" t="s">
        <v>5432</v>
      </c>
      <c r="F208" t="s">
        <v>3420</v>
      </c>
      <c r="G208">
        <v>16301</v>
      </c>
      <c r="H208" t="s">
        <v>3414</v>
      </c>
      <c r="I208" t="s">
        <v>3391</v>
      </c>
      <c r="J208" t="s">
        <v>3392</v>
      </c>
      <c r="K208" t="s">
        <v>3304</v>
      </c>
      <c r="L208" t="s">
        <v>6778</v>
      </c>
      <c r="M208" t="s">
        <v>6779</v>
      </c>
      <c r="N208" t="s">
        <v>6792</v>
      </c>
      <c r="O208">
        <v>1</v>
      </c>
      <c r="P208" t="str">
        <f>+BARRAS[[#This Row],[Barra]]&amp;"_"&amp;BARRAS[[#This Row],[Nivel de tensión]]</f>
        <v>LONCOCHE_66</v>
      </c>
    </row>
    <row r="209" spans="1:16">
      <c r="A209" t="s">
        <v>5433</v>
      </c>
      <c r="B209">
        <v>13</v>
      </c>
      <c r="C209">
        <v>214</v>
      </c>
      <c r="D209" t="s">
        <v>5429</v>
      </c>
      <c r="E209" t="s">
        <v>5430</v>
      </c>
      <c r="F209" t="s">
        <v>5431</v>
      </c>
      <c r="G209">
        <v>16301</v>
      </c>
      <c r="H209" t="s">
        <v>3414</v>
      </c>
      <c r="I209" t="s">
        <v>3391</v>
      </c>
      <c r="J209" t="s">
        <v>3392</v>
      </c>
      <c r="K209" t="s">
        <v>3304</v>
      </c>
      <c r="L209" t="s">
        <v>6778</v>
      </c>
      <c r="M209" t="s">
        <v>6779</v>
      </c>
      <c r="N209" t="s">
        <v>6792</v>
      </c>
      <c r="O209">
        <v>1</v>
      </c>
      <c r="P209" t="str">
        <f>+BARRAS[[#This Row],[Barra]]&amp;"_"&amp;BARRAS[[#This Row],[Nivel de tensión]]</f>
        <v>LONCOCHE2_13</v>
      </c>
    </row>
    <row r="210" spans="1:16">
      <c r="A210" t="s">
        <v>739</v>
      </c>
      <c r="B210">
        <v>13</v>
      </c>
      <c r="C210">
        <v>1090</v>
      </c>
      <c r="D210" t="s">
        <v>5434</v>
      </c>
      <c r="E210" t="s">
        <v>5435</v>
      </c>
      <c r="F210" t="s">
        <v>5436</v>
      </c>
      <c r="G210">
        <v>16301</v>
      </c>
      <c r="H210" t="s">
        <v>3414</v>
      </c>
      <c r="I210" t="s">
        <v>3391</v>
      </c>
      <c r="J210" t="s">
        <v>3392</v>
      </c>
      <c r="K210" t="s">
        <v>3304</v>
      </c>
      <c r="L210" t="s">
        <v>6778</v>
      </c>
      <c r="M210" t="s">
        <v>6779</v>
      </c>
      <c r="N210" t="s">
        <v>6792</v>
      </c>
      <c r="O210">
        <v>1</v>
      </c>
      <c r="P210" t="str">
        <f>+BARRAS[[#This Row],[Barra]]&amp;"_"&amp;BARRAS[[#This Row],[Nivel de tensión]]</f>
        <v>LONGAVI_13</v>
      </c>
    </row>
    <row r="211" spans="1:16">
      <c r="A211" t="s">
        <v>739</v>
      </c>
      <c r="B211">
        <v>66</v>
      </c>
      <c r="C211">
        <v>1089</v>
      </c>
      <c r="D211" t="s">
        <v>5437</v>
      </c>
      <c r="E211" t="s">
        <v>5438</v>
      </c>
      <c r="F211" t="s">
        <v>5436</v>
      </c>
      <c r="G211">
        <v>16301</v>
      </c>
      <c r="H211" t="s">
        <v>3414</v>
      </c>
      <c r="I211" t="s">
        <v>3391</v>
      </c>
      <c r="J211" t="s">
        <v>3392</v>
      </c>
      <c r="K211" t="s">
        <v>3304</v>
      </c>
      <c r="L211" t="s">
        <v>6778</v>
      </c>
      <c r="M211" t="s">
        <v>6779</v>
      </c>
      <c r="N211" t="s">
        <v>6792</v>
      </c>
      <c r="O211">
        <v>1</v>
      </c>
      <c r="P211" t="str">
        <f>+BARRAS[[#This Row],[Barra]]&amp;"_"&amp;BARRAS[[#This Row],[Nivel de tensión]]</f>
        <v>LONGAVI_66</v>
      </c>
    </row>
    <row r="212" spans="1:16">
      <c r="A212" t="s">
        <v>5439</v>
      </c>
      <c r="B212">
        <v>12</v>
      </c>
      <c r="C212">
        <v>813</v>
      </c>
      <c r="D212" t="s">
        <v>5440</v>
      </c>
      <c r="E212" t="s">
        <v>5441</v>
      </c>
      <c r="F212" t="s">
        <v>5442</v>
      </c>
      <c r="G212">
        <v>16301</v>
      </c>
      <c r="H212" t="s">
        <v>3469</v>
      </c>
      <c r="I212" t="s">
        <v>3391</v>
      </c>
      <c r="J212" t="s">
        <v>3392</v>
      </c>
      <c r="K212" t="s">
        <v>3303</v>
      </c>
      <c r="L212" t="s">
        <v>6778</v>
      </c>
      <c r="M212" t="s">
        <v>6779</v>
      </c>
      <c r="N212" t="s">
        <v>6792</v>
      </c>
      <c r="O212">
        <v>1</v>
      </c>
      <c r="P212" t="str">
        <f>+BARRAS[[#This Row],[Barra]]&amp;"_"&amp;BARRAS[[#This Row],[Nivel de tensión]]</f>
        <v>LORD_COCHRANE_12</v>
      </c>
    </row>
    <row r="213" spans="1:16">
      <c r="A213" t="s">
        <v>743</v>
      </c>
      <c r="B213">
        <v>15</v>
      </c>
      <c r="C213">
        <v>185</v>
      </c>
      <c r="D213" t="s">
        <v>5443</v>
      </c>
      <c r="E213" t="s">
        <v>5444</v>
      </c>
      <c r="F213" t="s">
        <v>5445</v>
      </c>
      <c r="G213">
        <v>16301</v>
      </c>
      <c r="H213" t="s">
        <v>3414</v>
      </c>
      <c r="I213" t="s">
        <v>3391</v>
      </c>
      <c r="J213" t="s">
        <v>3392</v>
      </c>
      <c r="K213" t="s">
        <v>3304</v>
      </c>
      <c r="L213" t="s">
        <v>6778</v>
      </c>
      <c r="M213" t="s">
        <v>6779</v>
      </c>
      <c r="N213" t="s">
        <v>6792</v>
      </c>
      <c r="O213">
        <v>1</v>
      </c>
      <c r="P213" t="str">
        <f>+BARRAS[[#This Row],[Barra]]&amp;"_"&amp;BARRAS[[#This Row],[Nivel de tensión]]</f>
        <v>LORETO_15</v>
      </c>
    </row>
    <row r="214" spans="1:16">
      <c r="A214" t="s">
        <v>743</v>
      </c>
      <c r="B214">
        <v>66</v>
      </c>
      <c r="C214">
        <v>1</v>
      </c>
      <c r="D214" t="s">
        <v>3397</v>
      </c>
      <c r="E214" t="s">
        <v>5446</v>
      </c>
      <c r="F214" t="s">
        <v>3420</v>
      </c>
      <c r="G214">
        <v>16301</v>
      </c>
      <c r="H214" t="s">
        <v>3414</v>
      </c>
      <c r="I214" t="s">
        <v>3391</v>
      </c>
      <c r="J214" t="s">
        <v>3392</v>
      </c>
      <c r="K214" t="s">
        <v>3304</v>
      </c>
      <c r="L214" t="s">
        <v>6778</v>
      </c>
      <c r="M214" t="s">
        <v>6779</v>
      </c>
      <c r="N214" t="s">
        <v>6792</v>
      </c>
      <c r="O214">
        <v>1</v>
      </c>
      <c r="P214" t="str">
        <f>+BARRAS[[#This Row],[Barra]]&amp;"_"&amp;BARRAS[[#This Row],[Nivel de tensión]]</f>
        <v>LORETO_66</v>
      </c>
    </row>
    <row r="215" spans="1:16">
      <c r="A215" t="s">
        <v>5447</v>
      </c>
      <c r="B215">
        <v>44</v>
      </c>
      <c r="C215">
        <v>1</v>
      </c>
      <c r="D215" t="s">
        <v>3397</v>
      </c>
      <c r="E215" t="s">
        <v>5448</v>
      </c>
      <c r="F215" t="s">
        <v>3420</v>
      </c>
      <c r="G215">
        <v>16301</v>
      </c>
      <c r="H215" t="s">
        <v>3418</v>
      </c>
      <c r="I215" t="s">
        <v>3391</v>
      </c>
      <c r="J215" t="s">
        <v>3392</v>
      </c>
      <c r="K215" t="s">
        <v>3302</v>
      </c>
      <c r="L215" t="s">
        <v>6778</v>
      </c>
      <c r="M215" t="s">
        <v>6779</v>
      </c>
      <c r="N215" t="s">
        <v>6792</v>
      </c>
      <c r="O215">
        <v>1</v>
      </c>
      <c r="P215" t="str">
        <f>+BARRAS[[#This Row],[Barra]]&amp;"_"&amp;BARRAS[[#This Row],[Nivel de tensión]]</f>
        <v>LOS_ANDES_44</v>
      </c>
    </row>
    <row r="216" spans="1:16">
      <c r="A216" t="s">
        <v>747</v>
      </c>
      <c r="B216">
        <v>13</v>
      </c>
      <c r="C216">
        <v>826</v>
      </c>
      <c r="D216" t="s">
        <v>5449</v>
      </c>
      <c r="E216" t="s">
        <v>5450</v>
      </c>
      <c r="F216" t="s">
        <v>5451</v>
      </c>
      <c r="G216">
        <v>16301</v>
      </c>
      <c r="H216" t="s">
        <v>3469</v>
      </c>
      <c r="I216" t="s">
        <v>3391</v>
      </c>
      <c r="J216" t="s">
        <v>3392</v>
      </c>
      <c r="K216" t="s">
        <v>3303</v>
      </c>
      <c r="L216" t="s">
        <v>6778</v>
      </c>
      <c r="M216" t="s">
        <v>6779</v>
      </c>
      <c r="N216" t="s">
        <v>6792</v>
      </c>
      <c r="O216">
        <v>1</v>
      </c>
      <c r="P216" t="str">
        <f>+BARRAS[[#This Row],[Barra]]&amp;"_"&amp;BARRAS[[#This Row],[Nivel de tensión]]</f>
        <v>LOS_DOMINICOS_13</v>
      </c>
    </row>
    <row r="217" spans="1:16">
      <c r="A217" t="s">
        <v>747</v>
      </c>
      <c r="B217">
        <v>110</v>
      </c>
      <c r="C217">
        <v>1</v>
      </c>
      <c r="D217" t="s">
        <v>3397</v>
      </c>
      <c r="E217" t="s">
        <v>5452</v>
      </c>
      <c r="F217" t="s">
        <v>3420</v>
      </c>
      <c r="G217">
        <v>16301</v>
      </c>
      <c r="H217" t="s">
        <v>3469</v>
      </c>
      <c r="I217" t="s">
        <v>3391</v>
      </c>
      <c r="J217" t="s">
        <v>3392</v>
      </c>
      <c r="K217" t="s">
        <v>3303</v>
      </c>
      <c r="L217" t="s">
        <v>6778</v>
      </c>
      <c r="M217" t="s">
        <v>6779</v>
      </c>
      <c r="N217" t="s">
        <v>6792</v>
      </c>
      <c r="O217">
        <v>1</v>
      </c>
      <c r="P217" t="str">
        <f>+BARRAS[[#This Row],[Barra]]&amp;"_"&amp;BARRAS[[#This Row],[Nivel de tensión]]</f>
        <v>LOS_DOMINICOS_110</v>
      </c>
    </row>
    <row r="218" spans="1:16">
      <c r="A218" t="s">
        <v>749</v>
      </c>
      <c r="B218">
        <v>6</v>
      </c>
      <c r="C218">
        <v>1408</v>
      </c>
      <c r="D218" t="s">
        <v>3397</v>
      </c>
      <c r="E218" t="s">
        <v>3419</v>
      </c>
      <c r="F218" t="s">
        <v>5453</v>
      </c>
      <c r="G218">
        <v>7402</v>
      </c>
      <c r="H218" t="s">
        <v>3405</v>
      </c>
      <c r="I218" t="s">
        <v>3391</v>
      </c>
      <c r="J218" t="s">
        <v>5454</v>
      </c>
      <c r="K218" t="s">
        <v>6315</v>
      </c>
      <c r="L218" t="s">
        <v>6778</v>
      </c>
      <c r="M218" t="s">
        <v>6779</v>
      </c>
      <c r="N218" t="s">
        <v>6792</v>
      </c>
      <c r="O218">
        <v>1</v>
      </c>
      <c r="P218" t="str">
        <f>+BARRAS[[#This Row],[Barra]]&amp;"_"&amp;BARRAS[[#This Row],[Nivel de tensión]]</f>
        <v>LOS_HIERR_2_6</v>
      </c>
    </row>
    <row r="219" spans="1:16">
      <c r="A219" t="s">
        <v>749</v>
      </c>
      <c r="B219">
        <v>110</v>
      </c>
      <c r="C219">
        <v>1</v>
      </c>
      <c r="D219" t="s">
        <v>3397</v>
      </c>
      <c r="E219" t="s">
        <v>3419</v>
      </c>
      <c r="F219" t="s">
        <v>3420</v>
      </c>
      <c r="G219">
        <v>16301</v>
      </c>
      <c r="H219" t="s">
        <v>3405</v>
      </c>
      <c r="I219" t="s">
        <v>3391</v>
      </c>
      <c r="J219" t="s">
        <v>3392</v>
      </c>
      <c r="K219" t="s">
        <v>6315</v>
      </c>
      <c r="L219" t="s">
        <v>6778</v>
      </c>
      <c r="M219" t="s">
        <v>6779</v>
      </c>
      <c r="N219" t="s">
        <v>6792</v>
      </c>
      <c r="O219">
        <v>1</v>
      </c>
      <c r="P219" t="str">
        <f>+BARRAS[[#This Row],[Barra]]&amp;"_"&amp;BARRAS[[#This Row],[Nivel de tensión]]</f>
        <v>LOS_HIERR_2_110</v>
      </c>
    </row>
    <row r="220" spans="1:16">
      <c r="A220" t="s">
        <v>5455</v>
      </c>
      <c r="B220">
        <v>6</v>
      </c>
      <c r="C220">
        <v>1</v>
      </c>
      <c r="D220" t="s">
        <v>3397</v>
      </c>
      <c r="E220" t="s">
        <v>3419</v>
      </c>
      <c r="F220" t="s">
        <v>3420</v>
      </c>
      <c r="G220">
        <v>16301</v>
      </c>
      <c r="H220" t="s">
        <v>3405</v>
      </c>
      <c r="I220" t="s">
        <v>3391</v>
      </c>
      <c r="J220" t="s">
        <v>3392</v>
      </c>
      <c r="K220" t="s">
        <v>6315</v>
      </c>
      <c r="L220" t="s">
        <v>6778</v>
      </c>
      <c r="M220" t="s">
        <v>6779</v>
      </c>
      <c r="N220" t="s">
        <v>6792</v>
      </c>
      <c r="O220">
        <v>1</v>
      </c>
      <c r="P220" t="str">
        <f>+BARRAS[[#This Row],[Barra]]&amp;"_"&amp;BARRAS[[#This Row],[Nivel de tensión]]</f>
        <v>LOS_HIERROS_6</v>
      </c>
    </row>
    <row r="221" spans="1:16">
      <c r="A221" t="s">
        <v>5455</v>
      </c>
      <c r="B221">
        <v>110</v>
      </c>
      <c r="C221">
        <v>1</v>
      </c>
      <c r="D221" t="s">
        <v>3397</v>
      </c>
      <c r="E221" t="s">
        <v>3419</v>
      </c>
      <c r="F221" t="s">
        <v>3420</v>
      </c>
      <c r="G221">
        <v>16301</v>
      </c>
      <c r="H221" t="s">
        <v>3405</v>
      </c>
      <c r="I221" t="s">
        <v>3391</v>
      </c>
      <c r="J221" t="s">
        <v>3392</v>
      </c>
      <c r="K221" t="s">
        <v>6315</v>
      </c>
      <c r="L221" t="s">
        <v>6778</v>
      </c>
      <c r="M221" t="s">
        <v>6779</v>
      </c>
      <c r="N221" t="s">
        <v>6792</v>
      </c>
      <c r="O221">
        <v>1</v>
      </c>
      <c r="P221" t="str">
        <f>+BARRAS[[#This Row],[Barra]]&amp;"_"&amp;BARRAS[[#This Row],[Nivel de tensión]]</f>
        <v>LOS_HIERROS_110</v>
      </c>
    </row>
    <row r="222" spans="1:16">
      <c r="A222" t="s">
        <v>5509</v>
      </c>
      <c r="B222">
        <v>20</v>
      </c>
      <c r="C222">
        <v>837</v>
      </c>
      <c r="D222" t="s">
        <v>3397</v>
      </c>
      <c r="E222" t="s">
        <v>5513</v>
      </c>
      <c r="F222" t="s">
        <v>5512</v>
      </c>
      <c r="G222">
        <v>16301</v>
      </c>
      <c r="H222" t="s">
        <v>3405</v>
      </c>
      <c r="I222" t="s">
        <v>3391</v>
      </c>
      <c r="J222" t="s">
        <v>3392</v>
      </c>
      <c r="K222" t="s">
        <v>6315</v>
      </c>
      <c r="L222" t="s">
        <v>6778</v>
      </c>
      <c r="M222" t="s">
        <v>6779</v>
      </c>
      <c r="N222" t="s">
        <v>6792</v>
      </c>
      <c r="O222">
        <v>1</v>
      </c>
      <c r="P222" t="str">
        <f>+BARRAS[[#This Row],[Barra]]&amp;"_"&amp;BARRAS[[#This Row],[Nivel de tensión]]</f>
        <v>MACUL_20</v>
      </c>
    </row>
    <row r="223" spans="1:16">
      <c r="A223" t="s">
        <v>5509</v>
      </c>
      <c r="B223">
        <v>110</v>
      </c>
      <c r="C223">
        <v>1</v>
      </c>
      <c r="D223" t="s">
        <v>3397</v>
      </c>
      <c r="E223" t="s">
        <v>5514</v>
      </c>
      <c r="F223" t="s">
        <v>3420</v>
      </c>
      <c r="G223">
        <v>16301</v>
      </c>
      <c r="H223" t="s">
        <v>3469</v>
      </c>
      <c r="I223" t="s">
        <v>3391</v>
      </c>
      <c r="J223" t="s">
        <v>3392</v>
      </c>
      <c r="K223" t="s">
        <v>3303</v>
      </c>
      <c r="L223" t="s">
        <v>6778</v>
      </c>
      <c r="M223" t="s">
        <v>6779</v>
      </c>
      <c r="N223" t="s">
        <v>6792</v>
      </c>
      <c r="O223">
        <v>1</v>
      </c>
      <c r="P223" t="str">
        <f>+BARRAS[[#This Row],[Barra]]&amp;"_"&amp;BARRAS[[#This Row],[Nivel de tensión]]</f>
        <v>MACUL_110</v>
      </c>
    </row>
    <row r="224" spans="1:16">
      <c r="A224" t="s">
        <v>5515</v>
      </c>
      <c r="B224">
        <v>13</v>
      </c>
      <c r="C224">
        <v>1261</v>
      </c>
      <c r="D224" t="s">
        <v>5516</v>
      </c>
      <c r="E224" t="s">
        <v>5517</v>
      </c>
      <c r="F224" t="s">
        <v>5518</v>
      </c>
      <c r="G224">
        <v>16301</v>
      </c>
      <c r="H224" t="s">
        <v>3405</v>
      </c>
      <c r="I224" t="s">
        <v>3391</v>
      </c>
      <c r="J224" t="s">
        <v>3392</v>
      </c>
      <c r="K224" t="s">
        <v>6315</v>
      </c>
      <c r="L224" t="s">
        <v>6778</v>
      </c>
      <c r="M224" t="s">
        <v>6779</v>
      </c>
      <c r="N224" t="s">
        <v>6792</v>
      </c>
      <c r="O224">
        <v>1</v>
      </c>
      <c r="P224" t="str">
        <f>+BARRAS[[#This Row],[Barra]]&amp;"_"&amp;BARRAS[[#This Row],[Nivel de tensión]]</f>
        <v>MAESTRANZA_13</v>
      </c>
    </row>
    <row r="225" spans="1:16">
      <c r="A225" t="s">
        <v>5515</v>
      </c>
      <c r="B225">
        <v>66</v>
      </c>
      <c r="C225">
        <v>1</v>
      </c>
      <c r="D225" t="s">
        <v>3397</v>
      </c>
      <c r="E225" t="s">
        <v>3419</v>
      </c>
      <c r="F225" t="s">
        <v>3420</v>
      </c>
      <c r="G225">
        <v>16301</v>
      </c>
      <c r="H225" t="s">
        <v>3414</v>
      </c>
      <c r="I225" t="s">
        <v>3391</v>
      </c>
      <c r="J225" t="s">
        <v>3392</v>
      </c>
      <c r="K225" t="s">
        <v>3304</v>
      </c>
      <c r="L225" t="s">
        <v>6778</v>
      </c>
      <c r="M225" t="s">
        <v>6779</v>
      </c>
      <c r="N225" t="s">
        <v>6792</v>
      </c>
      <c r="O225">
        <v>1</v>
      </c>
      <c r="P225" t="str">
        <f>+BARRAS[[#This Row],[Barra]]&amp;"_"&amp;BARRAS[[#This Row],[Nivel de tensión]]</f>
        <v>MAESTRANZA_66</v>
      </c>
    </row>
    <row r="226" spans="1:16">
      <c r="A226" t="s">
        <v>5519</v>
      </c>
      <c r="B226">
        <v>15</v>
      </c>
      <c r="C226">
        <v>187</v>
      </c>
      <c r="D226" t="s">
        <v>5520</v>
      </c>
      <c r="E226" t="s">
        <v>5521</v>
      </c>
      <c r="F226" t="s">
        <v>5522</v>
      </c>
      <c r="G226">
        <v>16301</v>
      </c>
      <c r="H226" t="s">
        <v>3414</v>
      </c>
      <c r="I226" t="s">
        <v>3391</v>
      </c>
      <c r="J226" t="s">
        <v>3392</v>
      </c>
      <c r="K226" t="s">
        <v>3304</v>
      </c>
      <c r="L226" t="s">
        <v>6778</v>
      </c>
      <c r="M226" t="s">
        <v>6779</v>
      </c>
      <c r="N226" t="s">
        <v>6792</v>
      </c>
      <c r="O226">
        <v>1</v>
      </c>
      <c r="P226" t="str">
        <f>+BARRAS[[#This Row],[Barra]]&amp;"_"&amp;BARRAS[[#This Row],[Nivel de tensión]]</f>
        <v>MAHNS_15</v>
      </c>
    </row>
    <row r="227" spans="1:16">
      <c r="A227" t="s">
        <v>5519</v>
      </c>
      <c r="B227">
        <v>66</v>
      </c>
      <c r="C227">
        <v>1</v>
      </c>
      <c r="D227" t="s">
        <v>3397</v>
      </c>
      <c r="E227" t="s">
        <v>5523</v>
      </c>
      <c r="F227" t="s">
        <v>3420</v>
      </c>
      <c r="G227">
        <v>16301</v>
      </c>
      <c r="H227" t="s">
        <v>3414</v>
      </c>
      <c r="I227" t="s">
        <v>3391</v>
      </c>
      <c r="J227" t="s">
        <v>3392</v>
      </c>
      <c r="K227" t="s">
        <v>3304</v>
      </c>
      <c r="L227" t="s">
        <v>6778</v>
      </c>
      <c r="M227" t="s">
        <v>6779</v>
      </c>
      <c r="N227" t="s">
        <v>6792</v>
      </c>
      <c r="O227">
        <v>1</v>
      </c>
      <c r="P227" t="str">
        <f>+BARRAS[[#This Row],[Barra]]&amp;"_"&amp;BARRAS[[#This Row],[Nivel de tensión]]</f>
        <v>MAHNS_66</v>
      </c>
    </row>
    <row r="228" spans="1:16">
      <c r="A228" t="s">
        <v>789</v>
      </c>
      <c r="B228">
        <v>110</v>
      </c>
      <c r="C228">
        <v>1</v>
      </c>
      <c r="D228" t="s">
        <v>3397</v>
      </c>
      <c r="E228" t="s">
        <v>5524</v>
      </c>
      <c r="F228" t="s">
        <v>3420</v>
      </c>
      <c r="G228">
        <v>16301</v>
      </c>
      <c r="H228" t="s">
        <v>3396</v>
      </c>
      <c r="I228" t="s">
        <v>3391</v>
      </c>
      <c r="J228" t="s">
        <v>3392</v>
      </c>
      <c r="K228" t="s">
        <v>6315</v>
      </c>
      <c r="L228" t="s">
        <v>6778</v>
      </c>
      <c r="M228" t="s">
        <v>6779</v>
      </c>
      <c r="N228" t="s">
        <v>6792</v>
      </c>
      <c r="O228">
        <v>1</v>
      </c>
      <c r="P228" t="str">
        <f>+BARRAS[[#This Row],[Barra]]&amp;"_"&amp;BARRAS[[#This Row],[Nivel de tensión]]</f>
        <v>MAIPO_110</v>
      </c>
    </row>
    <row r="229" spans="1:16">
      <c r="A229" t="s">
        <v>789</v>
      </c>
      <c r="B229">
        <v>220</v>
      </c>
      <c r="C229">
        <v>1</v>
      </c>
      <c r="D229" t="s">
        <v>3397</v>
      </c>
      <c r="E229" t="s">
        <v>5525</v>
      </c>
      <c r="F229" t="s">
        <v>3420</v>
      </c>
      <c r="G229">
        <v>16301</v>
      </c>
      <c r="H229" t="s">
        <v>3409</v>
      </c>
      <c r="I229" t="s">
        <v>3391</v>
      </c>
      <c r="J229" t="s">
        <v>3392</v>
      </c>
      <c r="K229" t="s">
        <v>6315</v>
      </c>
      <c r="L229" t="s">
        <v>6778</v>
      </c>
      <c r="M229" t="s">
        <v>6779</v>
      </c>
      <c r="N229" t="s">
        <v>6792</v>
      </c>
      <c r="O229">
        <v>1</v>
      </c>
      <c r="P229" t="str">
        <f>+BARRAS[[#This Row],[Barra]]&amp;"_"&amp;BARRAS[[#This Row],[Nivel de tensión]]</f>
        <v>MAIPO_220</v>
      </c>
    </row>
    <row r="230" spans="1:16">
      <c r="A230" t="s">
        <v>792</v>
      </c>
      <c r="B230">
        <v>13</v>
      </c>
      <c r="C230">
        <v>840</v>
      </c>
      <c r="D230" t="s">
        <v>5526</v>
      </c>
      <c r="E230" t="s">
        <v>5527</v>
      </c>
      <c r="F230" t="s">
        <v>5528</v>
      </c>
      <c r="G230">
        <v>16301</v>
      </c>
      <c r="H230" t="s">
        <v>3469</v>
      </c>
      <c r="I230" t="s">
        <v>3391</v>
      </c>
      <c r="J230" t="s">
        <v>3392</v>
      </c>
      <c r="K230" t="s">
        <v>3303</v>
      </c>
      <c r="L230" t="s">
        <v>6778</v>
      </c>
      <c r="M230" t="s">
        <v>6779</v>
      </c>
      <c r="N230" t="s">
        <v>6792</v>
      </c>
      <c r="O230">
        <v>1</v>
      </c>
      <c r="P230" t="str">
        <f>+BARRAS[[#This Row],[Barra]]&amp;"_"&amp;BARRAS[[#This Row],[Nivel de tensión]]</f>
        <v>MAIPU_13</v>
      </c>
    </row>
    <row r="231" spans="1:16">
      <c r="A231" t="s">
        <v>792</v>
      </c>
      <c r="B231">
        <v>110</v>
      </c>
      <c r="C231">
        <v>1</v>
      </c>
      <c r="D231" t="s">
        <v>3397</v>
      </c>
      <c r="E231" t="s">
        <v>3474</v>
      </c>
      <c r="F231" t="s">
        <v>3420</v>
      </c>
      <c r="G231">
        <v>16301</v>
      </c>
      <c r="H231" t="s">
        <v>3469</v>
      </c>
      <c r="I231" t="s">
        <v>3391</v>
      </c>
      <c r="J231" t="s">
        <v>3392</v>
      </c>
      <c r="K231" t="s">
        <v>3303</v>
      </c>
      <c r="L231" t="s">
        <v>6778</v>
      </c>
      <c r="M231" t="s">
        <v>6779</v>
      </c>
      <c r="N231" t="s">
        <v>6792</v>
      </c>
      <c r="O231">
        <v>1</v>
      </c>
      <c r="P231" t="str">
        <f>+BARRAS[[#This Row],[Barra]]&amp;"_"&amp;BARRAS[[#This Row],[Nivel de tensión]]</f>
        <v>MAIPU_110</v>
      </c>
    </row>
    <row r="232" spans="1:16">
      <c r="A232" t="s">
        <v>795</v>
      </c>
      <c r="B232">
        <v>110</v>
      </c>
      <c r="C232">
        <v>1</v>
      </c>
      <c r="D232" t="s">
        <v>3397</v>
      </c>
      <c r="E232" t="s">
        <v>5529</v>
      </c>
      <c r="F232" t="s">
        <v>3420</v>
      </c>
      <c r="G232">
        <v>16301</v>
      </c>
      <c r="H232" t="s">
        <v>3396</v>
      </c>
      <c r="I232" t="s">
        <v>3391</v>
      </c>
      <c r="J232" t="s">
        <v>3392</v>
      </c>
      <c r="K232" t="s">
        <v>6315</v>
      </c>
      <c r="L232" t="s">
        <v>6778</v>
      </c>
      <c r="M232" t="s">
        <v>6779</v>
      </c>
      <c r="N232" t="s">
        <v>6792</v>
      </c>
      <c r="O232">
        <v>1</v>
      </c>
      <c r="P232" t="str">
        <f>+BARRAS[[#This Row],[Barra]]&amp;"_"&amp;BARRAS[[#This Row],[Nivel de tensión]]</f>
        <v>MAITENCILLO_110</v>
      </c>
    </row>
    <row r="233" spans="1:16">
      <c r="A233" t="s">
        <v>795</v>
      </c>
      <c r="B233">
        <v>220</v>
      </c>
      <c r="C233">
        <v>505</v>
      </c>
      <c r="D233" t="s">
        <v>5530</v>
      </c>
      <c r="E233" t="s">
        <v>5531</v>
      </c>
      <c r="F233" t="s">
        <v>5532</v>
      </c>
      <c r="G233">
        <v>16301</v>
      </c>
      <c r="H233" t="s">
        <v>3405</v>
      </c>
      <c r="I233" t="s">
        <v>3391</v>
      </c>
      <c r="J233" t="s">
        <v>3392</v>
      </c>
      <c r="K233" t="s">
        <v>6315</v>
      </c>
      <c r="L233" t="s">
        <v>6778</v>
      </c>
      <c r="M233" t="s">
        <v>6779</v>
      </c>
      <c r="N233" t="s">
        <v>6792</v>
      </c>
      <c r="O233">
        <v>1</v>
      </c>
      <c r="P233" t="str">
        <f>+BARRAS[[#This Row],[Barra]]&amp;"_"&amp;BARRAS[[#This Row],[Nivel de tensión]]</f>
        <v>MAITENCILLO_220</v>
      </c>
    </row>
    <row r="234" spans="1:16">
      <c r="A234" t="s">
        <v>5533</v>
      </c>
      <c r="B234">
        <v>110</v>
      </c>
      <c r="C234">
        <v>2408</v>
      </c>
      <c r="D234" t="s">
        <v>4919</v>
      </c>
      <c r="E234" t="s">
        <v>4920</v>
      </c>
      <c r="F234" t="s">
        <v>4921</v>
      </c>
      <c r="G234">
        <v>16301</v>
      </c>
      <c r="H234" t="s">
        <v>3405</v>
      </c>
      <c r="I234" t="s">
        <v>3391</v>
      </c>
      <c r="J234" t="s">
        <v>3392</v>
      </c>
      <c r="K234" t="s">
        <v>6315</v>
      </c>
      <c r="L234" t="s">
        <v>6778</v>
      </c>
      <c r="M234" t="s">
        <v>6779</v>
      </c>
      <c r="N234" t="s">
        <v>6792</v>
      </c>
      <c r="O234">
        <v>1</v>
      </c>
      <c r="P234" t="str">
        <f>+BARRAS[[#This Row],[Barra]]&amp;"_"&amp;BARRAS[[#This Row],[Nivel de tensión]]</f>
        <v>MAITENES_110</v>
      </c>
    </row>
    <row r="235" spans="1:16">
      <c r="A235" t="s">
        <v>5534</v>
      </c>
      <c r="B235">
        <v>220</v>
      </c>
      <c r="C235">
        <v>1</v>
      </c>
      <c r="D235" t="s">
        <v>3397</v>
      </c>
      <c r="E235" t="s">
        <v>3419</v>
      </c>
      <c r="F235" t="s">
        <v>3420</v>
      </c>
      <c r="G235">
        <v>16301</v>
      </c>
      <c r="H235" t="s">
        <v>3405</v>
      </c>
      <c r="I235" t="s">
        <v>3391</v>
      </c>
      <c r="J235" t="s">
        <v>3392</v>
      </c>
      <c r="K235" t="s">
        <v>6315</v>
      </c>
      <c r="L235" t="s">
        <v>6778</v>
      </c>
      <c r="M235" t="s">
        <v>6779</v>
      </c>
      <c r="N235" t="s">
        <v>6792</v>
      </c>
      <c r="O235">
        <v>1</v>
      </c>
      <c r="P235" t="str">
        <f>+BARRAS[[#This Row],[Barra]]&amp;"_"&amp;BARRAS[[#This Row],[Nivel de tensión]]</f>
        <v>MALGARIDA_220</v>
      </c>
    </row>
    <row r="236" spans="1:16">
      <c r="A236" t="s">
        <v>800</v>
      </c>
      <c r="B236">
        <v>13</v>
      </c>
      <c r="C236">
        <v>188</v>
      </c>
      <c r="D236" t="s">
        <v>5535</v>
      </c>
      <c r="E236" t="s">
        <v>5536</v>
      </c>
      <c r="F236" t="s">
        <v>5537</v>
      </c>
      <c r="G236">
        <v>16301</v>
      </c>
      <c r="H236" t="s">
        <v>3414</v>
      </c>
      <c r="I236" t="s">
        <v>3391</v>
      </c>
      <c r="J236" t="s">
        <v>3392</v>
      </c>
      <c r="K236" t="s">
        <v>3304</v>
      </c>
      <c r="L236" t="s">
        <v>6778</v>
      </c>
      <c r="M236" t="s">
        <v>6779</v>
      </c>
      <c r="N236" t="s">
        <v>6792</v>
      </c>
      <c r="O236">
        <v>1</v>
      </c>
      <c r="P236" t="str">
        <f>+BARRAS[[#This Row],[Barra]]&amp;"_"&amp;BARRAS[[#This Row],[Nivel de tensión]]</f>
        <v>MALLOA_13</v>
      </c>
    </row>
    <row r="237" spans="1:16">
      <c r="A237" t="s">
        <v>800</v>
      </c>
      <c r="B237">
        <v>66</v>
      </c>
      <c r="C237">
        <v>1</v>
      </c>
      <c r="D237" t="s">
        <v>3397</v>
      </c>
      <c r="E237" t="s">
        <v>5538</v>
      </c>
      <c r="F237" t="s">
        <v>3420</v>
      </c>
      <c r="G237">
        <v>16301</v>
      </c>
      <c r="H237" t="s">
        <v>3414</v>
      </c>
      <c r="I237" t="s">
        <v>3391</v>
      </c>
      <c r="J237" t="s">
        <v>3392</v>
      </c>
      <c r="K237" t="s">
        <v>3304</v>
      </c>
      <c r="L237" t="s">
        <v>6778</v>
      </c>
      <c r="M237" t="s">
        <v>6779</v>
      </c>
      <c r="N237" t="s">
        <v>6792</v>
      </c>
      <c r="O237">
        <v>1</v>
      </c>
      <c r="P237" t="str">
        <f>+BARRAS[[#This Row],[Barra]]&amp;"_"&amp;BARRAS[[#This Row],[Nivel de tensión]]</f>
        <v>MALLOA_66</v>
      </c>
    </row>
    <row r="238" spans="1:16">
      <c r="A238" t="s">
        <v>800</v>
      </c>
      <c r="B238">
        <v>154</v>
      </c>
      <c r="C238">
        <v>1</v>
      </c>
      <c r="D238" t="s">
        <v>3397</v>
      </c>
      <c r="E238" t="s">
        <v>3419</v>
      </c>
      <c r="F238" t="s">
        <v>3420</v>
      </c>
      <c r="G238">
        <v>16301</v>
      </c>
      <c r="H238" t="s">
        <v>3414</v>
      </c>
      <c r="I238" t="s">
        <v>3391</v>
      </c>
      <c r="J238" t="s">
        <v>3392</v>
      </c>
      <c r="K238" t="s">
        <v>3304</v>
      </c>
      <c r="L238" t="s">
        <v>6778</v>
      </c>
      <c r="M238" t="s">
        <v>6779</v>
      </c>
      <c r="N238" t="s">
        <v>6792</v>
      </c>
      <c r="O238">
        <v>1</v>
      </c>
      <c r="P238" t="str">
        <f>+BARRAS[[#This Row],[Barra]]&amp;"_"&amp;BARRAS[[#This Row],[Nivel de tensión]]</f>
        <v>MALLOA_154</v>
      </c>
    </row>
    <row r="239" spans="1:16">
      <c r="A239" t="s">
        <v>804</v>
      </c>
      <c r="B239">
        <v>13</v>
      </c>
      <c r="C239">
        <v>846</v>
      </c>
      <c r="D239" t="s">
        <v>5539</v>
      </c>
      <c r="E239" t="s">
        <v>5540</v>
      </c>
      <c r="F239" t="s">
        <v>5541</v>
      </c>
      <c r="G239">
        <v>16301</v>
      </c>
      <c r="H239" t="s">
        <v>3469</v>
      </c>
      <c r="I239" t="s">
        <v>3391</v>
      </c>
      <c r="J239" t="s">
        <v>3392</v>
      </c>
      <c r="K239" t="s">
        <v>3303</v>
      </c>
      <c r="L239" t="s">
        <v>6778</v>
      </c>
      <c r="M239" t="s">
        <v>6779</v>
      </c>
      <c r="N239" t="s">
        <v>6792</v>
      </c>
      <c r="O239">
        <v>1</v>
      </c>
      <c r="P239" t="str">
        <f>+BARRAS[[#This Row],[Barra]]&amp;"_"&amp;BARRAS[[#This Row],[Nivel de tensión]]</f>
        <v>MALLOCO_13</v>
      </c>
    </row>
    <row r="240" spans="1:16">
      <c r="A240" t="s">
        <v>804</v>
      </c>
      <c r="B240">
        <v>110</v>
      </c>
      <c r="C240">
        <v>1</v>
      </c>
      <c r="D240" t="s">
        <v>3397</v>
      </c>
      <c r="E240" t="s">
        <v>5542</v>
      </c>
      <c r="F240" t="s">
        <v>3420</v>
      </c>
      <c r="G240">
        <v>16301</v>
      </c>
      <c r="H240" t="s">
        <v>3469</v>
      </c>
      <c r="I240" t="s">
        <v>3391</v>
      </c>
      <c r="J240" t="s">
        <v>3392</v>
      </c>
      <c r="K240" t="s">
        <v>3303</v>
      </c>
      <c r="L240" t="s">
        <v>6778</v>
      </c>
      <c r="M240" t="s">
        <v>6779</v>
      </c>
      <c r="N240" t="s">
        <v>6792</v>
      </c>
      <c r="O240">
        <v>1</v>
      </c>
      <c r="P240" t="str">
        <f>+BARRAS[[#This Row],[Barra]]&amp;"_"&amp;BARRAS[[#This Row],[Nivel de tensión]]</f>
        <v>MALLOCO_110</v>
      </c>
    </row>
    <row r="241" spans="1:16">
      <c r="A241" t="s">
        <v>807</v>
      </c>
      <c r="B241">
        <v>220</v>
      </c>
      <c r="C241">
        <v>85</v>
      </c>
      <c r="D241" t="s">
        <v>5543</v>
      </c>
      <c r="E241" t="s">
        <v>5544</v>
      </c>
      <c r="F241" t="s">
        <v>5545</v>
      </c>
      <c r="G241">
        <v>16301</v>
      </c>
      <c r="H241" t="s">
        <v>3405</v>
      </c>
      <c r="I241" t="s">
        <v>3391</v>
      </c>
      <c r="J241" t="s">
        <v>3392</v>
      </c>
      <c r="K241" t="s">
        <v>6315</v>
      </c>
      <c r="L241" t="s">
        <v>6778</v>
      </c>
      <c r="M241" t="s">
        <v>6779</v>
      </c>
      <c r="N241" t="s">
        <v>6792</v>
      </c>
      <c r="O241">
        <v>1</v>
      </c>
      <c r="P241" t="str">
        <f>+BARRAS[[#This Row],[Barra]]&amp;"_"&amp;BARRAS[[#This Row],[Nivel de tensión]]</f>
        <v>MAMPIL_220</v>
      </c>
    </row>
    <row r="242" spans="1:16">
      <c r="A242" t="s">
        <v>809</v>
      </c>
      <c r="B242">
        <v>13</v>
      </c>
      <c r="C242">
        <v>595</v>
      </c>
      <c r="D242" t="s">
        <v>5546</v>
      </c>
      <c r="E242" t="s">
        <v>5547</v>
      </c>
      <c r="F242" t="s">
        <v>5548</v>
      </c>
      <c r="G242">
        <v>16301</v>
      </c>
      <c r="H242" t="s">
        <v>3414</v>
      </c>
      <c r="I242" t="s">
        <v>3391</v>
      </c>
      <c r="J242" t="s">
        <v>3392</v>
      </c>
      <c r="K242" t="s">
        <v>3304</v>
      </c>
      <c r="L242" t="s">
        <v>6778</v>
      </c>
      <c r="M242" t="s">
        <v>6779</v>
      </c>
      <c r="N242" t="s">
        <v>6792</v>
      </c>
      <c r="O242">
        <v>1</v>
      </c>
      <c r="P242" t="str">
        <f>+BARRAS[[#This Row],[Barra]]&amp;"_"&amp;BARRAS[[#This Row],[Nivel de tensión]]</f>
        <v>MANDINGA_13</v>
      </c>
    </row>
    <row r="243" spans="1:16">
      <c r="A243" t="s">
        <v>809</v>
      </c>
      <c r="B243">
        <v>66</v>
      </c>
      <c r="C243">
        <v>1</v>
      </c>
      <c r="D243" t="s">
        <v>3397</v>
      </c>
      <c r="E243" t="s">
        <v>5549</v>
      </c>
      <c r="F243" t="s">
        <v>3420</v>
      </c>
      <c r="G243">
        <v>16301</v>
      </c>
      <c r="H243" t="s">
        <v>3414</v>
      </c>
      <c r="I243" t="s">
        <v>3391</v>
      </c>
      <c r="J243" t="s">
        <v>3392</v>
      </c>
      <c r="K243" t="s">
        <v>3304</v>
      </c>
      <c r="L243" t="s">
        <v>6778</v>
      </c>
      <c r="M243" t="s">
        <v>6779</v>
      </c>
      <c r="N243" t="s">
        <v>6792</v>
      </c>
      <c r="O243">
        <v>1</v>
      </c>
      <c r="P243" t="str">
        <f>+BARRAS[[#This Row],[Barra]]&amp;"_"&amp;BARRAS[[#This Row],[Nivel de tensión]]</f>
        <v>MANDINGA_66</v>
      </c>
    </row>
    <row r="244" spans="1:16">
      <c r="A244" t="s">
        <v>5550</v>
      </c>
      <c r="B244">
        <v>110</v>
      </c>
      <c r="C244">
        <v>1</v>
      </c>
      <c r="D244" t="s">
        <v>3397</v>
      </c>
      <c r="E244" t="s">
        <v>5551</v>
      </c>
      <c r="F244" t="s">
        <v>3420</v>
      </c>
      <c r="G244">
        <v>16301</v>
      </c>
      <c r="H244" t="s">
        <v>3405</v>
      </c>
      <c r="I244" t="s">
        <v>3391</v>
      </c>
      <c r="J244" t="s">
        <v>3392</v>
      </c>
      <c r="K244" t="s">
        <v>6315</v>
      </c>
      <c r="L244" t="s">
        <v>6778</v>
      </c>
      <c r="M244" t="s">
        <v>6779</v>
      </c>
      <c r="N244" t="s">
        <v>6792</v>
      </c>
      <c r="O244">
        <v>1</v>
      </c>
      <c r="P244" t="str">
        <f>+BARRAS[[#This Row],[Barra]]&amp;"_"&amp;BARRAS[[#This Row],[Nivel de tensión]]</f>
        <v>MANTILHUE_110</v>
      </c>
    </row>
    <row r="245" spans="1:16">
      <c r="A245" t="s">
        <v>5552</v>
      </c>
      <c r="B245">
        <v>154</v>
      </c>
      <c r="C245">
        <v>1152</v>
      </c>
      <c r="D245" t="s">
        <v>5553</v>
      </c>
      <c r="E245" t="s">
        <v>5554</v>
      </c>
      <c r="F245" t="s">
        <v>3484</v>
      </c>
      <c r="G245">
        <v>16301</v>
      </c>
      <c r="H245" t="s">
        <v>3414</v>
      </c>
      <c r="I245" t="s">
        <v>3391</v>
      </c>
      <c r="J245" t="s">
        <v>3392</v>
      </c>
      <c r="K245" t="s">
        <v>3304</v>
      </c>
      <c r="L245" t="s">
        <v>6778</v>
      </c>
      <c r="M245" t="s">
        <v>6779</v>
      </c>
      <c r="N245" t="s">
        <v>6792</v>
      </c>
      <c r="O245">
        <v>1</v>
      </c>
      <c r="P245" t="str">
        <f>+BARRAS[[#This Row],[Barra]]&amp;"_"&amp;BARRAS[[#This Row],[Nivel de tensión]]</f>
        <v>MAPAL_154</v>
      </c>
    </row>
    <row r="246" spans="1:16">
      <c r="A246" t="s">
        <v>5555</v>
      </c>
      <c r="B246">
        <v>13</v>
      </c>
      <c r="C246">
        <v>317</v>
      </c>
      <c r="D246" t="s">
        <v>5556</v>
      </c>
      <c r="E246" t="s">
        <v>5557</v>
      </c>
      <c r="F246" t="s">
        <v>5558</v>
      </c>
      <c r="G246">
        <v>16301</v>
      </c>
      <c r="H246" t="s">
        <v>3400</v>
      </c>
      <c r="I246" t="s">
        <v>3391</v>
      </c>
      <c r="J246" t="s">
        <v>3392</v>
      </c>
      <c r="K246" t="s">
        <v>3301</v>
      </c>
      <c r="L246" t="s">
        <v>6778</v>
      </c>
      <c r="M246" t="s">
        <v>6779</v>
      </c>
      <c r="N246" t="s">
        <v>6792</v>
      </c>
      <c r="O246">
        <v>1</v>
      </c>
      <c r="P246" t="str">
        <f>+BARRAS[[#This Row],[Barra]]&amp;"_"&amp;BARRAS[[#This Row],[Nivel de tensión]]</f>
        <v>MARBELLA_13</v>
      </c>
    </row>
    <row r="247" spans="1:16">
      <c r="A247" t="s">
        <v>5555</v>
      </c>
      <c r="B247">
        <v>110</v>
      </c>
      <c r="C247">
        <v>1</v>
      </c>
      <c r="D247" t="s">
        <v>3397</v>
      </c>
      <c r="E247" t="s">
        <v>5559</v>
      </c>
      <c r="F247" t="s">
        <v>3420</v>
      </c>
      <c r="G247">
        <v>16301</v>
      </c>
      <c r="H247" t="s">
        <v>3400</v>
      </c>
      <c r="I247" t="s">
        <v>3391</v>
      </c>
      <c r="J247" t="s">
        <v>3392</v>
      </c>
      <c r="K247" t="s">
        <v>3301</v>
      </c>
      <c r="L247" t="s">
        <v>6778</v>
      </c>
      <c r="M247" t="s">
        <v>6779</v>
      </c>
      <c r="N247" t="s">
        <v>6792</v>
      </c>
      <c r="O247">
        <v>1</v>
      </c>
      <c r="P247" t="str">
        <f>+BARRAS[[#This Row],[Barra]]&amp;"_"&amp;BARRAS[[#This Row],[Nivel de tensión]]</f>
        <v>MARBELLA_110</v>
      </c>
    </row>
    <row r="248" spans="1:16">
      <c r="A248" t="s">
        <v>847</v>
      </c>
      <c r="B248">
        <v>66</v>
      </c>
      <c r="C248">
        <v>1</v>
      </c>
      <c r="D248" t="s">
        <v>3397</v>
      </c>
      <c r="E248" t="s">
        <v>5668</v>
      </c>
      <c r="F248" t="s">
        <v>3420</v>
      </c>
      <c r="G248">
        <v>16301</v>
      </c>
      <c r="H248" t="s">
        <v>3390</v>
      </c>
      <c r="I248" t="s">
        <v>3391</v>
      </c>
      <c r="J248" t="s">
        <v>3392</v>
      </c>
      <c r="K248" t="s">
        <v>3305</v>
      </c>
      <c r="L248" t="s">
        <v>6778</v>
      </c>
      <c r="M248" t="s">
        <v>6779</v>
      </c>
      <c r="N248" t="s">
        <v>6792</v>
      </c>
      <c r="O248">
        <v>1</v>
      </c>
      <c r="P248" t="str">
        <f>+BARRAS[[#This Row],[Barra]]&amp;"_"&amp;BARRAS[[#This Row],[Nivel de tensión]]</f>
        <v>MELIPULLI_66</v>
      </c>
    </row>
    <row r="249" spans="1:16">
      <c r="A249" t="s">
        <v>847</v>
      </c>
      <c r="B249">
        <v>110</v>
      </c>
      <c r="C249">
        <v>1</v>
      </c>
      <c r="D249" t="s">
        <v>3397</v>
      </c>
      <c r="E249" t="s">
        <v>5669</v>
      </c>
      <c r="F249" t="s">
        <v>3420</v>
      </c>
      <c r="G249">
        <v>16301</v>
      </c>
      <c r="H249" t="s">
        <v>3390</v>
      </c>
      <c r="I249" t="s">
        <v>3391</v>
      </c>
      <c r="J249" t="s">
        <v>3392</v>
      </c>
      <c r="K249" t="s">
        <v>3305</v>
      </c>
      <c r="L249" t="s">
        <v>6778</v>
      </c>
      <c r="M249" t="s">
        <v>6779</v>
      </c>
      <c r="N249" t="s">
        <v>6792</v>
      </c>
      <c r="O249">
        <v>1</v>
      </c>
      <c r="P249" t="str">
        <f>+BARRAS[[#This Row],[Barra]]&amp;"_"&amp;BARRAS[[#This Row],[Nivel de tensión]]</f>
        <v>MELIPULLI_110</v>
      </c>
    </row>
    <row r="250" spans="1:16">
      <c r="A250" t="s">
        <v>847</v>
      </c>
      <c r="B250">
        <v>220</v>
      </c>
      <c r="C250">
        <v>1</v>
      </c>
      <c r="D250" t="s">
        <v>3397</v>
      </c>
      <c r="E250" t="s">
        <v>5670</v>
      </c>
      <c r="F250" t="s">
        <v>3420</v>
      </c>
      <c r="G250">
        <v>16301</v>
      </c>
      <c r="H250" t="s">
        <v>3409</v>
      </c>
      <c r="I250" t="s">
        <v>3391</v>
      </c>
      <c r="J250" t="s">
        <v>3392</v>
      </c>
      <c r="K250" t="s">
        <v>6315</v>
      </c>
      <c r="L250" t="s">
        <v>6778</v>
      </c>
      <c r="M250" t="s">
        <v>6779</v>
      </c>
      <c r="N250" t="s">
        <v>6792</v>
      </c>
      <c r="O250">
        <v>1</v>
      </c>
      <c r="P250" t="str">
        <f>+BARRAS[[#This Row],[Barra]]&amp;"_"&amp;BARRAS[[#This Row],[Nivel de tensión]]</f>
        <v>MELIPULLI_220</v>
      </c>
    </row>
    <row r="251" spans="1:16">
      <c r="A251" t="s">
        <v>5671</v>
      </c>
      <c r="B251">
        <v>66</v>
      </c>
      <c r="C251">
        <v>1156</v>
      </c>
      <c r="D251" t="s">
        <v>5672</v>
      </c>
      <c r="E251" t="s">
        <v>5673</v>
      </c>
      <c r="F251" t="s">
        <v>5674</v>
      </c>
      <c r="G251">
        <v>16301</v>
      </c>
      <c r="H251" t="s">
        <v>3414</v>
      </c>
      <c r="I251" t="s">
        <v>3391</v>
      </c>
      <c r="J251" t="s">
        <v>3392</v>
      </c>
      <c r="K251" t="s">
        <v>3304</v>
      </c>
      <c r="L251" t="s">
        <v>6778</v>
      </c>
      <c r="M251" t="s">
        <v>6779</v>
      </c>
      <c r="N251" t="s">
        <v>6792</v>
      </c>
      <c r="O251">
        <v>1</v>
      </c>
      <c r="P251" t="str">
        <f>+BARRAS[[#This Row],[Barra]]&amp;"_"&amp;BARRAS[[#This Row],[Nivel de tensión]]</f>
        <v>METRENCO_66</v>
      </c>
    </row>
    <row r="252" spans="1:16">
      <c r="A252" t="s">
        <v>5675</v>
      </c>
      <c r="B252">
        <v>110</v>
      </c>
      <c r="C252">
        <v>1121</v>
      </c>
      <c r="D252" t="s">
        <v>5676</v>
      </c>
      <c r="E252" t="s">
        <v>5677</v>
      </c>
      <c r="F252" t="s">
        <v>5678</v>
      </c>
      <c r="G252">
        <v>16301</v>
      </c>
      <c r="H252" t="s">
        <v>3469</v>
      </c>
      <c r="I252" t="s">
        <v>3391</v>
      </c>
      <c r="J252" t="s">
        <v>3392</v>
      </c>
      <c r="K252" t="s">
        <v>3303</v>
      </c>
      <c r="L252" t="s">
        <v>6778</v>
      </c>
      <c r="M252" t="s">
        <v>6779</v>
      </c>
      <c r="N252" t="s">
        <v>6792</v>
      </c>
      <c r="O252">
        <v>1</v>
      </c>
      <c r="P252" t="str">
        <f>+BARRAS[[#This Row],[Barra]]&amp;"_"&amp;BARRAS[[#This Row],[Nivel de tensión]]</f>
        <v>METRO_110</v>
      </c>
    </row>
    <row r="253" spans="1:16">
      <c r="A253" t="s">
        <v>854</v>
      </c>
      <c r="B253">
        <v>110</v>
      </c>
      <c r="C253">
        <v>2475</v>
      </c>
      <c r="D253" t="s">
        <v>5679</v>
      </c>
      <c r="E253" t="s">
        <v>5680</v>
      </c>
      <c r="F253" t="s">
        <v>5681</v>
      </c>
      <c r="G253">
        <v>16301</v>
      </c>
      <c r="H253" t="s">
        <v>3405</v>
      </c>
      <c r="I253" t="s">
        <v>3391</v>
      </c>
      <c r="J253" t="s">
        <v>3392</v>
      </c>
      <c r="K253" t="s">
        <v>6315</v>
      </c>
      <c r="L253" t="s">
        <v>6778</v>
      </c>
      <c r="M253" t="s">
        <v>6779</v>
      </c>
      <c r="N253" t="s">
        <v>6792</v>
      </c>
      <c r="O253">
        <v>1</v>
      </c>
      <c r="P253" t="str">
        <f>+BARRAS[[#This Row],[Barra]]&amp;"_"&amp;BARRAS[[#This Row],[Nivel de tensión]]</f>
        <v>MINERO_110</v>
      </c>
    </row>
    <row r="254" spans="1:16">
      <c r="A254" t="s">
        <v>854</v>
      </c>
      <c r="B254">
        <v>220</v>
      </c>
      <c r="C254">
        <v>1</v>
      </c>
      <c r="D254" t="s">
        <v>3397</v>
      </c>
      <c r="E254" t="s">
        <v>5682</v>
      </c>
      <c r="F254" t="s">
        <v>3420</v>
      </c>
      <c r="G254">
        <v>16301</v>
      </c>
      <c r="H254" t="s">
        <v>3405</v>
      </c>
      <c r="I254" t="s">
        <v>3391</v>
      </c>
      <c r="J254" t="s">
        <v>3392</v>
      </c>
      <c r="K254" t="s">
        <v>6315</v>
      </c>
      <c r="L254" t="s">
        <v>6778</v>
      </c>
      <c r="M254" t="s">
        <v>6779</v>
      </c>
      <c r="N254" t="s">
        <v>6792</v>
      </c>
      <c r="O254">
        <v>1</v>
      </c>
      <c r="P254" t="str">
        <f>+BARRAS[[#This Row],[Barra]]&amp;"_"&amp;BARRAS[[#This Row],[Nivel de tensión]]</f>
        <v>MINERO_220</v>
      </c>
    </row>
    <row r="255" spans="1:16">
      <c r="A255" t="s">
        <v>5683</v>
      </c>
      <c r="B255">
        <v>220</v>
      </c>
      <c r="C255">
        <v>1770</v>
      </c>
      <c r="D255" t="s">
        <v>5684</v>
      </c>
      <c r="E255" t="s">
        <v>5685</v>
      </c>
      <c r="F255" t="s">
        <v>3480</v>
      </c>
      <c r="G255">
        <v>16301</v>
      </c>
      <c r="H255" t="s">
        <v>3405</v>
      </c>
      <c r="I255" t="s">
        <v>3391</v>
      </c>
      <c r="J255" t="s">
        <v>3392</v>
      </c>
      <c r="K255" t="s">
        <v>6315</v>
      </c>
      <c r="L255" t="s">
        <v>6778</v>
      </c>
      <c r="M255" t="s">
        <v>6779</v>
      </c>
      <c r="N255" t="s">
        <v>6792</v>
      </c>
      <c r="O255">
        <v>1</v>
      </c>
      <c r="P255" t="str">
        <f>+BARRAS[[#This Row],[Barra]]&amp;"_"&amp;BARRAS[[#This Row],[Nivel de tensión]]</f>
        <v>MININCO_220</v>
      </c>
    </row>
    <row r="256" spans="1:16">
      <c r="A256" t="s">
        <v>858</v>
      </c>
      <c r="B256">
        <v>13</v>
      </c>
      <c r="C256">
        <v>1017</v>
      </c>
      <c r="D256" t="s">
        <v>5686</v>
      </c>
      <c r="E256" t="s">
        <v>5687</v>
      </c>
      <c r="F256" t="s">
        <v>5688</v>
      </c>
      <c r="G256">
        <v>16301</v>
      </c>
      <c r="H256" t="s">
        <v>3418</v>
      </c>
      <c r="I256" t="s">
        <v>3391</v>
      </c>
      <c r="J256" t="s">
        <v>3392</v>
      </c>
      <c r="K256" t="s">
        <v>3302</v>
      </c>
      <c r="L256" t="s">
        <v>6778</v>
      </c>
      <c r="M256" t="s">
        <v>6779</v>
      </c>
      <c r="N256" t="s">
        <v>6792</v>
      </c>
      <c r="O256">
        <v>1</v>
      </c>
      <c r="P256" t="str">
        <f>+BARRAS[[#This Row],[Barra]]&amp;"_"&amp;BARRAS[[#This Row],[Nivel de tensión]]</f>
        <v>MIRAFLORES_13</v>
      </c>
    </row>
    <row r="257" spans="1:16">
      <c r="A257" t="s">
        <v>858</v>
      </c>
      <c r="B257">
        <v>110</v>
      </c>
      <c r="C257">
        <v>1</v>
      </c>
      <c r="D257" t="s">
        <v>3397</v>
      </c>
      <c r="E257" t="s">
        <v>5689</v>
      </c>
      <c r="F257" t="s">
        <v>3420</v>
      </c>
      <c r="G257">
        <v>16301</v>
      </c>
      <c r="H257" t="s">
        <v>3418</v>
      </c>
      <c r="I257" t="s">
        <v>3391</v>
      </c>
      <c r="J257" t="s">
        <v>3392</v>
      </c>
      <c r="K257" t="s">
        <v>3302</v>
      </c>
      <c r="L257" t="s">
        <v>6778</v>
      </c>
      <c r="M257" t="s">
        <v>6779</v>
      </c>
      <c r="N257" t="s">
        <v>6792</v>
      </c>
      <c r="O257">
        <v>1</v>
      </c>
      <c r="P257" t="str">
        <f>+BARRAS[[#This Row],[Barra]]&amp;"_"&amp;BARRAS[[#This Row],[Nivel de tensión]]</f>
        <v>MIRAFLORES_110</v>
      </c>
    </row>
    <row r="258" spans="1:16">
      <c r="A258" t="s">
        <v>5690</v>
      </c>
      <c r="B258">
        <v>13</v>
      </c>
      <c r="C258">
        <v>1018</v>
      </c>
      <c r="D258" t="s">
        <v>5686</v>
      </c>
      <c r="E258" t="s">
        <v>5691</v>
      </c>
      <c r="F258" t="s">
        <v>5688</v>
      </c>
      <c r="G258">
        <v>16301</v>
      </c>
      <c r="H258" t="s">
        <v>3418</v>
      </c>
      <c r="I258" t="s">
        <v>3391</v>
      </c>
      <c r="J258" t="s">
        <v>3392</v>
      </c>
      <c r="K258" t="s">
        <v>3302</v>
      </c>
      <c r="L258" t="s">
        <v>6778</v>
      </c>
      <c r="M258" t="s">
        <v>6779</v>
      </c>
      <c r="N258" t="s">
        <v>6792</v>
      </c>
      <c r="O258">
        <v>1</v>
      </c>
      <c r="P258" t="str">
        <f>+BARRAS[[#This Row],[Barra]]&amp;"_"&amp;BARRAS[[#This Row],[Nivel de tensión]]</f>
        <v>MIRAFLORES2_13</v>
      </c>
    </row>
    <row r="259" spans="1:16">
      <c r="A259" t="s">
        <v>3476</v>
      </c>
      <c r="B259">
        <v>220</v>
      </c>
      <c r="C259">
        <v>1</v>
      </c>
      <c r="D259" t="s">
        <v>3397</v>
      </c>
      <c r="E259" t="s">
        <v>3477</v>
      </c>
      <c r="F259" t="s">
        <v>3420</v>
      </c>
      <c r="G259">
        <v>16301</v>
      </c>
      <c r="H259" t="s">
        <v>3409</v>
      </c>
      <c r="I259" t="s">
        <v>3391</v>
      </c>
      <c r="J259" t="s">
        <v>3392</v>
      </c>
      <c r="K259" t="s">
        <v>6315</v>
      </c>
      <c r="L259" t="s">
        <v>6778</v>
      </c>
      <c r="M259" t="s">
        <v>6779</v>
      </c>
      <c r="N259" t="s">
        <v>6792</v>
      </c>
      <c r="O259">
        <v>1</v>
      </c>
      <c r="P259" t="str">
        <f>+BARRAS[[#This Row],[Barra]]&amp;"_"&amp;BARRAS[[#This Row],[Nivel de tensión]]</f>
        <v>MIRAJE_220</v>
      </c>
    </row>
    <row r="260" spans="1:16">
      <c r="A260" t="s">
        <v>3903</v>
      </c>
      <c r="B260">
        <v>220</v>
      </c>
      <c r="C260">
        <v>2172</v>
      </c>
      <c r="D260" t="s">
        <v>3904</v>
      </c>
      <c r="E260" t="s">
        <v>3905</v>
      </c>
      <c r="F260" t="s">
        <v>3906</v>
      </c>
      <c r="G260">
        <v>16301</v>
      </c>
      <c r="H260" t="s">
        <v>3405</v>
      </c>
      <c r="I260" t="s">
        <v>3391</v>
      </c>
      <c r="J260" t="s">
        <v>3392</v>
      </c>
      <c r="K260" t="s">
        <v>6315</v>
      </c>
      <c r="L260" t="s">
        <v>6778</v>
      </c>
      <c r="M260" t="s">
        <v>6779</v>
      </c>
      <c r="N260" t="s">
        <v>6792</v>
      </c>
      <c r="O260">
        <v>1</v>
      </c>
      <c r="P260" t="str">
        <f>+BARRAS[[#This Row],[Barra]]&amp;"_"&amp;BARRAS[[#This Row],[Nivel de tensión]]</f>
        <v>MMH_220</v>
      </c>
    </row>
    <row r="261" spans="1:16">
      <c r="A261" t="s">
        <v>3907</v>
      </c>
      <c r="B261">
        <v>23</v>
      </c>
      <c r="C261">
        <v>1</v>
      </c>
      <c r="D261" t="s">
        <v>3397</v>
      </c>
      <c r="E261" t="s">
        <v>3419</v>
      </c>
      <c r="F261" t="s">
        <v>3420</v>
      </c>
      <c r="G261">
        <v>16301</v>
      </c>
      <c r="H261" t="s">
        <v>3405</v>
      </c>
      <c r="I261" t="s">
        <v>3391</v>
      </c>
      <c r="J261" t="s">
        <v>3392</v>
      </c>
      <c r="K261" t="s">
        <v>6315</v>
      </c>
      <c r="L261" t="s">
        <v>6778</v>
      </c>
      <c r="M261" t="s">
        <v>6779</v>
      </c>
      <c r="N261" t="s">
        <v>6792</v>
      </c>
      <c r="O261">
        <v>1</v>
      </c>
      <c r="P261" t="str">
        <f>+BARRAS[[#This Row],[Barra]]&amp;"_"&amp;BARRAS[[#This Row],[Nivel de tensión]]</f>
        <v>MOCHO_23</v>
      </c>
    </row>
    <row r="262" spans="1:16">
      <c r="A262" t="s">
        <v>3907</v>
      </c>
      <c r="B262">
        <v>110</v>
      </c>
      <c r="C262">
        <v>1</v>
      </c>
      <c r="D262" t="s">
        <v>3397</v>
      </c>
      <c r="E262" t="s">
        <v>3908</v>
      </c>
      <c r="F262" t="s">
        <v>3420</v>
      </c>
      <c r="G262">
        <v>16301</v>
      </c>
      <c r="H262" t="s">
        <v>3405</v>
      </c>
      <c r="I262" t="s">
        <v>3391</v>
      </c>
      <c r="J262" t="s">
        <v>3392</v>
      </c>
      <c r="K262" t="s">
        <v>6315</v>
      </c>
      <c r="L262" t="s">
        <v>6778</v>
      </c>
      <c r="M262" t="s">
        <v>6779</v>
      </c>
      <c r="N262" t="s">
        <v>6792</v>
      </c>
      <c r="O262">
        <v>1</v>
      </c>
      <c r="P262" t="str">
        <f>+BARRAS[[#This Row],[Barra]]&amp;"_"&amp;BARRAS[[#This Row],[Nivel de tensión]]</f>
        <v>MOCHO_110</v>
      </c>
    </row>
    <row r="263" spans="1:16">
      <c r="A263" t="s">
        <v>866</v>
      </c>
      <c r="B263">
        <v>13</v>
      </c>
      <c r="C263">
        <v>121</v>
      </c>
      <c r="D263" t="s">
        <v>3909</v>
      </c>
      <c r="E263" t="s">
        <v>3910</v>
      </c>
      <c r="F263" t="s">
        <v>3911</v>
      </c>
      <c r="G263">
        <v>16301</v>
      </c>
      <c r="H263" t="s">
        <v>3414</v>
      </c>
      <c r="I263" t="s">
        <v>3391</v>
      </c>
      <c r="J263" t="s">
        <v>3392</v>
      </c>
      <c r="K263" t="s">
        <v>3304</v>
      </c>
      <c r="L263" t="s">
        <v>6778</v>
      </c>
      <c r="M263" t="s">
        <v>6779</v>
      </c>
      <c r="N263" t="s">
        <v>6792</v>
      </c>
      <c r="O263">
        <v>1</v>
      </c>
      <c r="P263" t="str">
        <f>+BARRAS[[#This Row],[Barra]]&amp;"_"&amp;BARRAS[[#This Row],[Nivel de tensión]]</f>
        <v>MOLINA_13</v>
      </c>
    </row>
    <row r="264" spans="1:16">
      <c r="A264" t="s">
        <v>866</v>
      </c>
      <c r="B264">
        <v>66</v>
      </c>
      <c r="C264">
        <v>1</v>
      </c>
      <c r="D264" t="s">
        <v>3397</v>
      </c>
      <c r="E264" t="s">
        <v>3912</v>
      </c>
      <c r="F264" t="s">
        <v>3420</v>
      </c>
      <c r="G264">
        <v>16301</v>
      </c>
      <c r="H264" t="s">
        <v>3414</v>
      </c>
      <c r="I264" t="s">
        <v>3391</v>
      </c>
      <c r="J264" t="s">
        <v>3392</v>
      </c>
      <c r="K264" t="s">
        <v>3304</v>
      </c>
      <c r="L264" t="s">
        <v>6778</v>
      </c>
      <c r="M264" t="s">
        <v>6779</v>
      </c>
      <c r="N264" t="s">
        <v>6792</v>
      </c>
      <c r="O264">
        <v>1</v>
      </c>
      <c r="P264" t="str">
        <f>+BARRAS[[#This Row],[Barra]]&amp;"_"&amp;BARRAS[[#This Row],[Nivel de tensión]]</f>
        <v>MOLINA_66</v>
      </c>
    </row>
    <row r="265" spans="1:16">
      <c r="A265" t="s">
        <v>3913</v>
      </c>
      <c r="B265">
        <v>110</v>
      </c>
      <c r="C265">
        <v>1</v>
      </c>
      <c r="D265" t="s">
        <v>3397</v>
      </c>
      <c r="E265" t="s">
        <v>3914</v>
      </c>
      <c r="F265" t="s">
        <v>3420</v>
      </c>
      <c r="G265">
        <v>16301</v>
      </c>
      <c r="H265" t="s">
        <v>3390</v>
      </c>
      <c r="I265" t="s">
        <v>3391</v>
      </c>
      <c r="J265" t="s">
        <v>3392</v>
      </c>
      <c r="K265" t="s">
        <v>3305</v>
      </c>
      <c r="L265" t="s">
        <v>6778</v>
      </c>
      <c r="M265" t="s">
        <v>6779</v>
      </c>
      <c r="N265" t="s">
        <v>6792</v>
      </c>
      <c r="O265">
        <v>1</v>
      </c>
      <c r="P265" t="str">
        <f>+BARRAS[[#This Row],[Barra]]&amp;"_"&amp;BARRAS[[#This Row],[Nivel de tensión]]</f>
        <v>MOLINOS_110</v>
      </c>
    </row>
    <row r="266" spans="1:16">
      <c r="A266" t="s">
        <v>3915</v>
      </c>
      <c r="B266">
        <v>66</v>
      </c>
      <c r="C266">
        <v>1</v>
      </c>
      <c r="D266" t="s">
        <v>3397</v>
      </c>
      <c r="E266" t="s">
        <v>3916</v>
      </c>
      <c r="F266" t="s">
        <v>3420</v>
      </c>
      <c r="G266">
        <v>16301</v>
      </c>
      <c r="H266" t="s">
        <v>3405</v>
      </c>
      <c r="I266" t="s">
        <v>3391</v>
      </c>
      <c r="J266" t="s">
        <v>3392</v>
      </c>
      <c r="K266" t="s">
        <v>6315</v>
      </c>
      <c r="L266" t="s">
        <v>6778</v>
      </c>
      <c r="M266" t="s">
        <v>6779</v>
      </c>
      <c r="N266" t="s">
        <v>6792</v>
      </c>
      <c r="O266">
        <v>1</v>
      </c>
      <c r="P266" t="str">
        <f>+BARRAS[[#This Row],[Barra]]&amp;"_"&amp;BARRAS[[#This Row],[Nivel de tensión]]</f>
        <v>MOLLES_66</v>
      </c>
    </row>
    <row r="267" spans="1:16">
      <c r="A267" t="s">
        <v>3917</v>
      </c>
      <c r="B267">
        <v>220</v>
      </c>
      <c r="C267">
        <v>2194</v>
      </c>
      <c r="D267" t="s">
        <v>3918</v>
      </c>
      <c r="E267" t="s">
        <v>3919</v>
      </c>
      <c r="F267" t="s">
        <v>3484</v>
      </c>
      <c r="G267">
        <v>16301</v>
      </c>
      <c r="H267" t="s">
        <v>3405</v>
      </c>
      <c r="I267" t="s">
        <v>3391</v>
      </c>
      <c r="J267" t="s">
        <v>3392</v>
      </c>
      <c r="K267" t="s">
        <v>6315</v>
      </c>
      <c r="L267" t="s">
        <v>6778</v>
      </c>
      <c r="M267" t="s">
        <v>6779</v>
      </c>
      <c r="N267" t="s">
        <v>6792</v>
      </c>
      <c r="O267">
        <v>1</v>
      </c>
      <c r="P267" t="str">
        <f>+BARRAS[[#This Row],[Barra]]&amp;"_"&amp;BARRAS[[#This Row],[Nivel de tensión]]</f>
        <v>MOLYCOP_220</v>
      </c>
    </row>
    <row r="268" spans="1:16">
      <c r="A268" t="s">
        <v>3920</v>
      </c>
      <c r="B268">
        <v>220</v>
      </c>
      <c r="C268">
        <v>4219</v>
      </c>
      <c r="D268" t="s">
        <v>3397</v>
      </c>
      <c r="E268" t="s">
        <v>3419</v>
      </c>
      <c r="F268" t="s">
        <v>3921</v>
      </c>
      <c r="G268">
        <v>2101</v>
      </c>
      <c r="H268" t="s">
        <v>3405</v>
      </c>
      <c r="I268" t="s">
        <v>3391</v>
      </c>
      <c r="J268" t="s">
        <v>3922</v>
      </c>
      <c r="K268" t="s">
        <v>6315</v>
      </c>
      <c r="L268" t="s">
        <v>6778</v>
      </c>
      <c r="M268" t="s">
        <v>6779</v>
      </c>
      <c r="N268" t="s">
        <v>6792</v>
      </c>
      <c r="O268">
        <v>1</v>
      </c>
      <c r="P268" t="str">
        <f>+BARRAS[[#This Row],[Barra]]&amp;"_"&amp;BARRAS[[#This Row],[Nivel de tensión]]</f>
        <v>MONTE_MINA1_220</v>
      </c>
    </row>
    <row r="269" spans="1:16">
      <c r="A269" t="s">
        <v>3923</v>
      </c>
      <c r="B269">
        <v>110</v>
      </c>
      <c r="C269">
        <v>1</v>
      </c>
      <c r="D269" t="s">
        <v>3397</v>
      </c>
      <c r="E269" t="s">
        <v>3924</v>
      </c>
      <c r="F269" t="s">
        <v>3925</v>
      </c>
      <c r="G269">
        <v>1101</v>
      </c>
      <c r="H269" t="s">
        <v>3405</v>
      </c>
      <c r="I269" t="s">
        <v>3391</v>
      </c>
      <c r="J269" t="s">
        <v>3926</v>
      </c>
      <c r="K269" t="s">
        <v>6315</v>
      </c>
      <c r="L269" t="s">
        <v>6778</v>
      </c>
      <c r="M269" t="s">
        <v>6779</v>
      </c>
      <c r="N269" t="s">
        <v>6792</v>
      </c>
      <c r="O269">
        <v>1</v>
      </c>
      <c r="P269" t="str">
        <f>+BARRAS[[#This Row],[Barra]]&amp;"_"&amp;BARRAS[[#This Row],[Nivel de tensión]]</f>
        <v>MONTE_MINA2_110</v>
      </c>
    </row>
    <row r="270" spans="1:16">
      <c r="A270" t="s">
        <v>871</v>
      </c>
      <c r="B270">
        <v>13</v>
      </c>
      <c r="C270">
        <v>1</v>
      </c>
      <c r="D270" t="s">
        <v>3397</v>
      </c>
      <c r="E270" t="s">
        <v>3419</v>
      </c>
      <c r="F270" t="s">
        <v>3927</v>
      </c>
      <c r="G270">
        <v>16108</v>
      </c>
      <c r="H270" t="s">
        <v>3414</v>
      </c>
      <c r="I270" t="s">
        <v>3391</v>
      </c>
      <c r="J270" t="s">
        <v>3928</v>
      </c>
      <c r="K270" t="s">
        <v>3304</v>
      </c>
      <c r="L270" t="s">
        <v>6778</v>
      </c>
      <c r="M270" t="s">
        <v>6779</v>
      </c>
      <c r="N270" t="s">
        <v>6792</v>
      </c>
      <c r="O270">
        <v>1</v>
      </c>
      <c r="P270" t="str">
        <f>+BARRAS[[#This Row],[Barra]]&amp;"_"&amp;BARRAS[[#This Row],[Nivel de tensión]]</f>
        <v>MONTENEGRO_13</v>
      </c>
    </row>
    <row r="271" spans="1:16">
      <c r="A271" t="s">
        <v>871</v>
      </c>
      <c r="B271">
        <v>66</v>
      </c>
      <c r="C271">
        <v>1</v>
      </c>
      <c r="D271" t="s">
        <v>3397</v>
      </c>
      <c r="E271" t="s">
        <v>3419</v>
      </c>
      <c r="F271" t="s">
        <v>3927</v>
      </c>
      <c r="G271">
        <v>16108</v>
      </c>
      <c r="H271" t="s">
        <v>3414</v>
      </c>
      <c r="I271" t="s">
        <v>3391</v>
      </c>
      <c r="J271" t="s">
        <v>3928</v>
      </c>
      <c r="K271" t="s">
        <v>3304</v>
      </c>
      <c r="L271" t="s">
        <v>6778</v>
      </c>
      <c r="M271" t="s">
        <v>6779</v>
      </c>
      <c r="N271" t="s">
        <v>6792</v>
      </c>
      <c r="O271">
        <v>1</v>
      </c>
      <c r="P271" t="str">
        <f>+BARRAS[[#This Row],[Barra]]&amp;"_"&amp;BARRAS[[#This Row],[Nivel de tensión]]</f>
        <v>MONTENEGRO_66</v>
      </c>
    </row>
    <row r="272" spans="1:16">
      <c r="A272" t="s">
        <v>871</v>
      </c>
      <c r="B272">
        <v>154</v>
      </c>
      <c r="C272">
        <v>1</v>
      </c>
      <c r="D272" t="s">
        <v>3397</v>
      </c>
      <c r="E272" t="s">
        <v>3419</v>
      </c>
      <c r="F272" t="s">
        <v>3927</v>
      </c>
      <c r="G272">
        <v>16108</v>
      </c>
      <c r="H272" t="s">
        <v>3414</v>
      </c>
      <c r="I272" t="s">
        <v>3391</v>
      </c>
      <c r="J272" t="s">
        <v>3928</v>
      </c>
      <c r="K272" t="s">
        <v>3304</v>
      </c>
      <c r="L272" t="s">
        <v>6778</v>
      </c>
      <c r="M272" t="s">
        <v>6779</v>
      </c>
      <c r="N272" t="s">
        <v>6792</v>
      </c>
      <c r="O272">
        <v>1</v>
      </c>
      <c r="P272" t="str">
        <f>+BARRAS[[#This Row],[Barra]]&amp;"_"&amp;BARRAS[[#This Row],[Nivel de tensión]]</f>
        <v>MONTENEGRO_154</v>
      </c>
    </row>
    <row r="273" spans="1:16">
      <c r="A273" t="s">
        <v>3929</v>
      </c>
      <c r="B273">
        <v>66</v>
      </c>
      <c r="C273">
        <v>1</v>
      </c>
      <c r="D273" t="s">
        <v>3397</v>
      </c>
      <c r="E273" t="s">
        <v>3930</v>
      </c>
      <c r="F273" t="s">
        <v>3420</v>
      </c>
      <c r="G273">
        <v>16301</v>
      </c>
      <c r="H273" t="s">
        <v>3414</v>
      </c>
      <c r="I273" t="s">
        <v>3391</v>
      </c>
      <c r="J273" t="s">
        <v>3392</v>
      </c>
      <c r="K273" t="s">
        <v>3304</v>
      </c>
      <c r="L273" t="s">
        <v>6778</v>
      </c>
      <c r="M273" t="s">
        <v>6779</v>
      </c>
      <c r="N273" t="s">
        <v>6792</v>
      </c>
      <c r="O273">
        <v>1</v>
      </c>
      <c r="P273" t="str">
        <f>+BARRAS[[#This Row],[Barra]]&amp;"_"&amp;BARRAS[[#This Row],[Nivel de tensión]]</f>
        <v>MONTERRICO_66</v>
      </c>
    </row>
    <row r="274" spans="1:16">
      <c r="A274" t="s">
        <v>4013</v>
      </c>
      <c r="B274">
        <v>66</v>
      </c>
      <c r="C274">
        <v>1157</v>
      </c>
      <c r="D274" t="s">
        <v>4014</v>
      </c>
      <c r="E274" t="s">
        <v>4015</v>
      </c>
      <c r="F274" t="s">
        <v>4016</v>
      </c>
      <c r="G274">
        <v>16301</v>
      </c>
      <c r="H274" t="s">
        <v>3414</v>
      </c>
      <c r="I274" t="s">
        <v>3391</v>
      </c>
      <c r="J274" t="s">
        <v>3392</v>
      </c>
      <c r="K274" t="s">
        <v>3304</v>
      </c>
      <c r="L274" t="s">
        <v>6778</v>
      </c>
      <c r="M274" t="s">
        <v>6779</v>
      </c>
      <c r="N274" t="s">
        <v>6792</v>
      </c>
      <c r="O274">
        <v>1</v>
      </c>
      <c r="P274" t="str">
        <f>+BARRAS[[#This Row],[Barra]]&amp;"_"&amp;BARRAS[[#This Row],[Nivel de tensión]]</f>
        <v>NIQUEN_66</v>
      </c>
    </row>
    <row r="275" spans="1:16">
      <c r="A275" t="s">
        <v>908</v>
      </c>
      <c r="B275">
        <v>23</v>
      </c>
      <c r="C275">
        <v>2484</v>
      </c>
      <c r="D275" t="s">
        <v>4017</v>
      </c>
      <c r="E275" t="s">
        <v>4018</v>
      </c>
      <c r="F275" t="s">
        <v>4019</v>
      </c>
      <c r="G275">
        <v>16301</v>
      </c>
      <c r="H275" t="s">
        <v>3414</v>
      </c>
      <c r="I275" t="s">
        <v>3391</v>
      </c>
      <c r="J275" t="s">
        <v>3392</v>
      </c>
      <c r="K275" t="s">
        <v>3304</v>
      </c>
      <c r="L275" t="s">
        <v>6778</v>
      </c>
      <c r="M275" t="s">
        <v>6779</v>
      </c>
      <c r="N275" t="s">
        <v>6792</v>
      </c>
      <c r="O275">
        <v>1</v>
      </c>
      <c r="P275" t="str">
        <f>+BARRAS[[#This Row],[Barra]]&amp;"_"&amp;BARRAS[[#This Row],[Nivel de tensión]]</f>
        <v>NIRIVILO_23</v>
      </c>
    </row>
    <row r="276" spans="1:16">
      <c r="A276" t="s">
        <v>908</v>
      </c>
      <c r="B276">
        <v>66</v>
      </c>
      <c r="C276">
        <v>1</v>
      </c>
      <c r="D276" t="s">
        <v>3397</v>
      </c>
      <c r="E276" t="s">
        <v>4020</v>
      </c>
      <c r="F276" t="s">
        <v>3420</v>
      </c>
      <c r="G276">
        <v>16301</v>
      </c>
      <c r="H276" t="s">
        <v>3414</v>
      </c>
      <c r="I276" t="s">
        <v>3391</v>
      </c>
      <c r="J276" t="s">
        <v>3392</v>
      </c>
      <c r="K276" t="s">
        <v>3304</v>
      </c>
      <c r="L276" t="s">
        <v>6778</v>
      </c>
      <c r="M276" t="s">
        <v>6779</v>
      </c>
      <c r="N276" t="s">
        <v>6792</v>
      </c>
      <c r="O276">
        <v>1</v>
      </c>
      <c r="P276" t="str">
        <f>+BARRAS[[#This Row],[Barra]]&amp;"_"&amp;BARRAS[[#This Row],[Nivel de tensión]]</f>
        <v>NIRIVILO_66</v>
      </c>
    </row>
    <row r="277" spans="1:16">
      <c r="A277" t="s">
        <v>911</v>
      </c>
      <c r="B277">
        <v>220</v>
      </c>
      <c r="C277">
        <v>1</v>
      </c>
      <c r="D277" t="s">
        <v>3397</v>
      </c>
      <c r="E277" t="s">
        <v>4021</v>
      </c>
      <c r="F277" t="s">
        <v>3420</v>
      </c>
      <c r="G277">
        <v>16301</v>
      </c>
      <c r="H277" t="s">
        <v>3701</v>
      </c>
      <c r="I277" t="s">
        <v>3391</v>
      </c>
      <c r="J277" t="s">
        <v>3392</v>
      </c>
      <c r="K277" t="s">
        <v>6315</v>
      </c>
      <c r="L277" t="s">
        <v>6778</v>
      </c>
      <c r="M277" t="s">
        <v>6779</v>
      </c>
      <c r="N277" t="s">
        <v>6792</v>
      </c>
      <c r="O277">
        <v>1</v>
      </c>
      <c r="P277" t="str">
        <f>+BARRAS[[#This Row],[Barra]]&amp;"_"&amp;BARRAS[[#This Row],[Nivel de tensión]]</f>
        <v>NOGALES_220</v>
      </c>
    </row>
    <row r="278" spans="1:16">
      <c r="A278" t="s">
        <v>4022</v>
      </c>
      <c r="B278">
        <v>220</v>
      </c>
      <c r="C278">
        <v>1</v>
      </c>
      <c r="D278" t="s">
        <v>3397</v>
      </c>
      <c r="E278" t="s">
        <v>4023</v>
      </c>
      <c r="F278" t="s">
        <v>3420</v>
      </c>
      <c r="G278">
        <v>16301</v>
      </c>
      <c r="H278" t="s">
        <v>3405</v>
      </c>
      <c r="I278" t="s">
        <v>3391</v>
      </c>
      <c r="J278" t="s">
        <v>3392</v>
      </c>
      <c r="K278" t="s">
        <v>6315</v>
      </c>
      <c r="L278" t="s">
        <v>6778</v>
      </c>
      <c r="M278" t="s">
        <v>6779</v>
      </c>
      <c r="N278" t="s">
        <v>6792</v>
      </c>
      <c r="O278">
        <v>1</v>
      </c>
      <c r="P278" t="str">
        <f>+BARRAS[[#This Row],[Barra]]&amp;"_"&amp;BARRAS[[#This Row],[Nivel de tensión]]</f>
        <v>NORGENER_220</v>
      </c>
    </row>
    <row r="279" spans="1:16">
      <c r="A279" t="s">
        <v>914</v>
      </c>
      <c r="B279">
        <v>13</v>
      </c>
      <c r="C279">
        <v>3241</v>
      </c>
      <c r="D279" t="s">
        <v>3397</v>
      </c>
      <c r="E279" t="s">
        <v>4024</v>
      </c>
      <c r="F279" t="s">
        <v>4025</v>
      </c>
      <c r="G279">
        <v>16301</v>
      </c>
      <c r="H279" t="s">
        <v>3418</v>
      </c>
      <c r="I279" t="s">
        <v>3391</v>
      </c>
      <c r="J279" t="s">
        <v>3392</v>
      </c>
      <c r="K279" t="s">
        <v>3302</v>
      </c>
      <c r="L279" t="s">
        <v>6778</v>
      </c>
      <c r="M279" t="s">
        <v>6779</v>
      </c>
      <c r="N279" t="s">
        <v>6792</v>
      </c>
      <c r="O279">
        <v>1</v>
      </c>
      <c r="P279" t="str">
        <f>+BARRAS[[#This Row],[Barra]]&amp;"_"&amp;BARRAS[[#This Row],[Nivel de tensión]]</f>
        <v>NPANQUEHUE_13</v>
      </c>
    </row>
    <row r="280" spans="1:16">
      <c r="A280" t="s">
        <v>914</v>
      </c>
      <c r="B280">
        <v>110</v>
      </c>
      <c r="C280">
        <v>1</v>
      </c>
      <c r="D280" t="s">
        <v>3397</v>
      </c>
      <c r="E280" t="s">
        <v>4026</v>
      </c>
      <c r="F280" t="s">
        <v>3420</v>
      </c>
      <c r="G280">
        <v>16301</v>
      </c>
      <c r="H280" t="s">
        <v>3418</v>
      </c>
      <c r="I280" t="s">
        <v>3391</v>
      </c>
      <c r="J280" t="s">
        <v>3392</v>
      </c>
      <c r="K280" t="s">
        <v>3302</v>
      </c>
      <c r="L280" t="s">
        <v>6778</v>
      </c>
      <c r="M280" t="s">
        <v>6779</v>
      </c>
      <c r="N280" t="s">
        <v>6792</v>
      </c>
      <c r="O280">
        <v>1</v>
      </c>
      <c r="P280" t="str">
        <f>+BARRAS[[#This Row],[Barra]]&amp;"_"&amp;BARRAS[[#This Row],[Nivel de tensión]]</f>
        <v>NPANQUEHUE_110</v>
      </c>
    </row>
    <row r="281" spans="1:16">
      <c r="A281" t="s">
        <v>4027</v>
      </c>
      <c r="B281">
        <v>220</v>
      </c>
      <c r="C281">
        <v>1</v>
      </c>
      <c r="D281" t="s">
        <v>3397</v>
      </c>
      <c r="E281" t="s">
        <v>4028</v>
      </c>
      <c r="F281" t="s">
        <v>3420</v>
      </c>
      <c r="G281">
        <v>16301</v>
      </c>
      <c r="H281" t="s">
        <v>3701</v>
      </c>
      <c r="I281" t="s">
        <v>3391</v>
      </c>
      <c r="J281" t="s">
        <v>3392</v>
      </c>
      <c r="K281" t="s">
        <v>6315</v>
      </c>
      <c r="L281" t="s">
        <v>6778</v>
      </c>
      <c r="M281" t="s">
        <v>6779</v>
      </c>
      <c r="N281" t="s">
        <v>6792</v>
      </c>
      <c r="O281">
        <v>1</v>
      </c>
      <c r="P281" t="str">
        <f>+BARRAS[[#This Row],[Barra]]&amp;"_"&amp;BARRAS[[#This Row],[Nivel de tensión]]</f>
        <v>NUEVA_CHUQUI_220</v>
      </c>
    </row>
    <row r="282" spans="1:16">
      <c r="A282" t="s">
        <v>4029</v>
      </c>
      <c r="B282">
        <v>66</v>
      </c>
      <c r="C282">
        <v>1</v>
      </c>
      <c r="D282" t="s">
        <v>3397</v>
      </c>
      <c r="E282" t="s">
        <v>3419</v>
      </c>
      <c r="F282" t="s">
        <v>3420</v>
      </c>
      <c r="G282">
        <v>16301</v>
      </c>
      <c r="H282" t="s">
        <v>3414</v>
      </c>
      <c r="I282" t="s">
        <v>3391</v>
      </c>
      <c r="J282" t="s">
        <v>3392</v>
      </c>
      <c r="K282" t="s">
        <v>3304</v>
      </c>
      <c r="L282" t="s">
        <v>6778</v>
      </c>
      <c r="M282" t="s">
        <v>6779</v>
      </c>
      <c r="N282" t="s">
        <v>6792</v>
      </c>
      <c r="O282">
        <v>1</v>
      </c>
      <c r="P282" t="str">
        <f>+BARRAS[[#This Row],[Barra]]&amp;"_"&amp;BARRAS[[#This Row],[Nivel de tensión]]</f>
        <v>NUEVA_GUINDO_66</v>
      </c>
    </row>
    <row r="283" spans="1:16">
      <c r="A283" t="s">
        <v>4029</v>
      </c>
      <c r="B283">
        <v>220</v>
      </c>
      <c r="C283">
        <v>1</v>
      </c>
      <c r="D283" t="s">
        <v>3397</v>
      </c>
      <c r="E283" t="s">
        <v>3419</v>
      </c>
      <c r="F283" t="s">
        <v>3420</v>
      </c>
      <c r="G283">
        <v>16301</v>
      </c>
      <c r="H283" t="s">
        <v>3701</v>
      </c>
      <c r="I283" t="s">
        <v>3391</v>
      </c>
      <c r="J283" t="s">
        <v>3392</v>
      </c>
      <c r="K283" t="s">
        <v>6315</v>
      </c>
      <c r="L283" t="s">
        <v>6778</v>
      </c>
      <c r="M283" t="s">
        <v>6779</v>
      </c>
      <c r="N283" t="s">
        <v>6792</v>
      </c>
      <c r="O283">
        <v>1</v>
      </c>
      <c r="P283" t="str">
        <f>+BARRAS[[#This Row],[Barra]]&amp;"_"&amp;BARRAS[[#This Row],[Nivel de tensión]]</f>
        <v>NUEVA_GUINDO_220</v>
      </c>
    </row>
    <row r="284" spans="1:16">
      <c r="A284" t="s">
        <v>4030</v>
      </c>
      <c r="B284">
        <v>220</v>
      </c>
      <c r="C284">
        <v>1</v>
      </c>
      <c r="D284" t="s">
        <v>3397</v>
      </c>
      <c r="E284" t="s">
        <v>4031</v>
      </c>
      <c r="F284" t="s">
        <v>3420</v>
      </c>
      <c r="G284">
        <v>16301</v>
      </c>
      <c r="H284" t="s">
        <v>3409</v>
      </c>
      <c r="I284" t="s">
        <v>3391</v>
      </c>
      <c r="J284" t="s">
        <v>3392</v>
      </c>
      <c r="K284" t="s">
        <v>6315</v>
      </c>
      <c r="L284" t="s">
        <v>6778</v>
      </c>
      <c r="M284" t="s">
        <v>6779</v>
      </c>
      <c r="N284" t="s">
        <v>6792</v>
      </c>
      <c r="O284">
        <v>1</v>
      </c>
      <c r="P284" t="str">
        <f>+BARRAS[[#This Row],[Barra]]&amp;"_"&amp;BARRAS[[#This Row],[Nivel de tensión]]</f>
        <v>NVA_ANCUD_220</v>
      </c>
    </row>
    <row r="285" spans="1:16">
      <c r="A285" t="s">
        <v>4032</v>
      </c>
      <c r="B285">
        <v>220</v>
      </c>
      <c r="C285">
        <v>1</v>
      </c>
      <c r="D285" t="s">
        <v>3397</v>
      </c>
      <c r="E285" t="s">
        <v>4033</v>
      </c>
      <c r="F285" t="s">
        <v>3420</v>
      </c>
      <c r="G285">
        <v>16301</v>
      </c>
      <c r="H285" t="s">
        <v>3409</v>
      </c>
      <c r="I285" t="s">
        <v>3391</v>
      </c>
      <c r="J285" t="s">
        <v>3392</v>
      </c>
      <c r="K285" t="s">
        <v>6315</v>
      </c>
      <c r="L285" t="s">
        <v>6778</v>
      </c>
      <c r="M285" t="s">
        <v>6779</v>
      </c>
      <c r="N285" t="s">
        <v>6792</v>
      </c>
      <c r="O285">
        <v>1</v>
      </c>
      <c r="P285" t="str">
        <f>+BARRAS[[#This Row],[Barra]]&amp;"_"&amp;BARRAS[[#This Row],[Nivel de tensión]]</f>
        <v>NVA_P.MONTT_220</v>
      </c>
    </row>
    <row r="286" spans="1:16">
      <c r="A286" t="s">
        <v>4034</v>
      </c>
      <c r="B286">
        <v>220</v>
      </c>
      <c r="C286">
        <v>1</v>
      </c>
      <c r="D286" t="s">
        <v>3397</v>
      </c>
      <c r="E286" t="s">
        <v>3419</v>
      </c>
      <c r="F286" t="s">
        <v>3420</v>
      </c>
      <c r="G286">
        <v>16301</v>
      </c>
      <c r="H286" t="s">
        <v>3405</v>
      </c>
      <c r="I286" t="s">
        <v>3391</v>
      </c>
      <c r="J286" t="s">
        <v>3392</v>
      </c>
      <c r="K286" t="s">
        <v>6315</v>
      </c>
      <c r="L286" t="s">
        <v>6778</v>
      </c>
      <c r="M286" t="s">
        <v>6779</v>
      </c>
      <c r="N286" t="s">
        <v>6792</v>
      </c>
      <c r="O286">
        <v>1</v>
      </c>
      <c r="P286" t="str">
        <f>+BARRAS[[#This Row],[Barra]]&amp;"_"&amp;BARRAS[[#This Row],[Nivel de tensión]]</f>
        <v>OASIS_220</v>
      </c>
    </row>
    <row r="287" spans="1:16">
      <c r="A287" t="s">
        <v>4035</v>
      </c>
      <c r="B287">
        <v>12</v>
      </c>
      <c r="C287">
        <v>855</v>
      </c>
      <c r="D287" t="s">
        <v>4036</v>
      </c>
      <c r="E287" t="s">
        <v>4037</v>
      </c>
      <c r="F287" t="s">
        <v>4038</v>
      </c>
      <c r="G287">
        <v>16301</v>
      </c>
      <c r="H287" t="s">
        <v>3469</v>
      </c>
      <c r="I287" t="s">
        <v>3391</v>
      </c>
      <c r="J287" t="s">
        <v>3392</v>
      </c>
      <c r="K287" t="s">
        <v>3303</v>
      </c>
      <c r="L287" t="s">
        <v>6778</v>
      </c>
      <c r="M287" t="s">
        <v>6779</v>
      </c>
      <c r="N287" t="s">
        <v>6792</v>
      </c>
      <c r="O287">
        <v>1</v>
      </c>
      <c r="P287" t="str">
        <f>+BARRAS[[#This Row],[Barra]]&amp;"_"&amp;BARRAS[[#This Row],[Nivel de tensión]]</f>
        <v>OCHAGAVIA_12</v>
      </c>
    </row>
    <row r="288" spans="1:16">
      <c r="A288" t="s">
        <v>4035</v>
      </c>
      <c r="B288">
        <v>110</v>
      </c>
      <c r="C288">
        <v>851</v>
      </c>
      <c r="D288" t="s">
        <v>4039</v>
      </c>
      <c r="E288" t="s">
        <v>4040</v>
      </c>
      <c r="F288" t="s">
        <v>4038</v>
      </c>
      <c r="G288">
        <v>16301</v>
      </c>
      <c r="H288" t="s">
        <v>3469</v>
      </c>
      <c r="I288" t="s">
        <v>3391</v>
      </c>
      <c r="J288" t="s">
        <v>3392</v>
      </c>
      <c r="K288" t="s">
        <v>3303</v>
      </c>
      <c r="L288" t="s">
        <v>6778</v>
      </c>
      <c r="M288" t="s">
        <v>6779</v>
      </c>
      <c r="N288" t="s">
        <v>6792</v>
      </c>
      <c r="O288">
        <v>1</v>
      </c>
      <c r="P288" t="str">
        <f>+BARRAS[[#This Row],[Barra]]&amp;"_"&amp;BARRAS[[#This Row],[Nivel de tensión]]</f>
        <v>OCHAGAVIA_110</v>
      </c>
    </row>
    <row r="289" spans="1:16">
      <c r="A289" t="s">
        <v>3481</v>
      </c>
      <c r="B289">
        <v>220</v>
      </c>
      <c r="C289">
        <v>2357</v>
      </c>
      <c r="D289" t="s">
        <v>3482</v>
      </c>
      <c r="E289" t="s">
        <v>3483</v>
      </c>
      <c r="F289" t="s">
        <v>3484</v>
      </c>
      <c r="G289">
        <v>16301</v>
      </c>
      <c r="H289" t="s">
        <v>3405</v>
      </c>
      <c r="I289" t="s">
        <v>3391</v>
      </c>
      <c r="J289" t="s">
        <v>3392</v>
      </c>
      <c r="K289" t="s">
        <v>6315</v>
      </c>
      <c r="L289" t="s">
        <v>6778</v>
      </c>
      <c r="M289" t="s">
        <v>6779</v>
      </c>
      <c r="N289" t="s">
        <v>6792</v>
      </c>
      <c r="O289">
        <v>1</v>
      </c>
      <c r="P289" t="str">
        <f>+BARRAS[[#This Row],[Barra]]&amp;"_"&amp;BARRAS[[#This Row],[Nivel de tensión]]</f>
        <v>OESTE_220</v>
      </c>
    </row>
    <row r="290" spans="1:16">
      <c r="A290" t="s">
        <v>4041</v>
      </c>
      <c r="B290">
        <v>220</v>
      </c>
      <c r="C290">
        <v>2215</v>
      </c>
      <c r="D290" t="s">
        <v>3402</v>
      </c>
      <c r="E290" t="s">
        <v>3568</v>
      </c>
      <c r="F290" t="s">
        <v>3569</v>
      </c>
      <c r="G290">
        <v>16301</v>
      </c>
      <c r="H290" t="s">
        <v>3405</v>
      </c>
      <c r="I290" t="s">
        <v>3391</v>
      </c>
      <c r="J290" t="s">
        <v>3392</v>
      </c>
      <c r="K290" t="s">
        <v>6315</v>
      </c>
      <c r="L290" t="s">
        <v>6778</v>
      </c>
      <c r="M290" t="s">
        <v>6779</v>
      </c>
      <c r="N290" t="s">
        <v>6792</v>
      </c>
      <c r="O290">
        <v>1</v>
      </c>
      <c r="P290" t="str">
        <f>+BARRAS[[#This Row],[Barra]]&amp;"_"&amp;BARRAS[[#This Row],[Nivel de tensión]]</f>
        <v>OGP1_220</v>
      </c>
    </row>
    <row r="291" spans="1:16">
      <c r="A291" t="s">
        <v>925</v>
      </c>
      <c r="B291">
        <v>220</v>
      </c>
      <c r="C291">
        <v>2211</v>
      </c>
      <c r="D291" t="s">
        <v>4042</v>
      </c>
      <c r="E291" t="s">
        <v>4043</v>
      </c>
      <c r="F291" t="s">
        <v>4044</v>
      </c>
      <c r="G291">
        <v>16301</v>
      </c>
      <c r="H291" t="s">
        <v>3405</v>
      </c>
      <c r="I291" t="s">
        <v>3391</v>
      </c>
      <c r="J291" t="s">
        <v>3392</v>
      </c>
      <c r="K291" t="s">
        <v>6315</v>
      </c>
      <c r="L291" t="s">
        <v>6778</v>
      </c>
      <c r="M291" t="s">
        <v>6779</v>
      </c>
      <c r="N291" t="s">
        <v>6792</v>
      </c>
      <c r="O291">
        <v>1</v>
      </c>
      <c r="P291" t="str">
        <f>+BARRAS[[#This Row],[Barra]]&amp;"_"&amp;BARRAS[[#This Row],[Nivel de tensión]]</f>
        <v>OHIGGINS_220</v>
      </c>
    </row>
    <row r="292" spans="1:16">
      <c r="A292" t="s">
        <v>4045</v>
      </c>
      <c r="B292">
        <v>13</v>
      </c>
      <c r="C292">
        <v>433</v>
      </c>
      <c r="D292" t="s">
        <v>4046</v>
      </c>
      <c r="E292" t="s">
        <v>4047</v>
      </c>
      <c r="F292" t="s">
        <v>4048</v>
      </c>
      <c r="G292">
        <v>16301</v>
      </c>
      <c r="H292" t="s">
        <v>3390</v>
      </c>
      <c r="I292" t="s">
        <v>3391</v>
      </c>
      <c r="J292" t="s">
        <v>3392</v>
      </c>
      <c r="K292" t="s">
        <v>3305</v>
      </c>
      <c r="L292" t="s">
        <v>6778</v>
      </c>
      <c r="M292" t="s">
        <v>6779</v>
      </c>
      <c r="N292" t="s">
        <v>6792</v>
      </c>
      <c r="O292">
        <v>1</v>
      </c>
      <c r="P292" t="str">
        <f>+BARRAS[[#This Row],[Barra]]&amp;"_"&amp;BARRAS[[#This Row],[Nivel de tensión]]</f>
        <v>OSORNO_13</v>
      </c>
    </row>
    <row r="293" spans="1:16">
      <c r="A293" t="s">
        <v>4045</v>
      </c>
      <c r="B293">
        <v>66</v>
      </c>
      <c r="C293">
        <v>1</v>
      </c>
      <c r="D293" t="s">
        <v>3397</v>
      </c>
      <c r="E293" t="s">
        <v>4049</v>
      </c>
      <c r="F293" t="s">
        <v>3420</v>
      </c>
      <c r="G293">
        <v>16301</v>
      </c>
      <c r="H293" t="s">
        <v>3396</v>
      </c>
      <c r="I293" t="s">
        <v>3391</v>
      </c>
      <c r="J293" t="s">
        <v>3392</v>
      </c>
      <c r="K293" t="s">
        <v>6315</v>
      </c>
      <c r="L293" t="s">
        <v>6778</v>
      </c>
      <c r="M293" t="s">
        <v>6779</v>
      </c>
      <c r="N293" t="s">
        <v>6792</v>
      </c>
      <c r="O293">
        <v>1</v>
      </c>
      <c r="P293" t="str">
        <f>+BARRAS[[#This Row],[Barra]]&amp;"_"&amp;BARRAS[[#This Row],[Nivel de tensión]]</f>
        <v>OSORNO_66</v>
      </c>
    </row>
    <row r="294" spans="1:16">
      <c r="A294" t="s">
        <v>929</v>
      </c>
      <c r="B294">
        <v>23</v>
      </c>
      <c r="C294">
        <v>351</v>
      </c>
      <c r="D294" t="s">
        <v>4050</v>
      </c>
      <c r="E294" t="s">
        <v>4051</v>
      </c>
      <c r="F294" t="s">
        <v>4052</v>
      </c>
      <c r="G294">
        <v>16301</v>
      </c>
      <c r="H294" t="s">
        <v>3400</v>
      </c>
      <c r="I294" t="s">
        <v>3391</v>
      </c>
      <c r="J294" t="s">
        <v>3392</v>
      </c>
      <c r="K294" t="s">
        <v>3301</v>
      </c>
      <c r="L294" t="s">
        <v>6778</v>
      </c>
      <c r="M294" t="s">
        <v>6779</v>
      </c>
      <c r="N294" t="s">
        <v>6792</v>
      </c>
      <c r="O294">
        <v>1</v>
      </c>
      <c r="P294" t="str">
        <f>+BARRAS[[#This Row],[Barra]]&amp;"_"&amp;BARRAS[[#This Row],[Nivel de tensión]]</f>
        <v>OVALLE_23</v>
      </c>
    </row>
    <row r="295" spans="1:16">
      <c r="A295" t="s">
        <v>929</v>
      </c>
      <c r="B295">
        <v>66</v>
      </c>
      <c r="C295">
        <v>1</v>
      </c>
      <c r="D295" t="s">
        <v>3397</v>
      </c>
      <c r="E295" t="s">
        <v>4053</v>
      </c>
      <c r="F295" t="s">
        <v>3420</v>
      </c>
      <c r="G295">
        <v>16301</v>
      </c>
      <c r="H295" t="s">
        <v>3400</v>
      </c>
      <c r="I295" t="s">
        <v>3391</v>
      </c>
      <c r="J295" t="s">
        <v>3392</v>
      </c>
      <c r="K295" t="s">
        <v>3301</v>
      </c>
      <c r="L295" t="s">
        <v>6778</v>
      </c>
      <c r="M295" t="s">
        <v>6779</v>
      </c>
      <c r="N295" t="s">
        <v>6792</v>
      </c>
      <c r="O295">
        <v>1</v>
      </c>
      <c r="P295" t="str">
        <f>+BARRAS[[#This Row],[Barra]]&amp;"_"&amp;BARRAS[[#This Row],[Nivel de tensión]]</f>
        <v>OVALLE_66</v>
      </c>
    </row>
    <row r="296" spans="1:16">
      <c r="A296" t="s">
        <v>929</v>
      </c>
      <c r="B296">
        <v>110</v>
      </c>
      <c r="C296">
        <v>1</v>
      </c>
      <c r="D296" t="s">
        <v>3397</v>
      </c>
      <c r="E296" t="s">
        <v>4054</v>
      </c>
      <c r="F296" t="s">
        <v>3420</v>
      </c>
      <c r="G296">
        <v>16301</v>
      </c>
      <c r="H296" t="s">
        <v>3405</v>
      </c>
      <c r="I296" t="s">
        <v>3391</v>
      </c>
      <c r="J296" t="s">
        <v>3392</v>
      </c>
      <c r="K296" t="s">
        <v>6315</v>
      </c>
      <c r="L296" t="s">
        <v>6778</v>
      </c>
      <c r="M296" t="s">
        <v>6779</v>
      </c>
      <c r="N296" t="s">
        <v>6792</v>
      </c>
      <c r="O296">
        <v>1</v>
      </c>
      <c r="P296" t="str">
        <f>+BARRAS[[#This Row],[Barra]]&amp;"_"&amp;BARRAS[[#This Row],[Nivel de tensión]]</f>
        <v>OVALLE_110</v>
      </c>
    </row>
    <row r="297" spans="1:16">
      <c r="A297" t="s">
        <v>4055</v>
      </c>
      <c r="B297">
        <v>110</v>
      </c>
      <c r="C297">
        <v>1822</v>
      </c>
      <c r="D297" t="s">
        <v>4056</v>
      </c>
      <c r="E297" t="s">
        <v>4057</v>
      </c>
      <c r="F297" t="s">
        <v>3484</v>
      </c>
      <c r="G297">
        <v>16301</v>
      </c>
      <c r="H297" t="s">
        <v>3396</v>
      </c>
      <c r="I297" t="s">
        <v>3391</v>
      </c>
      <c r="J297" t="s">
        <v>3392</v>
      </c>
      <c r="K297" t="s">
        <v>6315</v>
      </c>
      <c r="L297" t="s">
        <v>6778</v>
      </c>
      <c r="M297" t="s">
        <v>6779</v>
      </c>
      <c r="N297" t="s">
        <v>6792</v>
      </c>
      <c r="O297">
        <v>1</v>
      </c>
      <c r="P297" t="str">
        <f>+BARRAS[[#This Row],[Barra]]&amp;"_"&amp;BARRAS[[#This Row],[Nivel de tensión]]</f>
        <v>OXIDOS_110</v>
      </c>
    </row>
    <row r="298" spans="1:16">
      <c r="A298" t="s">
        <v>4058</v>
      </c>
      <c r="B298">
        <v>154</v>
      </c>
      <c r="C298">
        <v>1137</v>
      </c>
      <c r="D298" t="s">
        <v>4059</v>
      </c>
      <c r="E298" t="s">
        <v>4060</v>
      </c>
      <c r="F298" t="s">
        <v>4061</v>
      </c>
      <c r="G298">
        <v>16301</v>
      </c>
      <c r="H298" t="s">
        <v>3405</v>
      </c>
      <c r="I298" t="s">
        <v>3391</v>
      </c>
      <c r="J298" t="s">
        <v>3392</v>
      </c>
      <c r="K298" t="s">
        <v>6315</v>
      </c>
      <c r="L298" t="s">
        <v>6778</v>
      </c>
      <c r="M298" t="s">
        <v>6779</v>
      </c>
      <c r="N298" t="s">
        <v>6792</v>
      </c>
      <c r="O298">
        <v>1</v>
      </c>
      <c r="P298" t="str">
        <f>+BARRAS[[#This Row],[Barra]]&amp;"_"&amp;BARRAS[[#This Row],[Nivel de tensión]]</f>
        <v>OXY_154</v>
      </c>
    </row>
    <row r="299" spans="1:16">
      <c r="A299" t="s">
        <v>4111</v>
      </c>
      <c r="B299">
        <v>13</v>
      </c>
      <c r="C299">
        <v>2229</v>
      </c>
      <c r="D299" t="s">
        <v>4112</v>
      </c>
      <c r="E299" t="s">
        <v>4113</v>
      </c>
      <c r="F299" t="s">
        <v>4114</v>
      </c>
      <c r="G299">
        <v>16301</v>
      </c>
      <c r="H299" t="s">
        <v>3443</v>
      </c>
      <c r="I299" t="s">
        <v>3391</v>
      </c>
      <c r="J299" t="s">
        <v>3392</v>
      </c>
      <c r="K299" t="s">
        <v>3300</v>
      </c>
      <c r="L299" t="s">
        <v>6778</v>
      </c>
      <c r="M299" t="s">
        <v>6779</v>
      </c>
      <c r="N299" t="s">
        <v>6792</v>
      </c>
      <c r="O299">
        <v>1</v>
      </c>
      <c r="P299" t="str">
        <f>+BARRAS[[#This Row],[Barra]]&amp;"_"&amp;BARRAS[[#This Row],[Nivel de tensión]]</f>
        <v>PACIFICO_13</v>
      </c>
    </row>
    <row r="300" spans="1:16">
      <c r="A300" t="s">
        <v>4111</v>
      </c>
      <c r="B300">
        <v>110</v>
      </c>
      <c r="C300">
        <v>2228</v>
      </c>
      <c r="D300" t="s">
        <v>4115</v>
      </c>
      <c r="E300" t="s">
        <v>4116</v>
      </c>
      <c r="F300" t="s">
        <v>4114</v>
      </c>
      <c r="G300">
        <v>16301</v>
      </c>
      <c r="H300" t="s">
        <v>3443</v>
      </c>
      <c r="I300" t="s">
        <v>3391</v>
      </c>
      <c r="J300" t="s">
        <v>3392</v>
      </c>
      <c r="K300" t="s">
        <v>3300</v>
      </c>
      <c r="L300" t="s">
        <v>6778</v>
      </c>
      <c r="M300" t="s">
        <v>6779</v>
      </c>
      <c r="N300" t="s">
        <v>6792</v>
      </c>
      <c r="O300">
        <v>1</v>
      </c>
      <c r="P300" t="str">
        <f>+BARRAS[[#This Row],[Barra]]&amp;"_"&amp;BARRAS[[#This Row],[Nivel de tensión]]</f>
        <v>PACIFICO_110</v>
      </c>
    </row>
    <row r="301" spans="1:16">
      <c r="A301" t="s">
        <v>4117</v>
      </c>
      <c r="B301">
        <v>13</v>
      </c>
      <c r="C301">
        <v>1094</v>
      </c>
      <c r="D301" t="s">
        <v>4118</v>
      </c>
      <c r="E301" t="s">
        <v>4119</v>
      </c>
      <c r="F301" t="s">
        <v>4120</v>
      </c>
      <c r="G301">
        <v>16301</v>
      </c>
      <c r="H301" t="s">
        <v>3390</v>
      </c>
      <c r="I301" t="s">
        <v>3391</v>
      </c>
      <c r="J301" t="s">
        <v>3392</v>
      </c>
      <c r="K301" t="s">
        <v>3305</v>
      </c>
      <c r="L301" t="s">
        <v>6778</v>
      </c>
      <c r="M301" t="s">
        <v>6779</v>
      </c>
      <c r="N301" t="s">
        <v>6792</v>
      </c>
      <c r="O301">
        <v>1</v>
      </c>
      <c r="P301" t="str">
        <f>+BARRAS[[#This Row],[Barra]]&amp;"_"&amp;BARRAS[[#This Row],[Nivel de tensión]]</f>
        <v>PAILLACO_13</v>
      </c>
    </row>
    <row r="302" spans="1:16">
      <c r="A302" t="s">
        <v>4117</v>
      </c>
      <c r="B302">
        <v>66</v>
      </c>
      <c r="C302">
        <v>1</v>
      </c>
      <c r="D302" t="s">
        <v>3397</v>
      </c>
      <c r="E302" t="s">
        <v>4121</v>
      </c>
      <c r="F302" t="s">
        <v>3420</v>
      </c>
      <c r="G302">
        <v>16301</v>
      </c>
      <c r="H302" t="s">
        <v>3390</v>
      </c>
      <c r="I302" t="s">
        <v>3391</v>
      </c>
      <c r="J302" t="s">
        <v>3392</v>
      </c>
      <c r="K302" t="s">
        <v>3305</v>
      </c>
      <c r="L302" t="s">
        <v>6778</v>
      </c>
      <c r="M302" t="s">
        <v>6779</v>
      </c>
      <c r="N302" t="s">
        <v>6792</v>
      </c>
      <c r="O302">
        <v>1</v>
      </c>
      <c r="P302" t="str">
        <f>+BARRAS[[#This Row],[Barra]]&amp;"_"&amp;BARRAS[[#This Row],[Nivel de tensión]]</f>
        <v>PAILLACO_66</v>
      </c>
    </row>
    <row r="303" spans="1:16">
      <c r="A303" t="s">
        <v>4122</v>
      </c>
      <c r="B303">
        <v>66</v>
      </c>
      <c r="C303">
        <v>1</v>
      </c>
      <c r="D303" t="s">
        <v>3397</v>
      </c>
      <c r="E303" t="s">
        <v>4123</v>
      </c>
      <c r="F303" t="s">
        <v>3420</v>
      </c>
      <c r="G303">
        <v>16301</v>
      </c>
      <c r="H303" t="s">
        <v>3414</v>
      </c>
      <c r="I303" t="s">
        <v>3391</v>
      </c>
      <c r="J303" t="s">
        <v>3392</v>
      </c>
      <c r="K303" t="s">
        <v>3304</v>
      </c>
      <c r="L303" t="s">
        <v>6778</v>
      </c>
      <c r="M303" t="s">
        <v>6779</v>
      </c>
      <c r="N303" t="s">
        <v>6792</v>
      </c>
      <c r="O303">
        <v>1</v>
      </c>
      <c r="P303" t="str">
        <f>+BARRAS[[#This Row],[Barra]]&amp;"_"&amp;BARRAS[[#This Row],[Nivel de tensión]]</f>
        <v>PAINE_66</v>
      </c>
    </row>
    <row r="304" spans="1:16">
      <c r="A304" t="s">
        <v>4122</v>
      </c>
      <c r="B304">
        <v>154</v>
      </c>
      <c r="C304">
        <v>1</v>
      </c>
      <c r="D304" t="s">
        <v>3397</v>
      </c>
      <c r="E304" t="s">
        <v>4124</v>
      </c>
      <c r="F304" t="s">
        <v>3420</v>
      </c>
      <c r="G304">
        <v>16301</v>
      </c>
      <c r="H304" t="s">
        <v>3414</v>
      </c>
      <c r="I304" t="s">
        <v>3391</v>
      </c>
      <c r="J304" t="s">
        <v>3392</v>
      </c>
      <c r="K304" t="s">
        <v>3304</v>
      </c>
      <c r="L304" t="s">
        <v>6778</v>
      </c>
      <c r="M304" t="s">
        <v>6779</v>
      </c>
      <c r="N304" t="s">
        <v>6792</v>
      </c>
      <c r="O304">
        <v>1</v>
      </c>
      <c r="P304" t="str">
        <f>+BARRAS[[#This Row],[Barra]]&amp;"_"&amp;BARRAS[[#This Row],[Nivel de tensión]]</f>
        <v>PAINE_154</v>
      </c>
    </row>
    <row r="305" spans="1:16">
      <c r="A305" t="s">
        <v>975</v>
      </c>
      <c r="B305">
        <v>13</v>
      </c>
      <c r="C305">
        <v>861</v>
      </c>
      <c r="D305" t="s">
        <v>4125</v>
      </c>
      <c r="E305" t="s">
        <v>4126</v>
      </c>
      <c r="F305" t="s">
        <v>4127</v>
      </c>
      <c r="G305">
        <v>16301</v>
      </c>
      <c r="H305" t="s">
        <v>3469</v>
      </c>
      <c r="I305" t="s">
        <v>3391</v>
      </c>
      <c r="J305" t="s">
        <v>3392</v>
      </c>
      <c r="K305" t="s">
        <v>3303</v>
      </c>
      <c r="L305" t="s">
        <v>6778</v>
      </c>
      <c r="M305" t="s">
        <v>6779</v>
      </c>
      <c r="N305" t="s">
        <v>6792</v>
      </c>
      <c r="O305">
        <v>1</v>
      </c>
      <c r="P305" t="str">
        <f>+BARRAS[[#This Row],[Barra]]&amp;"_"&amp;BARRAS[[#This Row],[Nivel de tensión]]</f>
        <v>PAJARITOS_13</v>
      </c>
    </row>
    <row r="306" spans="1:16">
      <c r="A306" t="s">
        <v>975</v>
      </c>
      <c r="B306">
        <v>23</v>
      </c>
      <c r="C306">
        <v>866</v>
      </c>
      <c r="D306" t="s">
        <v>4128</v>
      </c>
      <c r="E306" t="s">
        <v>4129</v>
      </c>
      <c r="F306" t="s">
        <v>4127</v>
      </c>
      <c r="G306">
        <v>16301</v>
      </c>
      <c r="H306" t="s">
        <v>3469</v>
      </c>
      <c r="I306" t="s">
        <v>3391</v>
      </c>
      <c r="J306" t="s">
        <v>3392</v>
      </c>
      <c r="K306" t="s">
        <v>3303</v>
      </c>
      <c r="L306" t="s">
        <v>6778</v>
      </c>
      <c r="M306" t="s">
        <v>6779</v>
      </c>
      <c r="N306" t="s">
        <v>6792</v>
      </c>
      <c r="O306">
        <v>1</v>
      </c>
      <c r="P306" t="str">
        <f>+BARRAS[[#This Row],[Barra]]&amp;"_"&amp;BARRAS[[#This Row],[Nivel de tensión]]</f>
        <v>PAJARITOS_23</v>
      </c>
    </row>
    <row r="307" spans="1:16">
      <c r="A307" t="s">
        <v>975</v>
      </c>
      <c r="B307">
        <v>110</v>
      </c>
      <c r="C307">
        <v>1</v>
      </c>
      <c r="D307" t="s">
        <v>3397</v>
      </c>
      <c r="E307" t="s">
        <v>4130</v>
      </c>
      <c r="F307" t="s">
        <v>3420</v>
      </c>
      <c r="G307">
        <v>16301</v>
      </c>
      <c r="H307" t="s">
        <v>3469</v>
      </c>
      <c r="I307" t="s">
        <v>3391</v>
      </c>
      <c r="J307" t="s">
        <v>3392</v>
      </c>
      <c r="K307" t="s">
        <v>3303</v>
      </c>
      <c r="L307" t="s">
        <v>6778</v>
      </c>
      <c r="M307" t="s">
        <v>6779</v>
      </c>
      <c r="N307" t="s">
        <v>6792</v>
      </c>
      <c r="O307">
        <v>1</v>
      </c>
      <c r="P307" t="str">
        <f>+BARRAS[[#This Row],[Barra]]&amp;"_"&amp;BARRAS[[#This Row],[Nivel de tensión]]</f>
        <v>PAJARITOS_110</v>
      </c>
    </row>
    <row r="308" spans="1:16">
      <c r="A308" t="s">
        <v>979</v>
      </c>
      <c r="B308">
        <v>23</v>
      </c>
      <c r="C308">
        <v>3029</v>
      </c>
      <c r="D308" t="s">
        <v>4131</v>
      </c>
      <c r="E308" t="s">
        <v>4132</v>
      </c>
      <c r="F308" t="s">
        <v>4133</v>
      </c>
      <c r="G308">
        <v>16301</v>
      </c>
      <c r="H308" t="s">
        <v>3405</v>
      </c>
      <c r="I308" t="s">
        <v>3391</v>
      </c>
      <c r="J308" t="s">
        <v>3392</v>
      </c>
      <c r="K308" t="s">
        <v>6315</v>
      </c>
      <c r="L308" t="s">
        <v>6778</v>
      </c>
      <c r="M308" t="s">
        <v>6779</v>
      </c>
      <c r="N308" t="s">
        <v>6792</v>
      </c>
      <c r="O308">
        <v>1</v>
      </c>
      <c r="P308" t="str">
        <f>+BARRAS[[#This Row],[Barra]]&amp;"_"&amp;BARRAS[[#This Row],[Nivel de tensión]]</f>
        <v>PAJONAL_23</v>
      </c>
    </row>
    <row r="309" spans="1:16">
      <c r="A309" t="s">
        <v>979</v>
      </c>
      <c r="B309">
        <v>110</v>
      </c>
      <c r="C309">
        <v>1</v>
      </c>
      <c r="D309" t="s">
        <v>3397</v>
      </c>
      <c r="E309" t="s">
        <v>4134</v>
      </c>
      <c r="F309" t="s">
        <v>3420</v>
      </c>
      <c r="G309">
        <v>16301</v>
      </c>
      <c r="H309" t="s">
        <v>3405</v>
      </c>
      <c r="I309" t="s">
        <v>3391</v>
      </c>
      <c r="J309" t="s">
        <v>3392</v>
      </c>
      <c r="K309" t="s">
        <v>6315</v>
      </c>
      <c r="L309" t="s">
        <v>6778</v>
      </c>
      <c r="M309" t="s">
        <v>6779</v>
      </c>
      <c r="N309" t="s">
        <v>6792</v>
      </c>
      <c r="O309">
        <v>1</v>
      </c>
      <c r="P309" t="str">
        <f>+BARRAS[[#This Row],[Barra]]&amp;"_"&amp;BARRAS[[#This Row],[Nivel de tensión]]</f>
        <v>PAJONAL_110</v>
      </c>
    </row>
    <row r="310" spans="1:16">
      <c r="A310" t="s">
        <v>981</v>
      </c>
      <c r="B310">
        <v>23</v>
      </c>
      <c r="C310">
        <v>3029</v>
      </c>
      <c r="D310" t="s">
        <v>4135</v>
      </c>
      <c r="E310" t="s">
        <v>4132</v>
      </c>
      <c r="F310" t="s">
        <v>4133</v>
      </c>
      <c r="G310">
        <v>3301</v>
      </c>
      <c r="H310" t="s">
        <v>3405</v>
      </c>
      <c r="I310" t="s">
        <v>3391</v>
      </c>
      <c r="J310" t="s">
        <v>3617</v>
      </c>
      <c r="K310" t="s">
        <v>6315</v>
      </c>
      <c r="L310" t="s">
        <v>6778</v>
      </c>
      <c r="M310" t="s">
        <v>6779</v>
      </c>
      <c r="N310" t="s">
        <v>6792</v>
      </c>
      <c r="O310">
        <v>1</v>
      </c>
      <c r="P310" t="str">
        <f>+BARRAS[[#This Row],[Barra]]&amp;"_"&amp;BARRAS[[#This Row],[Nivel de tensión]]</f>
        <v>PAJONALES_23</v>
      </c>
    </row>
    <row r="311" spans="1:16">
      <c r="A311" t="s">
        <v>981</v>
      </c>
      <c r="B311">
        <v>220</v>
      </c>
      <c r="C311">
        <v>1</v>
      </c>
      <c r="D311" t="s">
        <v>3397</v>
      </c>
      <c r="E311" t="s">
        <v>3419</v>
      </c>
      <c r="F311" t="s">
        <v>4133</v>
      </c>
      <c r="G311">
        <v>3301</v>
      </c>
      <c r="H311" t="s">
        <v>3405</v>
      </c>
      <c r="I311" t="s">
        <v>3391</v>
      </c>
      <c r="J311" t="s">
        <v>3617</v>
      </c>
      <c r="K311" t="s">
        <v>6315</v>
      </c>
      <c r="L311" t="s">
        <v>6778</v>
      </c>
      <c r="M311" t="s">
        <v>6779</v>
      </c>
      <c r="N311" t="s">
        <v>6792</v>
      </c>
      <c r="O311">
        <v>1</v>
      </c>
      <c r="P311" t="str">
        <f>+BARRAS[[#This Row],[Barra]]&amp;"_"&amp;BARRAS[[#This Row],[Nivel de tensión]]</f>
        <v>PAJONALES_220</v>
      </c>
    </row>
    <row r="312" spans="1:16">
      <c r="A312" t="s">
        <v>4136</v>
      </c>
      <c r="B312">
        <v>13</v>
      </c>
      <c r="C312">
        <v>2231</v>
      </c>
      <c r="D312" t="s">
        <v>4137</v>
      </c>
      <c r="E312" t="s">
        <v>4138</v>
      </c>
      <c r="F312" t="s">
        <v>4139</v>
      </c>
      <c r="G312">
        <v>16301</v>
      </c>
      <c r="H312" t="s">
        <v>3443</v>
      </c>
      <c r="I312" t="s">
        <v>3391</v>
      </c>
      <c r="J312" t="s">
        <v>3392</v>
      </c>
      <c r="K312" t="s">
        <v>3300</v>
      </c>
      <c r="L312" t="s">
        <v>6778</v>
      </c>
      <c r="M312" t="s">
        <v>6779</v>
      </c>
      <c r="N312" t="s">
        <v>6792</v>
      </c>
      <c r="O312">
        <v>1</v>
      </c>
      <c r="P312" t="str">
        <f>+BARRAS[[#This Row],[Barra]]&amp;"_"&amp;BARRAS[[#This Row],[Nivel de tensión]]</f>
        <v>PALAFITOS_13</v>
      </c>
    </row>
    <row r="313" spans="1:16">
      <c r="A313" t="s">
        <v>4136</v>
      </c>
      <c r="B313">
        <v>110</v>
      </c>
      <c r="C313">
        <v>2230</v>
      </c>
      <c r="D313" t="s">
        <v>4140</v>
      </c>
      <c r="E313" t="s">
        <v>4141</v>
      </c>
      <c r="F313" t="s">
        <v>4139</v>
      </c>
      <c r="G313">
        <v>16301</v>
      </c>
      <c r="H313" t="s">
        <v>3443</v>
      </c>
      <c r="I313" t="s">
        <v>3391</v>
      </c>
      <c r="J313" t="s">
        <v>3392</v>
      </c>
      <c r="K313" t="s">
        <v>3300</v>
      </c>
      <c r="L313" t="s">
        <v>6778</v>
      </c>
      <c r="M313" t="s">
        <v>6779</v>
      </c>
      <c r="N313" t="s">
        <v>6792</v>
      </c>
      <c r="O313">
        <v>1</v>
      </c>
      <c r="P313" t="str">
        <f>+BARRAS[[#This Row],[Barra]]&amp;"_"&amp;BARRAS[[#This Row],[Nivel de tensión]]</f>
        <v>PALAFITOS_110</v>
      </c>
    </row>
    <row r="314" spans="1:16">
      <c r="A314" t="s">
        <v>4142</v>
      </c>
      <c r="B314">
        <v>220</v>
      </c>
      <c r="C314">
        <v>2358</v>
      </c>
      <c r="D314" t="s">
        <v>3402</v>
      </c>
      <c r="E314" t="s">
        <v>4143</v>
      </c>
      <c r="F314" t="s">
        <v>3484</v>
      </c>
      <c r="G314">
        <v>16301</v>
      </c>
      <c r="H314" t="s">
        <v>3405</v>
      </c>
      <c r="I314" t="s">
        <v>3391</v>
      </c>
      <c r="J314" t="s">
        <v>3392</v>
      </c>
      <c r="K314" t="s">
        <v>6315</v>
      </c>
      <c r="L314" t="s">
        <v>6778</v>
      </c>
      <c r="M314" t="s">
        <v>6779</v>
      </c>
      <c r="N314" t="s">
        <v>6792</v>
      </c>
      <c r="O314">
        <v>1</v>
      </c>
      <c r="P314" t="str">
        <f>+BARRAS[[#This Row],[Barra]]&amp;"_"&amp;BARRAS[[#This Row],[Nivel de tensión]]</f>
        <v>PALESTINA_220</v>
      </c>
    </row>
    <row r="315" spans="1:16">
      <c r="A315" t="s">
        <v>4144</v>
      </c>
      <c r="B315">
        <v>220</v>
      </c>
      <c r="C315">
        <v>1</v>
      </c>
      <c r="D315" t="s">
        <v>3397</v>
      </c>
      <c r="E315" t="s">
        <v>4145</v>
      </c>
      <c r="F315" t="s">
        <v>3484</v>
      </c>
      <c r="G315">
        <v>16301</v>
      </c>
      <c r="H315" t="s">
        <v>3405</v>
      </c>
      <c r="I315" t="s">
        <v>3391</v>
      </c>
      <c r="J315" t="s">
        <v>3392</v>
      </c>
      <c r="K315" t="s">
        <v>6315</v>
      </c>
      <c r="L315" t="s">
        <v>6778</v>
      </c>
      <c r="M315" t="s">
        <v>6779</v>
      </c>
      <c r="N315" t="s">
        <v>6792</v>
      </c>
      <c r="O315">
        <v>1</v>
      </c>
      <c r="P315" t="str">
        <f>+BARRAS[[#This Row],[Barra]]&amp;"_"&amp;BARRAS[[#This Row],[Nivel de tensión]]</f>
        <v>PALLATA_220</v>
      </c>
    </row>
    <row r="316" spans="1:16">
      <c r="A316" t="s">
        <v>987</v>
      </c>
      <c r="B316">
        <v>110</v>
      </c>
      <c r="C316">
        <v>1</v>
      </c>
      <c r="D316" t="s">
        <v>3397</v>
      </c>
      <c r="E316" t="s">
        <v>3419</v>
      </c>
      <c r="F316" t="s">
        <v>3420</v>
      </c>
      <c r="G316">
        <v>16301</v>
      </c>
      <c r="H316" t="s">
        <v>3405</v>
      </c>
      <c r="I316" t="s">
        <v>3391</v>
      </c>
      <c r="J316" t="s">
        <v>3392</v>
      </c>
      <c r="K316" t="s">
        <v>6315</v>
      </c>
      <c r="L316" t="s">
        <v>6778</v>
      </c>
      <c r="M316" t="s">
        <v>6779</v>
      </c>
      <c r="N316" t="s">
        <v>6792</v>
      </c>
      <c r="O316">
        <v>1</v>
      </c>
      <c r="P316" t="str">
        <f>+BARRAS[[#This Row],[Barra]]&amp;"_"&amp;BARRAS[[#This Row],[Nivel de tensión]]</f>
        <v>PALMAR_110</v>
      </c>
    </row>
    <row r="317" spans="1:16">
      <c r="A317" t="s">
        <v>3486</v>
      </c>
      <c r="B317">
        <v>13</v>
      </c>
      <c r="C317">
        <v>1</v>
      </c>
      <c r="D317" t="s">
        <v>3397</v>
      </c>
      <c r="E317" t="s">
        <v>3419</v>
      </c>
      <c r="F317" t="s">
        <v>3420</v>
      </c>
      <c r="G317">
        <v>16301</v>
      </c>
      <c r="H317" t="s">
        <v>3405</v>
      </c>
      <c r="I317" t="s">
        <v>3391</v>
      </c>
      <c r="J317" t="s">
        <v>3392</v>
      </c>
      <c r="K317" t="s">
        <v>6315</v>
      </c>
      <c r="L317" t="s">
        <v>6778</v>
      </c>
      <c r="M317" t="s">
        <v>6779</v>
      </c>
      <c r="N317" t="s">
        <v>6792</v>
      </c>
      <c r="O317">
        <v>1</v>
      </c>
      <c r="P317" t="str">
        <f>+BARRAS[[#This Row],[Barra]]&amp;"_"&amp;BARRAS[[#This Row],[Nivel de tensión]]</f>
        <v>PALMUCHO_13</v>
      </c>
    </row>
    <row r="318" spans="1:16">
      <c r="A318" t="s">
        <v>3486</v>
      </c>
      <c r="B318">
        <v>66</v>
      </c>
      <c r="C318">
        <v>1</v>
      </c>
      <c r="D318" t="s">
        <v>3397</v>
      </c>
      <c r="E318" t="s">
        <v>3487</v>
      </c>
      <c r="F318" t="s">
        <v>3420</v>
      </c>
      <c r="G318">
        <v>16301</v>
      </c>
      <c r="H318" t="s">
        <v>3405</v>
      </c>
      <c r="I318" t="s">
        <v>3391</v>
      </c>
      <c r="J318" t="s">
        <v>3392</v>
      </c>
      <c r="K318" t="s">
        <v>6315</v>
      </c>
      <c r="L318" t="s">
        <v>6778</v>
      </c>
      <c r="M318" t="s">
        <v>6779</v>
      </c>
      <c r="N318" t="s">
        <v>6792</v>
      </c>
      <c r="O318">
        <v>1</v>
      </c>
      <c r="P318" t="str">
        <f>+BARRAS[[#This Row],[Barra]]&amp;"_"&amp;BARRAS[[#This Row],[Nivel de tensión]]</f>
        <v>PALMUCHO_66</v>
      </c>
    </row>
    <row r="319" spans="1:16">
      <c r="A319" t="s">
        <v>4146</v>
      </c>
      <c r="B319">
        <v>220</v>
      </c>
      <c r="C319">
        <v>1</v>
      </c>
      <c r="D319" t="s">
        <v>3397</v>
      </c>
      <c r="E319" t="s">
        <v>3419</v>
      </c>
      <c r="F319" t="s">
        <v>3420</v>
      </c>
      <c r="G319">
        <v>16301</v>
      </c>
      <c r="H319" t="s">
        <v>3405</v>
      </c>
      <c r="I319" t="s">
        <v>3391</v>
      </c>
      <c r="J319" t="s">
        <v>3392</v>
      </c>
      <c r="K319" t="s">
        <v>6315</v>
      </c>
      <c r="L319" t="s">
        <v>6778</v>
      </c>
      <c r="M319" t="s">
        <v>6779</v>
      </c>
      <c r="N319" t="s">
        <v>6792</v>
      </c>
      <c r="O319">
        <v>1</v>
      </c>
      <c r="P319" t="str">
        <f>+BARRAS[[#This Row],[Barra]]&amp;"_"&amp;BARRAS[[#This Row],[Nivel de tensión]]</f>
        <v>PALPANA_220</v>
      </c>
    </row>
    <row r="320" spans="1:16">
      <c r="A320" t="s">
        <v>4147</v>
      </c>
      <c r="B320">
        <v>110</v>
      </c>
      <c r="C320">
        <v>1202</v>
      </c>
      <c r="D320" t="s">
        <v>4148</v>
      </c>
      <c r="E320" t="s">
        <v>4075</v>
      </c>
      <c r="F320" t="s">
        <v>4149</v>
      </c>
      <c r="G320">
        <v>16301</v>
      </c>
      <c r="H320" t="s">
        <v>3405</v>
      </c>
      <c r="I320" t="s">
        <v>3391</v>
      </c>
      <c r="J320" t="s">
        <v>3392</v>
      </c>
      <c r="K320" t="s">
        <v>6315</v>
      </c>
      <c r="L320" t="s">
        <v>6778</v>
      </c>
      <c r="M320" t="s">
        <v>6779</v>
      </c>
      <c r="N320" t="s">
        <v>6792</v>
      </c>
      <c r="O320">
        <v>1</v>
      </c>
      <c r="P320" t="str">
        <f>+BARRAS[[#This Row],[Barra]]&amp;"_"&amp;BARRAS[[#This Row],[Nivel de tensión]]</f>
        <v>PALTO_110</v>
      </c>
    </row>
    <row r="321" spans="1:16">
      <c r="A321" t="s">
        <v>4150</v>
      </c>
      <c r="B321">
        <v>12</v>
      </c>
      <c r="C321">
        <v>870</v>
      </c>
      <c r="D321" t="s">
        <v>4151</v>
      </c>
      <c r="E321" t="s">
        <v>4152</v>
      </c>
      <c r="F321" t="s">
        <v>4153</v>
      </c>
      <c r="G321">
        <v>16301</v>
      </c>
      <c r="H321" t="s">
        <v>3469</v>
      </c>
      <c r="I321" t="s">
        <v>3391</v>
      </c>
      <c r="J321" t="s">
        <v>3392</v>
      </c>
      <c r="K321" t="s">
        <v>3303</v>
      </c>
      <c r="L321" t="s">
        <v>6778</v>
      </c>
      <c r="M321" t="s">
        <v>6779</v>
      </c>
      <c r="N321" t="s">
        <v>6792</v>
      </c>
      <c r="O321">
        <v>1</v>
      </c>
      <c r="P321" t="str">
        <f>+BARRAS[[#This Row],[Barra]]&amp;"_"&amp;BARRAS[[#This Row],[Nivel de tensión]]</f>
        <v>PANAMERICANA_12</v>
      </c>
    </row>
    <row r="322" spans="1:16">
      <c r="A322" t="s">
        <v>4150</v>
      </c>
      <c r="B322">
        <v>110</v>
      </c>
      <c r="C322">
        <v>868</v>
      </c>
      <c r="D322" t="s">
        <v>4570</v>
      </c>
      <c r="E322" t="s">
        <v>3419</v>
      </c>
      <c r="F322" t="s">
        <v>4153</v>
      </c>
      <c r="G322">
        <v>13401</v>
      </c>
      <c r="H322" t="s">
        <v>3405</v>
      </c>
      <c r="I322" t="s">
        <v>3391</v>
      </c>
      <c r="J322" t="s">
        <v>6616</v>
      </c>
      <c r="K322" t="s">
        <v>6315</v>
      </c>
      <c r="L322" t="s">
        <v>6778</v>
      </c>
      <c r="M322" t="s">
        <v>6779</v>
      </c>
      <c r="N322" t="s">
        <v>6792</v>
      </c>
      <c r="O322">
        <v>1</v>
      </c>
      <c r="P322" t="str">
        <f>+BARRAS[[#This Row],[Barra]]&amp;"_"&amp;BARRAS[[#This Row],[Nivel de tensión]]</f>
        <v>PANAMERICANA_110</v>
      </c>
    </row>
    <row r="323" spans="1:16">
      <c r="A323" t="s">
        <v>4154</v>
      </c>
      <c r="B323">
        <v>13</v>
      </c>
      <c r="C323">
        <v>1</v>
      </c>
      <c r="D323" t="s">
        <v>3397</v>
      </c>
      <c r="E323" t="s">
        <v>4155</v>
      </c>
      <c r="F323" t="s">
        <v>3420</v>
      </c>
      <c r="G323">
        <v>16301</v>
      </c>
      <c r="H323" t="s">
        <v>3414</v>
      </c>
      <c r="I323" t="s">
        <v>3391</v>
      </c>
      <c r="J323" t="s">
        <v>3392</v>
      </c>
      <c r="K323" t="s">
        <v>3304</v>
      </c>
      <c r="L323" t="s">
        <v>6778</v>
      </c>
      <c r="M323" t="s">
        <v>6779</v>
      </c>
      <c r="N323" t="s">
        <v>6792</v>
      </c>
      <c r="O323">
        <v>1</v>
      </c>
      <c r="P323" t="str">
        <f>+BARRAS[[#This Row],[Barra]]&amp;"_"&amp;BARRAS[[#This Row],[Nivel de tensión]]</f>
        <v>PANGUE_13</v>
      </c>
    </row>
    <row r="324" spans="1:16">
      <c r="A324" t="s">
        <v>1026</v>
      </c>
      <c r="B324">
        <v>66</v>
      </c>
      <c r="C324">
        <v>1</v>
      </c>
      <c r="D324" t="s">
        <v>3397</v>
      </c>
      <c r="E324" t="s">
        <v>4210</v>
      </c>
      <c r="F324" t="s">
        <v>3420</v>
      </c>
      <c r="G324">
        <v>16301</v>
      </c>
      <c r="H324" t="s">
        <v>3414</v>
      </c>
      <c r="I324" t="s">
        <v>3391</v>
      </c>
      <c r="J324" t="s">
        <v>3392</v>
      </c>
      <c r="K324" t="s">
        <v>3304</v>
      </c>
      <c r="L324" t="s">
        <v>6778</v>
      </c>
      <c r="M324" t="s">
        <v>6779</v>
      </c>
      <c r="N324" t="s">
        <v>6792</v>
      </c>
      <c r="O324">
        <v>1</v>
      </c>
      <c r="P324" t="str">
        <f>+BARRAS[[#This Row],[Barra]]&amp;"_"&amp;BARRAS[[#This Row],[Nivel de tensión]]</f>
        <v>PASO_HONDO_66</v>
      </c>
    </row>
    <row r="325" spans="1:16">
      <c r="A325" t="s">
        <v>4211</v>
      </c>
      <c r="B325">
        <v>66</v>
      </c>
      <c r="C325">
        <v>1</v>
      </c>
      <c r="D325" t="s">
        <v>3397</v>
      </c>
      <c r="E325" t="s">
        <v>4212</v>
      </c>
      <c r="F325" t="s">
        <v>3420</v>
      </c>
      <c r="G325">
        <v>16301</v>
      </c>
      <c r="H325" t="s">
        <v>3414</v>
      </c>
      <c r="I325" t="s">
        <v>3391</v>
      </c>
      <c r="J325" t="s">
        <v>3392</v>
      </c>
      <c r="K325" t="s">
        <v>3304</v>
      </c>
      <c r="L325" t="s">
        <v>6778</v>
      </c>
      <c r="M325" t="s">
        <v>6779</v>
      </c>
      <c r="N325" t="s">
        <v>6792</v>
      </c>
      <c r="O325">
        <v>1</v>
      </c>
      <c r="P325" t="str">
        <f>+BARRAS[[#This Row],[Barra]]&amp;"_"&amp;BARRAS[[#This Row],[Nivel de tensión]]</f>
        <v>PE_L_B.AIRES_66</v>
      </c>
    </row>
    <row r="326" spans="1:16">
      <c r="A326" t="s">
        <v>4213</v>
      </c>
      <c r="B326">
        <v>220</v>
      </c>
      <c r="C326">
        <v>3434</v>
      </c>
      <c r="D326" t="s">
        <v>4214</v>
      </c>
      <c r="E326" t="s">
        <v>4215</v>
      </c>
      <c r="F326" t="s">
        <v>4216</v>
      </c>
      <c r="G326">
        <v>9209</v>
      </c>
      <c r="H326" t="s">
        <v>3405</v>
      </c>
      <c r="I326" t="s">
        <v>3391</v>
      </c>
      <c r="J326" t="s">
        <v>6317</v>
      </c>
      <c r="K326" t="s">
        <v>6315</v>
      </c>
      <c r="L326" t="s">
        <v>6778</v>
      </c>
      <c r="M326" t="s">
        <v>6779</v>
      </c>
      <c r="N326" t="s">
        <v>6792</v>
      </c>
      <c r="O326">
        <v>1</v>
      </c>
      <c r="P326" t="str">
        <f>+BARRAS[[#This Row],[Barra]]&amp;"_"&amp;BARRAS[[#This Row],[Nivel de tensión]]</f>
        <v>PE_RENAICO_220</v>
      </c>
    </row>
    <row r="327" spans="1:16">
      <c r="A327" t="s">
        <v>4217</v>
      </c>
      <c r="B327">
        <v>220</v>
      </c>
      <c r="C327">
        <v>1</v>
      </c>
      <c r="D327" t="s">
        <v>3397</v>
      </c>
      <c r="E327" t="s">
        <v>4218</v>
      </c>
      <c r="F327" t="s">
        <v>3420</v>
      </c>
      <c r="G327">
        <v>16301</v>
      </c>
      <c r="H327" t="s">
        <v>3396</v>
      </c>
      <c r="I327" t="s">
        <v>3391</v>
      </c>
      <c r="J327" t="s">
        <v>3392</v>
      </c>
      <c r="K327" t="s">
        <v>6315</v>
      </c>
      <c r="L327" t="s">
        <v>6778</v>
      </c>
      <c r="M327" t="s">
        <v>6779</v>
      </c>
      <c r="N327" t="s">
        <v>6792</v>
      </c>
      <c r="O327">
        <v>1</v>
      </c>
      <c r="P327" t="str">
        <f>+BARRAS[[#This Row],[Barra]]&amp;"_"&amp;BARRAS[[#This Row],[Nivel de tensión]]</f>
        <v>PEHUENCHE_220</v>
      </c>
    </row>
    <row r="328" spans="1:16">
      <c r="A328" t="s">
        <v>1032</v>
      </c>
      <c r="B328">
        <v>13</v>
      </c>
      <c r="C328">
        <v>197</v>
      </c>
      <c r="D328" t="s">
        <v>4219</v>
      </c>
      <c r="E328" t="s">
        <v>4220</v>
      </c>
      <c r="F328" t="s">
        <v>4221</v>
      </c>
      <c r="G328">
        <v>16301</v>
      </c>
      <c r="H328" t="s">
        <v>3414</v>
      </c>
      <c r="I328" t="s">
        <v>3391</v>
      </c>
      <c r="J328" t="s">
        <v>3392</v>
      </c>
      <c r="K328" t="s">
        <v>3304</v>
      </c>
      <c r="L328" t="s">
        <v>6778</v>
      </c>
      <c r="M328" t="s">
        <v>6779</v>
      </c>
      <c r="N328" t="s">
        <v>6792</v>
      </c>
      <c r="O328">
        <v>1</v>
      </c>
      <c r="P328" t="str">
        <f>+BARRAS[[#This Row],[Barra]]&amp;"_"&amp;BARRAS[[#This Row],[Nivel de tensión]]</f>
        <v>PELEQUEN_13</v>
      </c>
    </row>
    <row r="329" spans="1:16">
      <c r="A329" t="s">
        <v>1032</v>
      </c>
      <c r="B329">
        <v>66</v>
      </c>
      <c r="C329">
        <v>1</v>
      </c>
      <c r="D329" t="s">
        <v>3397</v>
      </c>
      <c r="E329" t="s">
        <v>4222</v>
      </c>
      <c r="F329" t="s">
        <v>3420</v>
      </c>
      <c r="G329">
        <v>16301</v>
      </c>
      <c r="H329" t="s">
        <v>3414</v>
      </c>
      <c r="I329" t="s">
        <v>3391</v>
      </c>
      <c r="J329" t="s">
        <v>3392</v>
      </c>
      <c r="K329" t="s">
        <v>3304</v>
      </c>
      <c r="L329" t="s">
        <v>6778</v>
      </c>
      <c r="M329" t="s">
        <v>6779</v>
      </c>
      <c r="N329" t="s">
        <v>6792</v>
      </c>
      <c r="O329">
        <v>1</v>
      </c>
      <c r="P329" t="str">
        <f>+BARRAS[[#This Row],[Barra]]&amp;"_"&amp;BARRAS[[#This Row],[Nivel de tensión]]</f>
        <v>PELEQUEN_66</v>
      </c>
    </row>
    <row r="330" spans="1:16">
      <c r="A330" t="s">
        <v>1035</v>
      </c>
      <c r="B330">
        <v>13</v>
      </c>
      <c r="C330">
        <v>2526</v>
      </c>
      <c r="D330" t="s">
        <v>4223</v>
      </c>
      <c r="E330" t="s">
        <v>4224</v>
      </c>
      <c r="F330" t="s">
        <v>4225</v>
      </c>
      <c r="G330">
        <v>16301</v>
      </c>
      <c r="H330" t="s">
        <v>3418</v>
      </c>
      <c r="I330" t="s">
        <v>3391</v>
      </c>
      <c r="J330" t="s">
        <v>3392</v>
      </c>
      <c r="K330" t="s">
        <v>3302</v>
      </c>
      <c r="L330" t="s">
        <v>6778</v>
      </c>
      <c r="M330" t="s">
        <v>6779</v>
      </c>
      <c r="N330" t="s">
        <v>6792</v>
      </c>
      <c r="O330">
        <v>1</v>
      </c>
      <c r="P330" t="str">
        <f>+BARRAS[[#This Row],[Barra]]&amp;"_"&amp;BARRAS[[#This Row],[Nivel de tensión]]</f>
        <v>PENABLANCA_13</v>
      </c>
    </row>
    <row r="331" spans="1:16">
      <c r="A331" t="s">
        <v>1035</v>
      </c>
      <c r="B331">
        <v>110</v>
      </c>
      <c r="C331">
        <v>1</v>
      </c>
      <c r="D331" t="s">
        <v>3397</v>
      </c>
      <c r="E331" t="s">
        <v>4226</v>
      </c>
      <c r="F331" t="s">
        <v>3420</v>
      </c>
      <c r="G331">
        <v>16301</v>
      </c>
      <c r="H331" t="s">
        <v>3418</v>
      </c>
      <c r="I331" t="s">
        <v>3391</v>
      </c>
      <c r="J331" t="s">
        <v>3392</v>
      </c>
      <c r="K331" t="s">
        <v>3302</v>
      </c>
      <c r="L331" t="s">
        <v>6778</v>
      </c>
      <c r="M331" t="s">
        <v>6779</v>
      </c>
      <c r="N331" t="s">
        <v>6792</v>
      </c>
      <c r="O331">
        <v>1</v>
      </c>
      <c r="P331" t="str">
        <f>+BARRAS[[#This Row],[Barra]]&amp;"_"&amp;BARRAS[[#This Row],[Nivel de tensión]]</f>
        <v>PENABLANCA_110</v>
      </c>
    </row>
    <row r="332" spans="1:16">
      <c r="A332" t="s">
        <v>1038</v>
      </c>
      <c r="B332">
        <v>13</v>
      </c>
      <c r="C332">
        <v>198</v>
      </c>
      <c r="D332" t="s">
        <v>4227</v>
      </c>
      <c r="E332" t="s">
        <v>4228</v>
      </c>
      <c r="F332" t="s">
        <v>4229</v>
      </c>
      <c r="G332">
        <v>16301</v>
      </c>
      <c r="H332" t="s">
        <v>3414</v>
      </c>
      <c r="I332" t="s">
        <v>3391</v>
      </c>
      <c r="J332" t="s">
        <v>3392</v>
      </c>
      <c r="K332" t="s">
        <v>3304</v>
      </c>
      <c r="L332" t="s">
        <v>6778</v>
      </c>
      <c r="M332" t="s">
        <v>6779</v>
      </c>
      <c r="N332" t="s">
        <v>6792</v>
      </c>
      <c r="O332">
        <v>1</v>
      </c>
      <c r="P332" t="str">
        <f>+BARRAS[[#This Row],[Barra]]&amp;"_"&amp;BARRAS[[#This Row],[Nivel de tensión]]</f>
        <v>PENCO_13</v>
      </c>
    </row>
    <row r="333" spans="1:16">
      <c r="A333" t="s">
        <v>1038</v>
      </c>
      <c r="B333">
        <v>66</v>
      </c>
      <c r="C333">
        <v>1</v>
      </c>
      <c r="D333" t="s">
        <v>3397</v>
      </c>
      <c r="E333" t="s">
        <v>4230</v>
      </c>
      <c r="F333" t="s">
        <v>3420</v>
      </c>
      <c r="G333">
        <v>16301</v>
      </c>
      <c r="H333" t="s">
        <v>3414</v>
      </c>
      <c r="I333" t="s">
        <v>3391</v>
      </c>
      <c r="J333" t="s">
        <v>3392</v>
      </c>
      <c r="K333" t="s">
        <v>3304</v>
      </c>
      <c r="L333" t="s">
        <v>6778</v>
      </c>
      <c r="M333" t="s">
        <v>6779</v>
      </c>
      <c r="N333" t="s">
        <v>6792</v>
      </c>
      <c r="O333">
        <v>1</v>
      </c>
      <c r="P333" t="str">
        <f>+BARRAS[[#This Row],[Barra]]&amp;"_"&amp;BARRAS[[#This Row],[Nivel de tensión]]</f>
        <v>PENCO_66</v>
      </c>
    </row>
    <row r="334" spans="1:16">
      <c r="A334" t="s">
        <v>6391</v>
      </c>
      <c r="B334">
        <v>220</v>
      </c>
      <c r="C334">
        <v>3450</v>
      </c>
      <c r="D334" t="s">
        <v>6392</v>
      </c>
      <c r="E334" t="s">
        <v>6393</v>
      </c>
      <c r="F334" t="s">
        <v>6394</v>
      </c>
      <c r="G334">
        <v>8305</v>
      </c>
      <c r="H334" t="s">
        <v>3405</v>
      </c>
      <c r="I334" t="s">
        <v>3391</v>
      </c>
      <c r="J334" t="s">
        <v>6395</v>
      </c>
      <c r="K334" t="s">
        <v>6315</v>
      </c>
      <c r="L334" t="s">
        <v>6778</v>
      </c>
      <c r="M334" t="s">
        <v>6779</v>
      </c>
      <c r="N334" t="s">
        <v>6792</v>
      </c>
      <c r="O334">
        <v>1</v>
      </c>
      <c r="P334" t="str">
        <f>+BARRAS[[#This Row],[Barra]]&amp;"_"&amp;BARRAS[[#This Row],[Nivel de tensión]]</f>
        <v>PEOLMOS_220</v>
      </c>
    </row>
    <row r="335" spans="1:16">
      <c r="A335" t="s">
        <v>4231</v>
      </c>
      <c r="B335">
        <v>220</v>
      </c>
      <c r="C335">
        <v>2226</v>
      </c>
      <c r="D335" t="s">
        <v>3397</v>
      </c>
      <c r="E335" t="s">
        <v>4232</v>
      </c>
      <c r="F335" t="s">
        <v>4233</v>
      </c>
      <c r="G335">
        <v>16301</v>
      </c>
      <c r="H335" t="s">
        <v>3405</v>
      </c>
      <c r="I335" t="s">
        <v>3391</v>
      </c>
      <c r="J335" t="s">
        <v>3392</v>
      </c>
      <c r="K335" t="s">
        <v>6315</v>
      </c>
      <c r="L335" t="s">
        <v>6778</v>
      </c>
      <c r="M335" t="s">
        <v>6779</v>
      </c>
      <c r="N335" t="s">
        <v>6792</v>
      </c>
      <c r="O335">
        <v>1</v>
      </c>
      <c r="P335" t="str">
        <f>+BARRAS[[#This Row],[Barra]]&amp;"_"&amp;BARRAS[[#This Row],[Nivel de tensión]]</f>
        <v>PEQ_220</v>
      </c>
    </row>
    <row r="336" spans="1:16">
      <c r="A336" t="s">
        <v>4234</v>
      </c>
      <c r="B336">
        <v>15</v>
      </c>
      <c r="C336">
        <v>199</v>
      </c>
      <c r="D336" t="s">
        <v>4235</v>
      </c>
      <c r="E336" t="s">
        <v>4236</v>
      </c>
      <c r="F336" t="s">
        <v>4237</v>
      </c>
      <c r="G336">
        <v>16301</v>
      </c>
      <c r="H336" t="s">
        <v>3414</v>
      </c>
      <c r="I336" t="s">
        <v>3391</v>
      </c>
      <c r="J336" t="s">
        <v>3392</v>
      </c>
      <c r="K336" t="s">
        <v>3304</v>
      </c>
      <c r="L336" t="s">
        <v>6778</v>
      </c>
      <c r="M336" t="s">
        <v>6779</v>
      </c>
      <c r="N336" t="s">
        <v>6792</v>
      </c>
      <c r="O336">
        <v>1</v>
      </c>
      <c r="P336" t="str">
        <f>+BARRAS[[#This Row],[Barra]]&amp;"_"&amp;BARRAS[[#This Row],[Nivel de tensión]]</f>
        <v>PERALES_15</v>
      </c>
    </row>
    <row r="337" spans="1:16">
      <c r="A337" t="s">
        <v>4234</v>
      </c>
      <c r="B337">
        <v>66</v>
      </c>
      <c r="C337">
        <v>1</v>
      </c>
      <c r="D337" t="s">
        <v>3397</v>
      </c>
      <c r="E337" t="s">
        <v>4238</v>
      </c>
      <c r="F337" t="s">
        <v>3420</v>
      </c>
      <c r="G337">
        <v>16301</v>
      </c>
      <c r="H337" t="s">
        <v>3414</v>
      </c>
      <c r="I337" t="s">
        <v>3391</v>
      </c>
      <c r="J337" t="s">
        <v>3392</v>
      </c>
      <c r="K337" t="s">
        <v>3304</v>
      </c>
      <c r="L337" t="s">
        <v>6778</v>
      </c>
      <c r="M337" t="s">
        <v>6779</v>
      </c>
      <c r="N337" t="s">
        <v>6792</v>
      </c>
      <c r="O337">
        <v>1</v>
      </c>
      <c r="P337" t="str">
        <f>+BARRAS[[#This Row],[Barra]]&amp;"_"&amp;BARRAS[[#This Row],[Nivel de tensión]]</f>
        <v>PERALES_66</v>
      </c>
    </row>
    <row r="338" spans="1:16">
      <c r="A338" t="s">
        <v>4239</v>
      </c>
      <c r="B338">
        <v>33</v>
      </c>
      <c r="C338">
        <v>1</v>
      </c>
      <c r="D338" t="s">
        <v>3397</v>
      </c>
      <c r="E338" t="s">
        <v>3419</v>
      </c>
      <c r="F338" t="s">
        <v>4240</v>
      </c>
      <c r="G338">
        <v>16301</v>
      </c>
      <c r="H338" t="s">
        <v>3405</v>
      </c>
      <c r="I338" t="s">
        <v>3391</v>
      </c>
      <c r="J338" t="s">
        <v>3392</v>
      </c>
      <c r="K338" t="s">
        <v>6315</v>
      </c>
      <c r="L338" t="s">
        <v>6778</v>
      </c>
      <c r="M338" t="s">
        <v>6779</v>
      </c>
      <c r="N338" t="s">
        <v>6792</v>
      </c>
      <c r="O338">
        <v>1</v>
      </c>
      <c r="P338" t="str">
        <f>+BARRAS[[#This Row],[Barra]]&amp;"_"&amp;BARRAS[[#This Row],[Nivel de tensión]]</f>
        <v>PETALTAL_33</v>
      </c>
    </row>
    <row r="339" spans="1:16">
      <c r="A339" t="s">
        <v>4239</v>
      </c>
      <c r="B339">
        <v>220</v>
      </c>
      <c r="C339">
        <v>3100</v>
      </c>
      <c r="D339" t="s">
        <v>3397</v>
      </c>
      <c r="E339" t="s">
        <v>3419</v>
      </c>
      <c r="F339" t="s">
        <v>4241</v>
      </c>
      <c r="G339">
        <v>2104</v>
      </c>
      <c r="H339" t="s">
        <v>3405</v>
      </c>
      <c r="I339" t="s">
        <v>3391</v>
      </c>
      <c r="J339" t="s">
        <v>6317</v>
      </c>
      <c r="K339" t="s">
        <v>6315</v>
      </c>
      <c r="L339" t="s">
        <v>6778</v>
      </c>
      <c r="M339" t="s">
        <v>6779</v>
      </c>
      <c r="N339" t="s">
        <v>6792</v>
      </c>
      <c r="O339">
        <v>1</v>
      </c>
      <c r="P339" t="str">
        <f>+BARRAS[[#This Row],[Barra]]&amp;"_"&amp;BARRAS[[#This Row],[Nivel de tensión]]</f>
        <v>PETALTAL_220</v>
      </c>
    </row>
    <row r="340" spans="1:16">
      <c r="A340" t="s">
        <v>4242</v>
      </c>
      <c r="B340">
        <v>66</v>
      </c>
      <c r="C340">
        <v>101</v>
      </c>
      <c r="D340" t="s">
        <v>4243</v>
      </c>
      <c r="E340" t="s">
        <v>4244</v>
      </c>
      <c r="F340" t="s">
        <v>4245</v>
      </c>
      <c r="G340">
        <v>16301</v>
      </c>
      <c r="H340" t="s">
        <v>3405</v>
      </c>
      <c r="I340" t="s">
        <v>3391</v>
      </c>
      <c r="J340" t="s">
        <v>3392</v>
      </c>
      <c r="K340" t="s">
        <v>6315</v>
      </c>
      <c r="L340" t="s">
        <v>6778</v>
      </c>
      <c r="M340" t="s">
        <v>6779</v>
      </c>
      <c r="N340" t="s">
        <v>6792</v>
      </c>
      <c r="O340">
        <v>1</v>
      </c>
      <c r="P340" t="str">
        <f>+BARRAS[[#This Row],[Barra]]&amp;"_"&amp;BARRAS[[#This Row],[Nivel de tensión]]</f>
        <v>PETROPOWER_66</v>
      </c>
    </row>
    <row r="341" spans="1:16">
      <c r="A341" t="s">
        <v>1045</v>
      </c>
      <c r="B341">
        <v>13</v>
      </c>
      <c r="C341">
        <v>1</v>
      </c>
      <c r="D341" t="s">
        <v>3397</v>
      </c>
      <c r="E341" t="s">
        <v>3419</v>
      </c>
      <c r="F341" t="s">
        <v>3420</v>
      </c>
      <c r="G341">
        <v>16301</v>
      </c>
      <c r="H341" t="s">
        <v>3405</v>
      </c>
      <c r="I341" t="s">
        <v>3391</v>
      </c>
      <c r="J341" t="s">
        <v>3392</v>
      </c>
      <c r="K341" t="s">
        <v>6315</v>
      </c>
      <c r="L341" t="s">
        <v>6778</v>
      </c>
      <c r="M341" t="s">
        <v>6779</v>
      </c>
      <c r="N341" t="s">
        <v>6792</v>
      </c>
      <c r="O341">
        <v>1</v>
      </c>
      <c r="P341" t="str">
        <f>+BARRAS[[#This Row],[Barra]]&amp;"_"&amp;BARRAS[[#This Row],[Nivel de tensión]]</f>
        <v>PEUCHEN_13</v>
      </c>
    </row>
    <row r="342" spans="1:16">
      <c r="A342" t="s">
        <v>1045</v>
      </c>
      <c r="B342">
        <v>220</v>
      </c>
      <c r="C342">
        <v>1</v>
      </c>
      <c r="D342" t="s">
        <v>3397</v>
      </c>
      <c r="E342" t="s">
        <v>4246</v>
      </c>
      <c r="F342" t="s">
        <v>3420</v>
      </c>
      <c r="G342">
        <v>16301</v>
      </c>
      <c r="H342" t="s">
        <v>3405</v>
      </c>
      <c r="I342" t="s">
        <v>3391</v>
      </c>
      <c r="J342" t="s">
        <v>3392</v>
      </c>
      <c r="K342" t="s">
        <v>6315</v>
      </c>
      <c r="L342" t="s">
        <v>6778</v>
      </c>
      <c r="M342" t="s">
        <v>6779</v>
      </c>
      <c r="N342" t="s">
        <v>6792</v>
      </c>
      <c r="O342">
        <v>1</v>
      </c>
      <c r="P342" t="str">
        <f>+BARRAS[[#This Row],[Barra]]&amp;"_"&amp;BARRAS[[#This Row],[Nivel de tensión]]</f>
        <v>PEUCHEN_220</v>
      </c>
    </row>
    <row r="343" spans="1:16">
      <c r="A343" t="s">
        <v>4247</v>
      </c>
      <c r="B343">
        <v>13</v>
      </c>
      <c r="C343">
        <v>440</v>
      </c>
      <c r="D343" t="s">
        <v>4248</v>
      </c>
      <c r="E343" t="s">
        <v>4249</v>
      </c>
      <c r="F343" t="s">
        <v>4250</v>
      </c>
      <c r="G343">
        <v>16301</v>
      </c>
      <c r="H343" t="s">
        <v>3390</v>
      </c>
      <c r="I343" t="s">
        <v>3391</v>
      </c>
      <c r="J343" t="s">
        <v>3392</v>
      </c>
      <c r="K343" t="s">
        <v>3305</v>
      </c>
      <c r="L343" t="s">
        <v>6778</v>
      </c>
      <c r="M343" t="s">
        <v>6779</v>
      </c>
      <c r="N343" t="s">
        <v>6792</v>
      </c>
      <c r="O343">
        <v>1</v>
      </c>
      <c r="P343" t="str">
        <f>+BARRAS[[#This Row],[Barra]]&amp;"_"&amp;BARRAS[[#This Row],[Nivel de tensión]]</f>
        <v>PICARTE_13</v>
      </c>
    </row>
    <row r="344" spans="1:16">
      <c r="A344" t="s">
        <v>4247</v>
      </c>
      <c r="B344">
        <v>66</v>
      </c>
      <c r="C344">
        <v>1</v>
      </c>
      <c r="D344" t="s">
        <v>3397</v>
      </c>
      <c r="E344" t="s">
        <v>4251</v>
      </c>
      <c r="F344" t="s">
        <v>3420</v>
      </c>
      <c r="G344">
        <v>16301</v>
      </c>
      <c r="H344" t="s">
        <v>3390</v>
      </c>
      <c r="I344" t="s">
        <v>3391</v>
      </c>
      <c r="J344" t="s">
        <v>3392</v>
      </c>
      <c r="K344" t="s">
        <v>3305</v>
      </c>
      <c r="L344" t="s">
        <v>6778</v>
      </c>
      <c r="M344" t="s">
        <v>6779</v>
      </c>
      <c r="N344" t="s">
        <v>6792</v>
      </c>
      <c r="O344">
        <v>1</v>
      </c>
      <c r="P344" t="str">
        <f>+BARRAS[[#This Row],[Barra]]&amp;"_"&amp;BARRAS[[#This Row],[Nivel de tensión]]</f>
        <v>PICARTE_66</v>
      </c>
    </row>
    <row r="345" spans="1:16">
      <c r="A345" t="s">
        <v>4252</v>
      </c>
      <c r="B345">
        <v>23</v>
      </c>
      <c r="C345">
        <v>1556</v>
      </c>
      <c r="D345" t="s">
        <v>4253</v>
      </c>
      <c r="E345" t="s">
        <v>4254</v>
      </c>
      <c r="F345" t="s">
        <v>4255</v>
      </c>
      <c r="G345">
        <v>16301</v>
      </c>
      <c r="H345" t="s">
        <v>3390</v>
      </c>
      <c r="I345" t="s">
        <v>3391</v>
      </c>
      <c r="J345" t="s">
        <v>3392</v>
      </c>
      <c r="K345" t="s">
        <v>3305</v>
      </c>
      <c r="L345" t="s">
        <v>6778</v>
      </c>
      <c r="M345" t="s">
        <v>6779</v>
      </c>
      <c r="N345" t="s">
        <v>6792</v>
      </c>
      <c r="O345">
        <v>1</v>
      </c>
      <c r="P345" t="str">
        <f>+BARRAS[[#This Row],[Barra]]&amp;"_"&amp;BARRAS[[#This Row],[Nivel de tensión]]</f>
        <v>PICHIL_23</v>
      </c>
    </row>
    <row r="346" spans="1:16">
      <c r="A346" t="s">
        <v>4252</v>
      </c>
      <c r="B346">
        <v>66</v>
      </c>
      <c r="C346">
        <v>1</v>
      </c>
      <c r="D346" t="s">
        <v>3397</v>
      </c>
      <c r="E346" t="s">
        <v>4256</v>
      </c>
      <c r="F346" t="s">
        <v>3420</v>
      </c>
      <c r="G346">
        <v>16301</v>
      </c>
      <c r="H346" t="s">
        <v>3390</v>
      </c>
      <c r="I346" t="s">
        <v>3391</v>
      </c>
      <c r="J346" t="s">
        <v>3392</v>
      </c>
      <c r="K346" t="s">
        <v>3305</v>
      </c>
      <c r="L346" t="s">
        <v>6778</v>
      </c>
      <c r="M346" t="s">
        <v>6779</v>
      </c>
      <c r="N346" t="s">
        <v>6792</v>
      </c>
      <c r="O346">
        <v>1</v>
      </c>
      <c r="P346" t="str">
        <f>+BARRAS[[#This Row],[Barra]]&amp;"_"&amp;BARRAS[[#This Row],[Nivel de tensión]]</f>
        <v>PICHIL_66</v>
      </c>
    </row>
    <row r="347" spans="1:16">
      <c r="A347" t="s">
        <v>4257</v>
      </c>
      <c r="B347">
        <v>220</v>
      </c>
      <c r="C347">
        <v>1</v>
      </c>
      <c r="D347" t="s">
        <v>3397</v>
      </c>
      <c r="E347" t="s">
        <v>3419</v>
      </c>
      <c r="F347" t="s">
        <v>3420</v>
      </c>
      <c r="G347">
        <v>16301</v>
      </c>
      <c r="H347" t="s">
        <v>3409</v>
      </c>
      <c r="I347" t="s">
        <v>3391</v>
      </c>
      <c r="J347" t="s">
        <v>3392</v>
      </c>
      <c r="K347" t="s">
        <v>6315</v>
      </c>
      <c r="L347" t="s">
        <v>6778</v>
      </c>
      <c r="M347" t="s">
        <v>6779</v>
      </c>
      <c r="N347" t="s">
        <v>6792</v>
      </c>
      <c r="O347">
        <v>1</v>
      </c>
      <c r="P347" t="str">
        <f>+BARRAS[[#This Row],[Barra]]&amp;"_"&amp;BARRAS[[#This Row],[Nivel de tensión]]</f>
        <v>PICHIRRAHUE_220</v>
      </c>
    </row>
    <row r="348" spans="1:16">
      <c r="A348" t="s">
        <v>1053</v>
      </c>
      <c r="B348">
        <v>13</v>
      </c>
      <c r="C348">
        <v>443</v>
      </c>
      <c r="D348" t="s">
        <v>4258</v>
      </c>
      <c r="E348" t="s">
        <v>4259</v>
      </c>
      <c r="F348" t="s">
        <v>4260</v>
      </c>
      <c r="G348">
        <v>16301</v>
      </c>
      <c r="H348" t="s">
        <v>3390</v>
      </c>
      <c r="I348" t="s">
        <v>3391</v>
      </c>
      <c r="J348" t="s">
        <v>3392</v>
      </c>
      <c r="K348" t="s">
        <v>3305</v>
      </c>
      <c r="L348" t="s">
        <v>6778</v>
      </c>
      <c r="M348" t="s">
        <v>6779</v>
      </c>
      <c r="N348" t="s">
        <v>6792</v>
      </c>
      <c r="O348">
        <v>1</v>
      </c>
      <c r="P348" t="str">
        <f>+BARRAS[[#This Row],[Barra]]&amp;"_"&amp;BARRAS[[#This Row],[Nivel de tensión]]</f>
        <v>PICHIRROPULLI_13</v>
      </c>
    </row>
    <row r="349" spans="1:16">
      <c r="A349" t="s">
        <v>1053</v>
      </c>
      <c r="B349">
        <v>66</v>
      </c>
      <c r="C349">
        <v>1</v>
      </c>
      <c r="D349" t="s">
        <v>3397</v>
      </c>
      <c r="E349" t="s">
        <v>3489</v>
      </c>
      <c r="F349" t="s">
        <v>3420</v>
      </c>
      <c r="G349">
        <v>16301</v>
      </c>
      <c r="H349" t="s">
        <v>3390</v>
      </c>
      <c r="I349" t="s">
        <v>3391</v>
      </c>
      <c r="J349" t="s">
        <v>3392</v>
      </c>
      <c r="K349" t="s">
        <v>3305</v>
      </c>
      <c r="L349" t="s">
        <v>6778</v>
      </c>
      <c r="M349" t="s">
        <v>6779</v>
      </c>
      <c r="N349" t="s">
        <v>6792</v>
      </c>
      <c r="O349">
        <v>1</v>
      </c>
      <c r="P349" t="str">
        <f>+BARRAS[[#This Row],[Barra]]&amp;"_"&amp;BARRAS[[#This Row],[Nivel de tensión]]</f>
        <v>PICHIRROPULLI_66</v>
      </c>
    </row>
    <row r="350" spans="1:16">
      <c r="A350" t="s">
        <v>1090</v>
      </c>
      <c r="B350">
        <v>500</v>
      </c>
      <c r="C350">
        <v>1</v>
      </c>
      <c r="D350" t="s">
        <v>3397</v>
      </c>
      <c r="E350" t="s">
        <v>4322</v>
      </c>
      <c r="F350" t="s">
        <v>3420</v>
      </c>
      <c r="G350">
        <v>16301</v>
      </c>
      <c r="H350" t="s">
        <v>3409</v>
      </c>
      <c r="I350" t="s">
        <v>3391</v>
      </c>
      <c r="J350" t="s">
        <v>3392</v>
      </c>
      <c r="K350" t="s">
        <v>6315</v>
      </c>
      <c r="L350" t="s">
        <v>6778</v>
      </c>
      <c r="M350" t="s">
        <v>6779</v>
      </c>
      <c r="N350" t="s">
        <v>6792</v>
      </c>
      <c r="O350">
        <v>1</v>
      </c>
      <c r="P350" t="str">
        <f>+BARRAS[[#This Row],[Barra]]&amp;"_"&amp;BARRAS[[#This Row],[Nivel de tensión]]</f>
        <v>POLPAICO_500</v>
      </c>
    </row>
    <row r="351" spans="1:16">
      <c r="A351" t="s">
        <v>1094</v>
      </c>
      <c r="B351">
        <v>23</v>
      </c>
      <c r="C351">
        <v>1189</v>
      </c>
      <c r="D351" t="s">
        <v>4323</v>
      </c>
      <c r="E351" t="s">
        <v>4324</v>
      </c>
      <c r="F351" t="s">
        <v>4325</v>
      </c>
      <c r="G351">
        <v>16301</v>
      </c>
      <c r="H351" t="s">
        <v>3414</v>
      </c>
      <c r="I351" t="s">
        <v>3391</v>
      </c>
      <c r="J351" t="s">
        <v>3392</v>
      </c>
      <c r="K351" t="s">
        <v>3304</v>
      </c>
      <c r="L351" t="s">
        <v>6778</v>
      </c>
      <c r="M351" t="s">
        <v>6779</v>
      </c>
      <c r="N351" t="s">
        <v>6792</v>
      </c>
      <c r="O351">
        <v>1</v>
      </c>
      <c r="P351" t="str">
        <f>+BARRAS[[#This Row],[Barra]]&amp;"_"&amp;BARRAS[[#This Row],[Nivel de tensión]]</f>
        <v>PORTEZUELO_23</v>
      </c>
    </row>
    <row r="352" spans="1:16">
      <c r="A352" t="s">
        <v>1094</v>
      </c>
      <c r="B352">
        <v>66</v>
      </c>
      <c r="C352">
        <v>1</v>
      </c>
      <c r="D352" t="s">
        <v>3397</v>
      </c>
      <c r="E352" t="s">
        <v>4326</v>
      </c>
      <c r="F352" t="s">
        <v>3420</v>
      </c>
      <c r="G352">
        <v>16301</v>
      </c>
      <c r="H352" t="s">
        <v>3414</v>
      </c>
      <c r="I352" t="s">
        <v>3391</v>
      </c>
      <c r="J352" t="s">
        <v>3392</v>
      </c>
      <c r="K352" t="s">
        <v>3304</v>
      </c>
      <c r="L352" t="s">
        <v>6778</v>
      </c>
      <c r="M352" t="s">
        <v>6779</v>
      </c>
      <c r="N352" t="s">
        <v>6792</v>
      </c>
      <c r="O352">
        <v>1</v>
      </c>
      <c r="P352" t="str">
        <f>+BARRAS[[#This Row],[Barra]]&amp;"_"&amp;BARRAS[[#This Row],[Nivel de tensión]]</f>
        <v>PORTEZUELO_66</v>
      </c>
    </row>
    <row r="353" spans="1:16">
      <c r="A353" t="s">
        <v>1094</v>
      </c>
      <c r="B353">
        <v>110</v>
      </c>
      <c r="C353">
        <v>1</v>
      </c>
      <c r="D353" t="s">
        <v>3397</v>
      </c>
      <c r="E353" t="s">
        <v>4327</v>
      </c>
      <c r="F353" t="s">
        <v>3420</v>
      </c>
      <c r="G353">
        <v>16301</v>
      </c>
      <c r="H353" t="s">
        <v>3414</v>
      </c>
      <c r="I353" t="s">
        <v>3391</v>
      </c>
      <c r="J353" t="s">
        <v>3392</v>
      </c>
      <c r="K353" t="s">
        <v>3304</v>
      </c>
      <c r="L353" t="s">
        <v>6778</v>
      </c>
      <c r="M353" t="s">
        <v>6779</v>
      </c>
      <c r="N353" t="s">
        <v>6792</v>
      </c>
      <c r="O353">
        <v>1</v>
      </c>
      <c r="P353" t="str">
        <f>+BARRAS[[#This Row],[Barra]]&amp;"_"&amp;BARRAS[[#This Row],[Nivel de tensión]]</f>
        <v>PORTEZUELO_110</v>
      </c>
    </row>
    <row r="354" spans="1:16">
      <c r="A354" t="s">
        <v>1098</v>
      </c>
      <c r="B354">
        <v>110</v>
      </c>
      <c r="C354">
        <v>1447</v>
      </c>
      <c r="D354" t="s">
        <v>4328</v>
      </c>
      <c r="E354" t="s">
        <v>4329</v>
      </c>
      <c r="F354" t="s">
        <v>4330</v>
      </c>
      <c r="G354">
        <v>16301</v>
      </c>
      <c r="H354" t="s">
        <v>3469</v>
      </c>
      <c r="I354" t="s">
        <v>3391</v>
      </c>
      <c r="J354" t="s">
        <v>3392</v>
      </c>
      <c r="K354" t="s">
        <v>3303</v>
      </c>
      <c r="L354" t="s">
        <v>6778</v>
      </c>
      <c r="M354" t="s">
        <v>6779</v>
      </c>
      <c r="N354" t="s">
        <v>6792</v>
      </c>
      <c r="O354">
        <v>1</v>
      </c>
      <c r="P354" t="str">
        <f>+BARRAS[[#This Row],[Barra]]&amp;"_"&amp;BARRAS[[#This Row],[Nivel de tensión]]</f>
        <v>PPEUCO_110</v>
      </c>
    </row>
    <row r="355" spans="1:16">
      <c r="A355" t="s">
        <v>4331</v>
      </c>
      <c r="B355">
        <v>220</v>
      </c>
      <c r="C355">
        <v>1113</v>
      </c>
      <c r="D355" t="s">
        <v>3397</v>
      </c>
      <c r="E355" t="s">
        <v>4332</v>
      </c>
      <c r="F355" t="s">
        <v>4333</v>
      </c>
      <c r="G355">
        <v>16301</v>
      </c>
      <c r="H355" t="s">
        <v>3405</v>
      </c>
      <c r="I355" t="s">
        <v>3391</v>
      </c>
      <c r="J355" t="s">
        <v>3392</v>
      </c>
      <c r="K355" t="s">
        <v>6315</v>
      </c>
      <c r="L355" t="s">
        <v>6778</v>
      </c>
      <c r="M355" t="s">
        <v>6779</v>
      </c>
      <c r="N355" t="s">
        <v>6792</v>
      </c>
      <c r="O355">
        <v>1</v>
      </c>
      <c r="P355" t="str">
        <f>+BARRAS[[#This Row],[Barra]]&amp;"_"&amp;BARRAS[[#This Row],[Nivel de tensión]]</f>
        <v>PROCART_220</v>
      </c>
    </row>
    <row r="356" spans="1:16">
      <c r="A356" t="s">
        <v>1099</v>
      </c>
      <c r="B356">
        <v>23</v>
      </c>
      <c r="C356">
        <v>1</v>
      </c>
      <c r="D356" t="s">
        <v>3397</v>
      </c>
      <c r="E356" t="s">
        <v>4334</v>
      </c>
      <c r="F356" t="s">
        <v>3420</v>
      </c>
      <c r="G356">
        <v>16301</v>
      </c>
      <c r="H356" t="s">
        <v>3405</v>
      </c>
      <c r="I356" t="s">
        <v>3391</v>
      </c>
      <c r="J356" t="s">
        <v>3392</v>
      </c>
      <c r="K356" t="s">
        <v>6315</v>
      </c>
      <c r="L356" t="s">
        <v>6778</v>
      </c>
      <c r="M356" t="s">
        <v>6779</v>
      </c>
      <c r="N356" t="s">
        <v>6792</v>
      </c>
      <c r="O356">
        <v>1</v>
      </c>
      <c r="P356" t="str">
        <f>+BARRAS[[#This Row],[Barra]]&amp;"_"&amp;BARRAS[[#This Row],[Nivel de tensión]]</f>
        <v>PSECO_23</v>
      </c>
    </row>
    <row r="357" spans="1:16">
      <c r="A357" t="s">
        <v>4335</v>
      </c>
      <c r="B357">
        <v>220</v>
      </c>
      <c r="C357">
        <v>1</v>
      </c>
      <c r="D357" t="s">
        <v>3397</v>
      </c>
      <c r="E357" t="s">
        <v>4336</v>
      </c>
      <c r="F357" t="s">
        <v>3420</v>
      </c>
      <c r="G357">
        <v>16301</v>
      </c>
      <c r="H357" t="s">
        <v>3409</v>
      </c>
      <c r="I357" t="s">
        <v>3391</v>
      </c>
      <c r="J357" t="s">
        <v>3392</v>
      </c>
      <c r="K357" t="s">
        <v>6315</v>
      </c>
      <c r="L357" t="s">
        <v>6778</v>
      </c>
      <c r="M357" t="s">
        <v>6779</v>
      </c>
      <c r="N357" t="s">
        <v>6792</v>
      </c>
      <c r="O357">
        <v>1</v>
      </c>
      <c r="P357" t="str">
        <f>+BARRAS[[#This Row],[Barra]]&amp;"_"&amp;BARRAS[[#This Row],[Nivel de tensión]]</f>
        <v>PTENEGRO_220</v>
      </c>
    </row>
    <row r="358" spans="1:16">
      <c r="A358" t="s">
        <v>4337</v>
      </c>
      <c r="B358">
        <v>15</v>
      </c>
      <c r="C358">
        <v>171</v>
      </c>
      <c r="D358" t="s">
        <v>4338</v>
      </c>
      <c r="E358" t="s">
        <v>4339</v>
      </c>
      <c r="F358" t="s">
        <v>4340</v>
      </c>
      <c r="G358">
        <v>16301</v>
      </c>
      <c r="H358" t="s">
        <v>3414</v>
      </c>
      <c r="I358" t="s">
        <v>3391</v>
      </c>
      <c r="J358" t="s">
        <v>3392</v>
      </c>
      <c r="K358" t="s">
        <v>3304</v>
      </c>
      <c r="L358" t="s">
        <v>6778</v>
      </c>
      <c r="M358" t="s">
        <v>6779</v>
      </c>
      <c r="N358" t="s">
        <v>6792</v>
      </c>
      <c r="O358">
        <v>1</v>
      </c>
      <c r="P358" t="str">
        <f>+BARRAS[[#This Row],[Barra]]&amp;"_"&amp;BARRAS[[#This Row],[Nivel de tensión]]</f>
        <v>PUCHOCO_15</v>
      </c>
    </row>
    <row r="359" spans="1:16">
      <c r="A359" t="s">
        <v>4337</v>
      </c>
      <c r="B359">
        <v>66</v>
      </c>
      <c r="C359">
        <v>1</v>
      </c>
      <c r="D359" t="s">
        <v>3397</v>
      </c>
      <c r="E359" t="s">
        <v>4341</v>
      </c>
      <c r="F359" t="s">
        <v>3420</v>
      </c>
      <c r="G359">
        <v>16301</v>
      </c>
      <c r="H359" t="s">
        <v>3414</v>
      </c>
      <c r="I359" t="s">
        <v>3391</v>
      </c>
      <c r="J359" t="s">
        <v>3392</v>
      </c>
      <c r="K359" t="s">
        <v>3304</v>
      </c>
      <c r="L359" t="s">
        <v>6778</v>
      </c>
      <c r="M359" t="s">
        <v>6779</v>
      </c>
      <c r="N359" t="s">
        <v>6792</v>
      </c>
      <c r="O359">
        <v>1</v>
      </c>
      <c r="P359" t="str">
        <f>+BARRAS[[#This Row],[Barra]]&amp;"_"&amp;BARRAS[[#This Row],[Nivel de tensión]]</f>
        <v>PUCHOCO_66</v>
      </c>
    </row>
    <row r="360" spans="1:16">
      <c r="A360" t="s">
        <v>4342</v>
      </c>
      <c r="B360">
        <v>13</v>
      </c>
      <c r="C360">
        <v>1317</v>
      </c>
      <c r="D360" t="s">
        <v>4343</v>
      </c>
      <c r="E360" t="s">
        <v>4344</v>
      </c>
      <c r="F360" t="s">
        <v>4345</v>
      </c>
      <c r="G360">
        <v>16301</v>
      </c>
      <c r="H360" t="s">
        <v>3414</v>
      </c>
      <c r="I360" t="s">
        <v>3391</v>
      </c>
      <c r="J360" t="s">
        <v>3392</v>
      </c>
      <c r="K360" t="s">
        <v>3304</v>
      </c>
      <c r="L360" t="s">
        <v>6778</v>
      </c>
      <c r="M360" t="s">
        <v>6779</v>
      </c>
      <c r="N360" t="s">
        <v>6792</v>
      </c>
      <c r="O360">
        <v>1</v>
      </c>
      <c r="P360" t="str">
        <f>+BARRAS[[#This Row],[Barra]]&amp;"_"&amp;BARRAS[[#This Row],[Nivel de tensión]]</f>
        <v>PUCON_13</v>
      </c>
    </row>
    <row r="361" spans="1:16">
      <c r="A361" t="s">
        <v>4342</v>
      </c>
      <c r="B361">
        <v>66</v>
      </c>
      <c r="C361">
        <v>1</v>
      </c>
      <c r="D361" t="s">
        <v>3397</v>
      </c>
      <c r="E361" t="s">
        <v>4346</v>
      </c>
      <c r="F361" t="s">
        <v>3420</v>
      </c>
      <c r="G361">
        <v>16301</v>
      </c>
      <c r="H361" t="s">
        <v>3414</v>
      </c>
      <c r="I361" t="s">
        <v>3391</v>
      </c>
      <c r="J361" t="s">
        <v>3392</v>
      </c>
      <c r="K361" t="s">
        <v>3304</v>
      </c>
      <c r="L361" t="s">
        <v>6778</v>
      </c>
      <c r="M361" t="s">
        <v>6779</v>
      </c>
      <c r="N361" t="s">
        <v>6792</v>
      </c>
      <c r="O361">
        <v>1</v>
      </c>
      <c r="P361" t="str">
        <f>+BARRAS[[#This Row],[Barra]]&amp;"_"&amp;BARRAS[[#This Row],[Nivel de tensión]]</f>
        <v>PUCON_66</v>
      </c>
    </row>
    <row r="362" spans="1:16">
      <c r="A362" t="s">
        <v>4347</v>
      </c>
      <c r="B362">
        <v>13</v>
      </c>
      <c r="C362">
        <v>875</v>
      </c>
      <c r="D362" t="s">
        <v>4348</v>
      </c>
      <c r="E362" t="s">
        <v>4349</v>
      </c>
      <c r="F362" t="s">
        <v>4350</v>
      </c>
      <c r="G362">
        <v>16301</v>
      </c>
      <c r="H362" t="s">
        <v>3469</v>
      </c>
      <c r="I362" t="s">
        <v>3391</v>
      </c>
      <c r="J362" t="s">
        <v>3392</v>
      </c>
      <c r="K362" t="s">
        <v>3303</v>
      </c>
      <c r="L362" t="s">
        <v>6778</v>
      </c>
      <c r="M362" t="s">
        <v>6779</v>
      </c>
      <c r="N362" t="s">
        <v>6792</v>
      </c>
      <c r="O362">
        <v>1</v>
      </c>
      <c r="P362" t="str">
        <f>+BARRAS[[#This Row],[Barra]]&amp;"_"&amp;BARRAS[[#This Row],[Nivel de tensión]]</f>
        <v>PUDAHUEL_13</v>
      </c>
    </row>
    <row r="363" spans="1:16">
      <c r="A363" t="s">
        <v>4347</v>
      </c>
      <c r="B363">
        <v>110</v>
      </c>
      <c r="C363">
        <v>1</v>
      </c>
      <c r="D363" t="s">
        <v>3397</v>
      </c>
      <c r="E363" t="s">
        <v>4351</v>
      </c>
      <c r="F363" t="s">
        <v>3420</v>
      </c>
      <c r="G363">
        <v>16301</v>
      </c>
      <c r="H363" t="s">
        <v>3469</v>
      </c>
      <c r="I363" t="s">
        <v>3391</v>
      </c>
      <c r="J363" t="s">
        <v>3392</v>
      </c>
      <c r="K363" t="s">
        <v>3303</v>
      </c>
      <c r="L363" t="s">
        <v>6778</v>
      </c>
      <c r="M363" t="s">
        <v>6779</v>
      </c>
      <c r="N363" t="s">
        <v>6792</v>
      </c>
      <c r="O363">
        <v>1</v>
      </c>
      <c r="P363" t="str">
        <f>+BARRAS[[#This Row],[Barra]]&amp;"_"&amp;BARRAS[[#This Row],[Nivel de tensión]]</f>
        <v>PUDAHUEL_110</v>
      </c>
    </row>
    <row r="364" spans="1:16">
      <c r="A364" t="s">
        <v>1107</v>
      </c>
      <c r="B364">
        <v>23</v>
      </c>
      <c r="C364">
        <v>3425</v>
      </c>
      <c r="D364" t="s">
        <v>3397</v>
      </c>
      <c r="E364" t="s">
        <v>4334</v>
      </c>
      <c r="F364" t="s">
        <v>4352</v>
      </c>
      <c r="G364">
        <v>16301</v>
      </c>
      <c r="H364" t="s">
        <v>3414</v>
      </c>
      <c r="I364" t="s">
        <v>3391</v>
      </c>
      <c r="J364" t="s">
        <v>3392</v>
      </c>
      <c r="K364" t="s">
        <v>3304</v>
      </c>
      <c r="L364" t="s">
        <v>6778</v>
      </c>
      <c r="M364" t="s">
        <v>6779</v>
      </c>
      <c r="N364" t="s">
        <v>6792</v>
      </c>
      <c r="O364">
        <v>1</v>
      </c>
      <c r="P364" t="str">
        <f>+BARRAS[[#This Row],[Barra]]&amp;"_"&amp;BARRAS[[#This Row],[Nivel de tensión]]</f>
        <v>PUEBLOSECO_23</v>
      </c>
    </row>
    <row r="365" spans="1:16">
      <c r="A365" t="s">
        <v>1107</v>
      </c>
      <c r="B365">
        <v>154</v>
      </c>
      <c r="C365">
        <v>1</v>
      </c>
      <c r="D365" t="s">
        <v>3397</v>
      </c>
      <c r="E365" t="s">
        <v>4353</v>
      </c>
      <c r="F365" t="s">
        <v>3420</v>
      </c>
      <c r="G365">
        <v>16301</v>
      </c>
      <c r="H365" t="s">
        <v>3414</v>
      </c>
      <c r="I365" t="s">
        <v>3391</v>
      </c>
      <c r="J365" t="s">
        <v>3392</v>
      </c>
      <c r="K365" t="s">
        <v>3304</v>
      </c>
      <c r="L365" t="s">
        <v>6778</v>
      </c>
      <c r="M365" t="s">
        <v>6779</v>
      </c>
      <c r="N365" t="s">
        <v>6792</v>
      </c>
      <c r="O365">
        <v>1</v>
      </c>
      <c r="P365" t="str">
        <f>+BARRAS[[#This Row],[Barra]]&amp;"_"&amp;BARRAS[[#This Row],[Nivel de tensión]]</f>
        <v>PUEBLOSECO_154</v>
      </c>
    </row>
    <row r="366" spans="1:16">
      <c r="A366" t="s">
        <v>4354</v>
      </c>
      <c r="B366">
        <v>220</v>
      </c>
      <c r="C366">
        <v>3288</v>
      </c>
      <c r="D366" t="s">
        <v>3397</v>
      </c>
      <c r="E366" t="s">
        <v>4355</v>
      </c>
      <c r="F366" t="s">
        <v>3484</v>
      </c>
      <c r="G366">
        <v>16301</v>
      </c>
      <c r="H366" t="s">
        <v>3409</v>
      </c>
      <c r="I366" t="s">
        <v>3391</v>
      </c>
      <c r="J366" t="s">
        <v>3392</v>
      </c>
      <c r="K366" t="s">
        <v>6315</v>
      </c>
      <c r="L366" t="s">
        <v>6778</v>
      </c>
      <c r="M366" t="s">
        <v>6779</v>
      </c>
      <c r="N366" t="s">
        <v>6792</v>
      </c>
      <c r="O366">
        <v>1</v>
      </c>
      <c r="P366" t="str">
        <f>+BARRAS[[#This Row],[Barra]]&amp;"_"&amp;BARRAS[[#This Row],[Nivel de tensión]]</f>
        <v>PUERTOPATACHE_220</v>
      </c>
    </row>
    <row r="367" spans="1:16">
      <c r="A367" t="s">
        <v>1109</v>
      </c>
      <c r="B367">
        <v>13</v>
      </c>
      <c r="C367">
        <v>2246</v>
      </c>
      <c r="D367" t="s">
        <v>4356</v>
      </c>
      <c r="E367" t="s">
        <v>4357</v>
      </c>
      <c r="F367" t="s">
        <v>4358</v>
      </c>
      <c r="G367">
        <v>16301</v>
      </c>
      <c r="H367" t="s">
        <v>3443</v>
      </c>
      <c r="I367" t="s">
        <v>3391</v>
      </c>
      <c r="J367" t="s">
        <v>3392</v>
      </c>
      <c r="K367" t="s">
        <v>3300</v>
      </c>
      <c r="L367" t="s">
        <v>6778</v>
      </c>
      <c r="M367" t="s">
        <v>6779</v>
      </c>
      <c r="N367" t="s">
        <v>6792</v>
      </c>
      <c r="O367">
        <v>1</v>
      </c>
      <c r="P367" t="str">
        <f>+BARRAS[[#This Row],[Barra]]&amp;"_"&amp;BARRAS[[#This Row],[Nivel de tensión]]</f>
        <v>PUKARA_13</v>
      </c>
    </row>
    <row r="368" spans="1:16">
      <c r="A368" t="s">
        <v>1109</v>
      </c>
      <c r="B368">
        <v>66</v>
      </c>
      <c r="C368">
        <v>2248</v>
      </c>
      <c r="D368" t="s">
        <v>4359</v>
      </c>
      <c r="E368" t="s">
        <v>4360</v>
      </c>
      <c r="F368" t="s">
        <v>4358</v>
      </c>
      <c r="G368">
        <v>16301</v>
      </c>
      <c r="H368" t="s">
        <v>3443</v>
      </c>
      <c r="I368" t="s">
        <v>3391</v>
      </c>
      <c r="J368" t="s">
        <v>3392</v>
      </c>
      <c r="K368" t="s">
        <v>3300</v>
      </c>
      <c r="L368" t="s">
        <v>6778</v>
      </c>
      <c r="M368" t="s">
        <v>6779</v>
      </c>
      <c r="N368" t="s">
        <v>6792</v>
      </c>
      <c r="O368">
        <v>1</v>
      </c>
      <c r="P368" t="str">
        <f>+BARRAS[[#This Row],[Barra]]&amp;"_"&amp;BARRAS[[#This Row],[Nivel de tensión]]</f>
        <v>PUKARA_66</v>
      </c>
    </row>
    <row r="369" spans="1:16">
      <c r="A369" t="s">
        <v>1112</v>
      </c>
      <c r="B369">
        <v>23</v>
      </c>
      <c r="C369">
        <v>215</v>
      </c>
      <c r="D369" t="s">
        <v>4361</v>
      </c>
      <c r="E369" t="s">
        <v>4362</v>
      </c>
      <c r="F369" t="s">
        <v>4363</v>
      </c>
      <c r="G369">
        <v>16301</v>
      </c>
      <c r="H369" t="s">
        <v>3390</v>
      </c>
      <c r="I369" t="s">
        <v>3391</v>
      </c>
      <c r="J369" t="s">
        <v>3392</v>
      </c>
      <c r="K369" t="s">
        <v>3305</v>
      </c>
      <c r="L369" t="s">
        <v>6778</v>
      </c>
      <c r="M369" t="s">
        <v>6779</v>
      </c>
      <c r="N369" t="s">
        <v>6792</v>
      </c>
      <c r="O369">
        <v>1</v>
      </c>
      <c r="P369" t="str">
        <f>+BARRAS[[#This Row],[Barra]]&amp;"_"&amp;BARRAS[[#This Row],[Nivel de tensión]]</f>
        <v>PULLINQUE_23</v>
      </c>
    </row>
    <row r="370" spans="1:16">
      <c r="A370" t="s">
        <v>1112</v>
      </c>
      <c r="B370">
        <v>66</v>
      </c>
      <c r="C370">
        <v>1</v>
      </c>
      <c r="D370" t="s">
        <v>3397</v>
      </c>
      <c r="E370" t="s">
        <v>4364</v>
      </c>
      <c r="F370" t="s">
        <v>3420</v>
      </c>
      <c r="G370">
        <v>16301</v>
      </c>
      <c r="H370" t="s">
        <v>3390</v>
      </c>
      <c r="I370" t="s">
        <v>3391</v>
      </c>
      <c r="J370" t="s">
        <v>3392</v>
      </c>
      <c r="K370" t="s">
        <v>3305</v>
      </c>
      <c r="L370" t="s">
        <v>6778</v>
      </c>
      <c r="M370" t="s">
        <v>6779</v>
      </c>
      <c r="N370" t="s">
        <v>6792</v>
      </c>
      <c r="O370">
        <v>1</v>
      </c>
      <c r="P370" t="str">
        <f>+BARRAS[[#This Row],[Barra]]&amp;"_"&amp;BARRAS[[#This Row],[Nivel de tensión]]</f>
        <v>PULLINQUE_66</v>
      </c>
    </row>
    <row r="371" spans="1:16">
      <c r="A371" t="s">
        <v>4365</v>
      </c>
      <c r="B371">
        <v>13</v>
      </c>
      <c r="C371">
        <v>193</v>
      </c>
      <c r="D371" t="s">
        <v>4366</v>
      </c>
      <c r="E371" t="s">
        <v>4367</v>
      </c>
      <c r="F371" t="s">
        <v>4368</v>
      </c>
      <c r="G371">
        <v>16301</v>
      </c>
      <c r="H371" t="s">
        <v>3414</v>
      </c>
      <c r="I371" t="s">
        <v>3391</v>
      </c>
      <c r="J371" t="s">
        <v>3392</v>
      </c>
      <c r="K371" t="s">
        <v>3304</v>
      </c>
      <c r="L371" t="s">
        <v>6778</v>
      </c>
      <c r="M371" t="s">
        <v>6779</v>
      </c>
      <c r="N371" t="s">
        <v>6792</v>
      </c>
      <c r="O371">
        <v>1</v>
      </c>
      <c r="P371" t="str">
        <f>+BARRAS[[#This Row],[Barra]]&amp;"_"&amp;BARRAS[[#This Row],[Nivel de tensión]]</f>
        <v>PUMAHUE_13</v>
      </c>
    </row>
    <row r="372" spans="1:16">
      <c r="A372" t="s">
        <v>4365</v>
      </c>
      <c r="B372">
        <v>66</v>
      </c>
      <c r="C372">
        <v>1</v>
      </c>
      <c r="D372" t="s">
        <v>3397</v>
      </c>
      <c r="E372" t="s">
        <v>4369</v>
      </c>
      <c r="F372" t="s">
        <v>3420</v>
      </c>
      <c r="G372">
        <v>16301</v>
      </c>
      <c r="H372" t="s">
        <v>3414</v>
      </c>
      <c r="I372" t="s">
        <v>3391</v>
      </c>
      <c r="J372" t="s">
        <v>3392</v>
      </c>
      <c r="K372" t="s">
        <v>3304</v>
      </c>
      <c r="L372" t="s">
        <v>6778</v>
      </c>
      <c r="M372" t="s">
        <v>6779</v>
      </c>
      <c r="N372" t="s">
        <v>6792</v>
      </c>
      <c r="O372">
        <v>1</v>
      </c>
      <c r="P372" t="str">
        <f>+BARRAS[[#This Row],[Barra]]&amp;"_"&amp;BARRAS[[#This Row],[Nivel de tensión]]</f>
        <v>PUMAHUE_66</v>
      </c>
    </row>
    <row r="373" spans="1:16">
      <c r="A373" t="s">
        <v>1117</v>
      </c>
      <c r="B373">
        <v>13</v>
      </c>
      <c r="C373">
        <v>191</v>
      </c>
      <c r="D373" t="s">
        <v>3494</v>
      </c>
      <c r="E373" t="s">
        <v>4370</v>
      </c>
      <c r="F373" t="s">
        <v>3496</v>
      </c>
      <c r="G373">
        <v>16301</v>
      </c>
      <c r="H373" t="s">
        <v>3400</v>
      </c>
      <c r="I373" t="s">
        <v>3391</v>
      </c>
      <c r="J373" t="s">
        <v>3392</v>
      </c>
      <c r="K373" t="s">
        <v>3301</v>
      </c>
      <c r="L373" t="s">
        <v>6778</v>
      </c>
      <c r="M373" t="s">
        <v>6779</v>
      </c>
      <c r="N373" t="s">
        <v>6792</v>
      </c>
      <c r="O373">
        <v>1</v>
      </c>
      <c r="P373" t="str">
        <f>+BARRAS[[#This Row],[Barra]]&amp;"_"&amp;BARRAS[[#This Row],[Nivel de tensión]]</f>
        <v>PUNITAQUI_13</v>
      </c>
    </row>
    <row r="374" spans="1:16">
      <c r="A374" t="s">
        <v>1117</v>
      </c>
      <c r="B374">
        <v>66</v>
      </c>
      <c r="C374">
        <v>1</v>
      </c>
      <c r="D374" t="s">
        <v>3397</v>
      </c>
      <c r="E374" t="s">
        <v>4371</v>
      </c>
      <c r="F374" t="s">
        <v>3420</v>
      </c>
      <c r="G374">
        <v>16301</v>
      </c>
      <c r="H374" t="s">
        <v>3400</v>
      </c>
      <c r="I374" t="s">
        <v>3391</v>
      </c>
      <c r="J374" t="s">
        <v>3392</v>
      </c>
      <c r="K374" t="s">
        <v>3301</v>
      </c>
      <c r="L374" t="s">
        <v>6778</v>
      </c>
      <c r="M374" t="s">
        <v>6779</v>
      </c>
      <c r="N374" t="s">
        <v>6792</v>
      </c>
      <c r="O374">
        <v>1</v>
      </c>
      <c r="P374" t="str">
        <f>+BARRAS[[#This Row],[Barra]]&amp;"_"&amp;BARRAS[[#This Row],[Nivel de tensión]]</f>
        <v>PUNITAQUI_66</v>
      </c>
    </row>
    <row r="375" spans="1:16">
      <c r="A375" t="s">
        <v>1117</v>
      </c>
      <c r="B375">
        <v>110</v>
      </c>
      <c r="C375">
        <v>1</v>
      </c>
      <c r="D375" t="s">
        <v>3397</v>
      </c>
      <c r="E375" t="s">
        <v>4372</v>
      </c>
      <c r="F375" t="s">
        <v>3420</v>
      </c>
      <c r="G375">
        <v>16301</v>
      </c>
      <c r="H375" t="s">
        <v>3405</v>
      </c>
      <c r="I375" t="s">
        <v>3391</v>
      </c>
      <c r="J375" t="s">
        <v>3392</v>
      </c>
      <c r="K375" t="s">
        <v>6315</v>
      </c>
      <c r="L375" t="s">
        <v>6778</v>
      </c>
      <c r="M375" t="s">
        <v>6779</v>
      </c>
      <c r="N375" t="s">
        <v>6792</v>
      </c>
      <c r="O375">
        <v>1</v>
      </c>
      <c r="P375" t="str">
        <f>+BARRAS[[#This Row],[Barra]]&amp;"_"&amp;BARRAS[[#This Row],[Nivel de tensión]]</f>
        <v>PUNITAQUI_110</v>
      </c>
    </row>
    <row r="376" spans="1:16">
      <c r="A376" t="s">
        <v>4427</v>
      </c>
      <c r="B376">
        <v>110</v>
      </c>
      <c r="C376">
        <v>1</v>
      </c>
      <c r="D376" t="s">
        <v>3397</v>
      </c>
      <c r="E376" t="s">
        <v>4433</v>
      </c>
      <c r="F376" t="s">
        <v>3420</v>
      </c>
      <c r="G376">
        <v>16301</v>
      </c>
      <c r="H376" t="s">
        <v>3469</v>
      </c>
      <c r="I376" t="s">
        <v>3391</v>
      </c>
      <c r="J376" t="s">
        <v>3392</v>
      </c>
      <c r="K376" t="s">
        <v>3303</v>
      </c>
      <c r="L376" t="s">
        <v>6778</v>
      </c>
      <c r="M376" t="s">
        <v>6779</v>
      </c>
      <c r="N376" t="s">
        <v>6792</v>
      </c>
      <c r="O376">
        <v>1</v>
      </c>
      <c r="P376" t="str">
        <f>+BARRAS[[#This Row],[Barra]]&amp;"_"&amp;BARRAS[[#This Row],[Nivel de tensión]]</f>
        <v>QUILICURA_110</v>
      </c>
    </row>
    <row r="377" spans="1:16">
      <c r="A377" t="s">
        <v>3497</v>
      </c>
      <c r="B377">
        <v>13</v>
      </c>
      <c r="C377">
        <v>1</v>
      </c>
      <c r="D377" t="s">
        <v>3397</v>
      </c>
      <c r="E377" t="s">
        <v>3419</v>
      </c>
      <c r="F377" t="s">
        <v>3420</v>
      </c>
      <c r="G377">
        <v>16301</v>
      </c>
      <c r="H377" t="s">
        <v>3405</v>
      </c>
      <c r="I377" t="s">
        <v>3391</v>
      </c>
      <c r="J377" t="s">
        <v>3392</v>
      </c>
      <c r="K377" t="s">
        <v>6315</v>
      </c>
      <c r="L377" t="s">
        <v>6778</v>
      </c>
      <c r="M377" t="s">
        <v>6779</v>
      </c>
      <c r="N377" t="s">
        <v>6792</v>
      </c>
      <c r="O377">
        <v>1</v>
      </c>
      <c r="P377" t="str">
        <f>+BARRAS[[#This Row],[Barra]]&amp;"_"&amp;BARRAS[[#This Row],[Nivel de tensión]]</f>
        <v>QUILLECO_13</v>
      </c>
    </row>
    <row r="378" spans="1:16">
      <c r="A378" t="s">
        <v>3497</v>
      </c>
      <c r="B378">
        <v>220</v>
      </c>
      <c r="C378">
        <v>1</v>
      </c>
      <c r="D378" t="s">
        <v>3397</v>
      </c>
      <c r="E378" t="s">
        <v>4434</v>
      </c>
      <c r="F378" t="s">
        <v>3420</v>
      </c>
      <c r="G378">
        <v>16301</v>
      </c>
      <c r="H378" t="s">
        <v>3396</v>
      </c>
      <c r="I378" t="s">
        <v>3391</v>
      </c>
      <c r="J378" t="s">
        <v>3392</v>
      </c>
      <c r="K378" t="s">
        <v>6315</v>
      </c>
      <c r="L378" t="s">
        <v>6778</v>
      </c>
      <c r="M378" t="s">
        <v>6779</v>
      </c>
      <c r="N378" t="s">
        <v>6792</v>
      </c>
      <c r="O378">
        <v>1</v>
      </c>
      <c r="P378" t="str">
        <f>+BARRAS[[#This Row],[Barra]]&amp;"_"&amp;BARRAS[[#This Row],[Nivel de tensión]]</f>
        <v>QUILLECO_220</v>
      </c>
    </row>
    <row r="379" spans="1:16">
      <c r="A379" t="s">
        <v>1151</v>
      </c>
      <c r="B379">
        <v>110</v>
      </c>
      <c r="C379">
        <v>1</v>
      </c>
      <c r="D379" t="s">
        <v>3397</v>
      </c>
      <c r="E379" t="s">
        <v>4435</v>
      </c>
      <c r="F379" t="s">
        <v>3420</v>
      </c>
      <c r="G379">
        <v>16301</v>
      </c>
      <c r="H379" t="s">
        <v>3400</v>
      </c>
      <c r="I379" t="s">
        <v>3391</v>
      </c>
      <c r="J379" t="s">
        <v>3392</v>
      </c>
      <c r="K379" t="s">
        <v>3301</v>
      </c>
      <c r="L379" t="s">
        <v>6778</v>
      </c>
      <c r="M379" t="s">
        <v>6779</v>
      </c>
      <c r="N379" t="s">
        <v>6792</v>
      </c>
      <c r="O379">
        <v>1</v>
      </c>
      <c r="P379" t="str">
        <f>+BARRAS[[#This Row],[Barra]]&amp;"_"&amp;BARRAS[[#This Row],[Nivel de tensión]]</f>
        <v>QUILLOTA_110</v>
      </c>
    </row>
    <row r="380" spans="1:16">
      <c r="A380" t="s">
        <v>1151</v>
      </c>
      <c r="B380">
        <v>220</v>
      </c>
      <c r="C380">
        <v>519</v>
      </c>
      <c r="D380" t="s">
        <v>4436</v>
      </c>
      <c r="E380" t="s">
        <v>4437</v>
      </c>
      <c r="F380" t="s">
        <v>4438</v>
      </c>
      <c r="G380">
        <v>16301</v>
      </c>
      <c r="H380" t="s">
        <v>3409</v>
      </c>
      <c r="I380" t="s">
        <v>3391</v>
      </c>
      <c r="J380" t="s">
        <v>3392</v>
      </c>
      <c r="K380" t="s">
        <v>6315</v>
      </c>
      <c r="L380" t="s">
        <v>6778</v>
      </c>
      <c r="M380" t="s">
        <v>6779</v>
      </c>
      <c r="N380" t="s">
        <v>6792</v>
      </c>
      <c r="O380">
        <v>1</v>
      </c>
      <c r="P380" t="str">
        <f>+BARRAS[[#This Row],[Barra]]&amp;"_"&amp;BARRAS[[#This Row],[Nivel de tensión]]</f>
        <v>QUILLOTA_220</v>
      </c>
    </row>
    <row r="381" spans="1:16">
      <c r="A381" t="s">
        <v>1154</v>
      </c>
      <c r="B381">
        <v>33</v>
      </c>
      <c r="C381">
        <v>1</v>
      </c>
      <c r="D381" t="s">
        <v>3397</v>
      </c>
      <c r="E381" t="s">
        <v>4439</v>
      </c>
      <c r="F381" t="s">
        <v>3420</v>
      </c>
      <c r="G381">
        <v>16301</v>
      </c>
      <c r="H381" t="s">
        <v>3414</v>
      </c>
      <c r="I381" t="s">
        <v>3391</v>
      </c>
      <c r="J381" t="s">
        <v>3392</v>
      </c>
      <c r="K381" t="s">
        <v>3304</v>
      </c>
      <c r="L381" t="s">
        <v>6778</v>
      </c>
      <c r="M381" t="s">
        <v>6779</v>
      </c>
      <c r="N381" t="s">
        <v>6792</v>
      </c>
      <c r="O381">
        <v>1</v>
      </c>
      <c r="P381" t="str">
        <f>+BARRAS[[#This Row],[Barra]]&amp;"_"&amp;BARRAS[[#This Row],[Nivel de tensión]]</f>
        <v>QUILMO_33</v>
      </c>
    </row>
    <row r="382" spans="1:16">
      <c r="A382" t="s">
        <v>1154</v>
      </c>
      <c r="B382">
        <v>66</v>
      </c>
      <c r="C382">
        <v>1</v>
      </c>
      <c r="D382" t="s">
        <v>3397</v>
      </c>
      <c r="E382" t="s">
        <v>4440</v>
      </c>
      <c r="F382" t="s">
        <v>3420</v>
      </c>
      <c r="G382">
        <v>16301</v>
      </c>
      <c r="H382" t="s">
        <v>3414</v>
      </c>
      <c r="I382" t="s">
        <v>3391</v>
      </c>
      <c r="J382" t="s">
        <v>3392</v>
      </c>
      <c r="K382" t="s">
        <v>3304</v>
      </c>
      <c r="L382" t="s">
        <v>6778</v>
      </c>
      <c r="M382" t="s">
        <v>6779</v>
      </c>
      <c r="N382" t="s">
        <v>6792</v>
      </c>
      <c r="O382">
        <v>1</v>
      </c>
      <c r="P382" t="str">
        <f>+BARRAS[[#This Row],[Barra]]&amp;"_"&amp;BARRAS[[#This Row],[Nivel de tensión]]</f>
        <v>QUILMO_66</v>
      </c>
    </row>
    <row r="383" spans="1:16">
      <c r="A383" t="s">
        <v>1157</v>
      </c>
      <c r="B383">
        <v>13</v>
      </c>
      <c r="C383">
        <v>1024</v>
      </c>
      <c r="D383" t="s">
        <v>4441</v>
      </c>
      <c r="E383" t="s">
        <v>4442</v>
      </c>
      <c r="F383" t="s">
        <v>4443</v>
      </c>
      <c r="G383">
        <v>16301</v>
      </c>
      <c r="H383" t="s">
        <v>3418</v>
      </c>
      <c r="I383" t="s">
        <v>3391</v>
      </c>
      <c r="J383" t="s">
        <v>3392</v>
      </c>
      <c r="K383" t="s">
        <v>3302</v>
      </c>
      <c r="L383" t="s">
        <v>6778</v>
      </c>
      <c r="M383" t="s">
        <v>6779</v>
      </c>
      <c r="N383" t="s">
        <v>6792</v>
      </c>
      <c r="O383">
        <v>1</v>
      </c>
      <c r="P383" t="str">
        <f>+BARRAS[[#This Row],[Barra]]&amp;"_"&amp;BARRAS[[#This Row],[Nivel de tensión]]</f>
        <v>QUILPUE_13</v>
      </c>
    </row>
    <row r="384" spans="1:16">
      <c r="A384" t="s">
        <v>1157</v>
      </c>
      <c r="B384">
        <v>110</v>
      </c>
      <c r="C384">
        <v>1024</v>
      </c>
      <c r="D384" t="s">
        <v>4444</v>
      </c>
      <c r="E384" t="s">
        <v>4445</v>
      </c>
      <c r="F384" t="s">
        <v>4443</v>
      </c>
      <c r="G384">
        <v>16301</v>
      </c>
      <c r="H384" t="s">
        <v>3418</v>
      </c>
      <c r="I384" t="s">
        <v>3391</v>
      </c>
      <c r="J384" t="s">
        <v>3392</v>
      </c>
      <c r="K384" t="s">
        <v>3302</v>
      </c>
      <c r="L384" t="s">
        <v>6778</v>
      </c>
      <c r="M384" t="s">
        <v>6779</v>
      </c>
      <c r="N384" t="s">
        <v>6792</v>
      </c>
      <c r="O384">
        <v>1</v>
      </c>
      <c r="P384" t="str">
        <f>+BARRAS[[#This Row],[Barra]]&amp;"_"&amp;BARRAS[[#This Row],[Nivel de tensión]]</f>
        <v>QUILPUE_110</v>
      </c>
    </row>
    <row r="385" spans="1:16">
      <c r="A385" t="s">
        <v>4446</v>
      </c>
      <c r="B385">
        <v>66</v>
      </c>
      <c r="C385">
        <v>1</v>
      </c>
      <c r="D385" t="s">
        <v>3397</v>
      </c>
      <c r="E385" t="s">
        <v>3419</v>
      </c>
      <c r="F385" t="s">
        <v>3420</v>
      </c>
      <c r="G385">
        <v>16301</v>
      </c>
      <c r="H385" t="s">
        <v>3396</v>
      </c>
      <c r="I385" t="s">
        <v>3391</v>
      </c>
      <c r="J385" t="s">
        <v>3392</v>
      </c>
      <c r="K385" t="s">
        <v>6315</v>
      </c>
      <c r="L385" t="s">
        <v>6778</v>
      </c>
      <c r="M385" t="s">
        <v>6779</v>
      </c>
      <c r="N385" t="s">
        <v>6792</v>
      </c>
      <c r="O385">
        <v>1</v>
      </c>
      <c r="P385" t="str">
        <f>+BARRAS[[#This Row],[Barra]]&amp;"_"&amp;BARRAS[[#This Row],[Nivel de tensión]]</f>
        <v>QUINAHUE_66</v>
      </c>
    </row>
    <row r="386" spans="1:16">
      <c r="A386" t="s">
        <v>4447</v>
      </c>
      <c r="B386">
        <v>154</v>
      </c>
      <c r="C386">
        <v>1</v>
      </c>
      <c r="D386" t="s">
        <v>3397</v>
      </c>
      <c r="E386" t="s">
        <v>3419</v>
      </c>
      <c r="F386" t="s">
        <v>3420</v>
      </c>
      <c r="G386">
        <v>16301</v>
      </c>
      <c r="H386" t="s">
        <v>3414</v>
      </c>
      <c r="I386" t="s">
        <v>3391</v>
      </c>
      <c r="J386" t="s">
        <v>3392</v>
      </c>
      <c r="K386" t="s">
        <v>3304</v>
      </c>
      <c r="L386" t="s">
        <v>6778</v>
      </c>
      <c r="M386" t="s">
        <v>6779</v>
      </c>
      <c r="N386" t="s">
        <v>6792</v>
      </c>
      <c r="O386">
        <v>1</v>
      </c>
      <c r="P386" t="str">
        <f>+BARRAS[[#This Row],[Barra]]&amp;"_"&amp;BARRAS[[#This Row],[Nivel de tensión]]</f>
        <v>QUINENCO_154</v>
      </c>
    </row>
    <row r="387" spans="1:16">
      <c r="A387" t="s">
        <v>1162</v>
      </c>
      <c r="B387">
        <v>23</v>
      </c>
      <c r="C387">
        <v>162</v>
      </c>
      <c r="D387" t="s">
        <v>4448</v>
      </c>
      <c r="E387" t="s">
        <v>4449</v>
      </c>
      <c r="F387" t="s">
        <v>4450</v>
      </c>
      <c r="G387">
        <v>16301</v>
      </c>
      <c r="H387" t="s">
        <v>3400</v>
      </c>
      <c r="I387" t="s">
        <v>3391</v>
      </c>
      <c r="J387" t="s">
        <v>3392</v>
      </c>
      <c r="K387" t="s">
        <v>3301</v>
      </c>
      <c r="L387" t="s">
        <v>6778</v>
      </c>
      <c r="M387" t="s">
        <v>6779</v>
      </c>
      <c r="N387" t="s">
        <v>6792</v>
      </c>
      <c r="O387">
        <v>1</v>
      </c>
      <c r="P387" t="str">
        <f>+BARRAS[[#This Row],[Barra]]&amp;"_"&amp;BARRAS[[#This Row],[Nivel de tensión]]</f>
        <v>QUINQUIMO_23</v>
      </c>
    </row>
    <row r="388" spans="1:16">
      <c r="A388" t="s">
        <v>1162</v>
      </c>
      <c r="B388">
        <v>110</v>
      </c>
      <c r="C388">
        <v>1</v>
      </c>
      <c r="D388" t="s">
        <v>3397</v>
      </c>
      <c r="E388" t="s">
        <v>4451</v>
      </c>
      <c r="F388" t="s">
        <v>3420</v>
      </c>
      <c r="G388">
        <v>16301</v>
      </c>
      <c r="H388" t="s">
        <v>3400</v>
      </c>
      <c r="I388" t="s">
        <v>3391</v>
      </c>
      <c r="J388" t="s">
        <v>3392</v>
      </c>
      <c r="K388" t="s">
        <v>3301</v>
      </c>
      <c r="L388" t="s">
        <v>6778</v>
      </c>
      <c r="M388" t="s">
        <v>6779</v>
      </c>
      <c r="N388" t="s">
        <v>6792</v>
      </c>
      <c r="O388">
        <v>1</v>
      </c>
      <c r="P388" t="str">
        <f>+BARRAS[[#This Row],[Barra]]&amp;"_"&amp;BARRAS[[#This Row],[Nivel de tensión]]</f>
        <v>QUINQUIMO_110</v>
      </c>
    </row>
    <row r="389" spans="1:16">
      <c r="A389" t="s">
        <v>4452</v>
      </c>
      <c r="B389">
        <v>110</v>
      </c>
      <c r="C389">
        <v>1</v>
      </c>
      <c r="D389" t="s">
        <v>3397</v>
      </c>
      <c r="E389" t="s">
        <v>4453</v>
      </c>
      <c r="F389" t="s">
        <v>3420</v>
      </c>
      <c r="G389">
        <v>16301</v>
      </c>
      <c r="H389" t="s">
        <v>3400</v>
      </c>
      <c r="I389" t="s">
        <v>3391</v>
      </c>
      <c r="J389" t="s">
        <v>3392</v>
      </c>
      <c r="K389" t="s">
        <v>3301</v>
      </c>
      <c r="L389" t="s">
        <v>6778</v>
      </c>
      <c r="M389" t="s">
        <v>6779</v>
      </c>
      <c r="N389" t="s">
        <v>6792</v>
      </c>
      <c r="O389">
        <v>1</v>
      </c>
      <c r="P389" t="str">
        <f>+BARRAS[[#This Row],[Barra]]&amp;"_"&amp;BARRAS[[#This Row],[Nivel de tensión]]</f>
        <v>QUINQUIMO2_110</v>
      </c>
    </row>
    <row r="390" spans="1:16">
      <c r="A390" t="s">
        <v>1166</v>
      </c>
      <c r="B390">
        <v>13</v>
      </c>
      <c r="C390">
        <v>1093</v>
      </c>
      <c r="D390" t="s">
        <v>4454</v>
      </c>
      <c r="E390" t="s">
        <v>4455</v>
      </c>
      <c r="F390" t="s">
        <v>4456</v>
      </c>
      <c r="G390">
        <v>16301</v>
      </c>
      <c r="H390" t="s">
        <v>3414</v>
      </c>
      <c r="I390" t="s">
        <v>3391</v>
      </c>
      <c r="J390" t="s">
        <v>3392</v>
      </c>
      <c r="K390" t="s">
        <v>3304</v>
      </c>
      <c r="L390" t="s">
        <v>6778</v>
      </c>
      <c r="M390" t="s">
        <v>6779</v>
      </c>
      <c r="N390" t="s">
        <v>6792</v>
      </c>
      <c r="O390">
        <v>1</v>
      </c>
      <c r="P390" t="str">
        <f>+BARRAS[[#This Row],[Barra]]&amp;"_"&amp;BARRAS[[#This Row],[Nivel de tensión]]</f>
        <v>QUINTA_13</v>
      </c>
    </row>
    <row r="391" spans="1:16">
      <c r="A391" t="s">
        <v>1166</v>
      </c>
      <c r="B391">
        <v>66</v>
      </c>
      <c r="C391">
        <v>1243</v>
      </c>
      <c r="D391" t="s">
        <v>4457</v>
      </c>
      <c r="E391" t="s">
        <v>4458</v>
      </c>
      <c r="F391" t="s">
        <v>4456</v>
      </c>
      <c r="G391">
        <v>16301</v>
      </c>
      <c r="H391" t="s">
        <v>3414</v>
      </c>
      <c r="I391" t="s">
        <v>3391</v>
      </c>
      <c r="J391" t="s">
        <v>3392</v>
      </c>
      <c r="K391" t="s">
        <v>3304</v>
      </c>
      <c r="L391" t="s">
        <v>6778</v>
      </c>
      <c r="M391" t="s">
        <v>6779</v>
      </c>
      <c r="N391" t="s">
        <v>6792</v>
      </c>
      <c r="O391">
        <v>1</v>
      </c>
      <c r="P391" t="str">
        <f>+BARRAS[[#This Row],[Barra]]&amp;"_"&amp;BARRAS[[#This Row],[Nivel de tensión]]</f>
        <v>QUINTA_66</v>
      </c>
    </row>
    <row r="392" spans="1:16">
      <c r="A392" t="s">
        <v>4459</v>
      </c>
      <c r="B392">
        <v>13</v>
      </c>
      <c r="C392">
        <v>1028</v>
      </c>
      <c r="D392" t="s">
        <v>4460</v>
      </c>
      <c r="E392" t="s">
        <v>4461</v>
      </c>
      <c r="F392" t="s">
        <v>4462</v>
      </c>
      <c r="G392">
        <v>16301</v>
      </c>
      <c r="H392" t="s">
        <v>3418</v>
      </c>
      <c r="I392" t="s">
        <v>3391</v>
      </c>
      <c r="J392" t="s">
        <v>3392</v>
      </c>
      <c r="K392" t="s">
        <v>3302</v>
      </c>
      <c r="L392" t="s">
        <v>6778</v>
      </c>
      <c r="M392" t="s">
        <v>6779</v>
      </c>
      <c r="N392" t="s">
        <v>6792</v>
      </c>
      <c r="O392">
        <v>1</v>
      </c>
      <c r="P392" t="str">
        <f>+BARRAS[[#This Row],[Barra]]&amp;"_"&amp;BARRAS[[#This Row],[Nivel de tensión]]</f>
        <v>QUINTAY_13</v>
      </c>
    </row>
    <row r="393" spans="1:16">
      <c r="A393" t="s">
        <v>4459</v>
      </c>
      <c r="B393">
        <v>66</v>
      </c>
      <c r="C393">
        <v>1</v>
      </c>
      <c r="D393" t="s">
        <v>3397</v>
      </c>
      <c r="E393" t="s">
        <v>4463</v>
      </c>
      <c r="F393" t="s">
        <v>3420</v>
      </c>
      <c r="G393">
        <v>16301</v>
      </c>
      <c r="H393" t="s">
        <v>3418</v>
      </c>
      <c r="I393" t="s">
        <v>3391</v>
      </c>
      <c r="J393" t="s">
        <v>3392</v>
      </c>
      <c r="K393" t="s">
        <v>3302</v>
      </c>
      <c r="L393" t="s">
        <v>6778</v>
      </c>
      <c r="M393" t="s">
        <v>6779</v>
      </c>
      <c r="N393" t="s">
        <v>6792</v>
      </c>
      <c r="O393">
        <v>1</v>
      </c>
      <c r="P393" t="str">
        <f>+BARRAS[[#This Row],[Barra]]&amp;"_"&amp;BARRAS[[#This Row],[Nivel de tensión]]</f>
        <v>QUINTAY_66</v>
      </c>
    </row>
    <row r="394" spans="1:16">
      <c r="A394" t="s">
        <v>1171</v>
      </c>
      <c r="B394">
        <v>13</v>
      </c>
      <c r="C394">
        <v>1029</v>
      </c>
      <c r="D394" t="s">
        <v>4464</v>
      </c>
      <c r="E394" t="s">
        <v>4465</v>
      </c>
      <c r="F394" t="s">
        <v>4466</v>
      </c>
      <c r="G394">
        <v>16301</v>
      </c>
      <c r="H394" t="s">
        <v>3418</v>
      </c>
      <c r="I394" t="s">
        <v>3391</v>
      </c>
      <c r="J394" t="s">
        <v>3392</v>
      </c>
      <c r="K394" t="s">
        <v>3302</v>
      </c>
      <c r="L394" t="s">
        <v>6778</v>
      </c>
      <c r="M394" t="s">
        <v>6779</v>
      </c>
      <c r="N394" t="s">
        <v>6792</v>
      </c>
      <c r="O394">
        <v>1</v>
      </c>
      <c r="P394" t="str">
        <f>+BARRAS[[#This Row],[Barra]]&amp;"_"&amp;BARRAS[[#This Row],[Nivel de tensión]]</f>
        <v>QUINTERO_13</v>
      </c>
    </row>
    <row r="395" spans="1:16">
      <c r="A395" t="s">
        <v>1171</v>
      </c>
      <c r="B395">
        <v>110</v>
      </c>
      <c r="C395">
        <v>1</v>
      </c>
      <c r="D395" t="s">
        <v>3397</v>
      </c>
      <c r="E395" t="s">
        <v>4467</v>
      </c>
      <c r="F395" t="s">
        <v>3420</v>
      </c>
      <c r="G395">
        <v>16301</v>
      </c>
      <c r="H395" t="s">
        <v>3418</v>
      </c>
      <c r="I395" t="s">
        <v>3391</v>
      </c>
      <c r="J395" t="s">
        <v>3392</v>
      </c>
      <c r="K395" t="s">
        <v>3302</v>
      </c>
      <c r="L395" t="s">
        <v>6778</v>
      </c>
      <c r="M395" t="s">
        <v>6779</v>
      </c>
      <c r="N395" t="s">
        <v>6792</v>
      </c>
      <c r="O395">
        <v>1</v>
      </c>
      <c r="P395" t="str">
        <f>+BARRAS[[#This Row],[Barra]]&amp;"_"&amp;BARRAS[[#This Row],[Nivel de tensión]]</f>
        <v>QUINTERO_110</v>
      </c>
    </row>
    <row r="396" spans="1:16">
      <c r="A396" t="s">
        <v>1171</v>
      </c>
      <c r="B396">
        <v>220</v>
      </c>
      <c r="C396">
        <v>1794</v>
      </c>
      <c r="D396" t="s">
        <v>4468</v>
      </c>
      <c r="E396" t="s">
        <v>4469</v>
      </c>
      <c r="F396" t="s">
        <v>4470</v>
      </c>
      <c r="G396">
        <v>16301</v>
      </c>
      <c r="H396" t="s">
        <v>3405</v>
      </c>
      <c r="I396" t="s">
        <v>3391</v>
      </c>
      <c r="J396" t="s">
        <v>3392</v>
      </c>
      <c r="K396" t="s">
        <v>6315</v>
      </c>
      <c r="L396" t="s">
        <v>6778</v>
      </c>
      <c r="M396" t="s">
        <v>6779</v>
      </c>
      <c r="N396" t="s">
        <v>6792</v>
      </c>
      <c r="O396">
        <v>1</v>
      </c>
      <c r="P396" t="str">
        <f>+BARRAS[[#This Row],[Barra]]&amp;"_"&amp;BARRAS[[#This Row],[Nivel de tensión]]</f>
        <v>QUINTERO_220</v>
      </c>
    </row>
    <row r="397" spans="1:16">
      <c r="A397" t="s">
        <v>1175</v>
      </c>
      <c r="B397">
        <v>13</v>
      </c>
      <c r="C397">
        <v>615</v>
      </c>
      <c r="D397" t="s">
        <v>4471</v>
      </c>
      <c r="E397" t="s">
        <v>4472</v>
      </c>
      <c r="F397" t="s">
        <v>4473</v>
      </c>
      <c r="G397">
        <v>16301</v>
      </c>
      <c r="H397" t="s">
        <v>3414</v>
      </c>
      <c r="I397" t="s">
        <v>3391</v>
      </c>
      <c r="J397" t="s">
        <v>3392</v>
      </c>
      <c r="K397" t="s">
        <v>3304</v>
      </c>
      <c r="L397" t="s">
        <v>6778</v>
      </c>
      <c r="M397" t="s">
        <v>6779</v>
      </c>
      <c r="N397" t="s">
        <v>6792</v>
      </c>
      <c r="O397">
        <v>1</v>
      </c>
      <c r="P397" t="str">
        <f>+BARRAS[[#This Row],[Barra]]&amp;"_"&amp;BARRAS[[#This Row],[Nivel de tensión]]</f>
        <v>QUIRIHUE_13</v>
      </c>
    </row>
    <row r="398" spans="1:16">
      <c r="A398" t="s">
        <v>1175</v>
      </c>
      <c r="B398">
        <v>23</v>
      </c>
      <c r="C398">
        <v>1</v>
      </c>
      <c r="D398" t="s">
        <v>3397</v>
      </c>
      <c r="E398" t="s">
        <v>4474</v>
      </c>
      <c r="F398" t="s">
        <v>3420</v>
      </c>
      <c r="G398">
        <v>16301</v>
      </c>
      <c r="H398" t="s">
        <v>3414</v>
      </c>
      <c r="I398" t="s">
        <v>3391</v>
      </c>
      <c r="J398" t="s">
        <v>3392</v>
      </c>
      <c r="K398" t="s">
        <v>3304</v>
      </c>
      <c r="L398" t="s">
        <v>6778</v>
      </c>
      <c r="M398" t="s">
        <v>6779</v>
      </c>
      <c r="N398" t="s">
        <v>6792</v>
      </c>
      <c r="O398">
        <v>1</v>
      </c>
      <c r="P398" t="str">
        <f>+BARRAS[[#This Row],[Barra]]&amp;"_"&amp;BARRAS[[#This Row],[Nivel de tensión]]</f>
        <v>QUIRIHUE_23</v>
      </c>
    </row>
    <row r="399" spans="1:16">
      <c r="A399" t="s">
        <v>1175</v>
      </c>
      <c r="B399">
        <v>33</v>
      </c>
      <c r="C399">
        <v>1</v>
      </c>
      <c r="D399" t="s">
        <v>3397</v>
      </c>
      <c r="E399" t="s">
        <v>4475</v>
      </c>
      <c r="F399" t="s">
        <v>3420</v>
      </c>
      <c r="G399">
        <v>16301</v>
      </c>
      <c r="H399" t="s">
        <v>3414</v>
      </c>
      <c r="I399" t="s">
        <v>3391</v>
      </c>
      <c r="J399" t="s">
        <v>3392</v>
      </c>
      <c r="K399" t="s">
        <v>3304</v>
      </c>
      <c r="L399" t="s">
        <v>6778</v>
      </c>
      <c r="M399" t="s">
        <v>6779</v>
      </c>
      <c r="N399" t="s">
        <v>6792</v>
      </c>
      <c r="O399">
        <v>1</v>
      </c>
      <c r="P399" t="str">
        <f>+BARRAS[[#This Row],[Barra]]&amp;"_"&amp;BARRAS[[#This Row],[Nivel de tensión]]</f>
        <v>QUIRIHUE_33</v>
      </c>
    </row>
    <row r="400" spans="1:16">
      <c r="A400" t="s">
        <v>1179</v>
      </c>
      <c r="B400">
        <v>23</v>
      </c>
      <c r="C400">
        <v>1289</v>
      </c>
      <c r="D400" t="s">
        <v>3397</v>
      </c>
      <c r="E400" t="s">
        <v>4476</v>
      </c>
      <c r="F400" t="s">
        <v>4477</v>
      </c>
      <c r="G400">
        <v>16301</v>
      </c>
      <c r="H400" t="s">
        <v>3405</v>
      </c>
      <c r="I400" t="s">
        <v>3391</v>
      </c>
      <c r="J400" t="s">
        <v>3392</v>
      </c>
      <c r="K400" t="s">
        <v>6315</v>
      </c>
      <c r="L400" t="s">
        <v>6778</v>
      </c>
      <c r="M400" t="s">
        <v>6779</v>
      </c>
      <c r="N400" t="s">
        <v>6792</v>
      </c>
      <c r="O400">
        <v>1</v>
      </c>
      <c r="P400" t="str">
        <f>+BARRAS[[#This Row],[Barra]]&amp;"_"&amp;BARRAS[[#This Row],[Nivel de tensión]]</f>
        <v>R.BONITO_23</v>
      </c>
    </row>
    <row r="401" spans="1:16">
      <c r="A401" t="s">
        <v>1179</v>
      </c>
      <c r="B401">
        <v>110</v>
      </c>
      <c r="C401">
        <v>1</v>
      </c>
      <c r="D401" t="s">
        <v>3397</v>
      </c>
      <c r="E401" t="s">
        <v>4478</v>
      </c>
      <c r="F401" t="s">
        <v>3420</v>
      </c>
      <c r="G401">
        <v>16301</v>
      </c>
      <c r="H401" t="s">
        <v>3405</v>
      </c>
      <c r="I401" t="s">
        <v>3391</v>
      </c>
      <c r="J401" t="s">
        <v>3392</v>
      </c>
      <c r="K401" t="s">
        <v>6315</v>
      </c>
      <c r="L401" t="s">
        <v>6778</v>
      </c>
      <c r="M401" t="s">
        <v>6779</v>
      </c>
      <c r="N401" t="s">
        <v>6792</v>
      </c>
      <c r="O401">
        <v>1</v>
      </c>
      <c r="P401" t="str">
        <f>+BARRAS[[#This Row],[Barra]]&amp;"_"&amp;BARRAS[[#This Row],[Nivel de tensión]]</f>
        <v>R.BONITO_110</v>
      </c>
    </row>
    <row r="402" spans="1:16">
      <c r="A402" t="s">
        <v>1212</v>
      </c>
      <c r="B402">
        <v>66</v>
      </c>
      <c r="C402">
        <v>266</v>
      </c>
      <c r="D402" t="s">
        <v>4539</v>
      </c>
      <c r="E402" t="s">
        <v>4540</v>
      </c>
      <c r="F402" t="s">
        <v>4538</v>
      </c>
      <c r="G402">
        <v>16301</v>
      </c>
      <c r="H402" t="s">
        <v>3414</v>
      </c>
      <c r="I402" t="s">
        <v>3391</v>
      </c>
      <c r="J402" t="s">
        <v>3392</v>
      </c>
      <c r="K402" t="s">
        <v>3304</v>
      </c>
      <c r="L402" t="s">
        <v>6778</v>
      </c>
      <c r="M402" t="s">
        <v>6779</v>
      </c>
      <c r="N402" t="s">
        <v>6792</v>
      </c>
      <c r="O402">
        <v>1</v>
      </c>
      <c r="P402" t="str">
        <f>+BARRAS[[#This Row],[Barra]]&amp;"_"&amp;BARRAS[[#This Row],[Nivel de tensión]]</f>
        <v>RENGO_66</v>
      </c>
    </row>
    <row r="403" spans="1:16">
      <c r="A403" t="s">
        <v>1215</v>
      </c>
      <c r="B403">
        <v>13</v>
      </c>
      <c r="C403">
        <v>616</v>
      </c>
      <c r="D403" t="s">
        <v>4541</v>
      </c>
      <c r="E403" t="s">
        <v>4542</v>
      </c>
      <c r="F403" t="s">
        <v>4543</v>
      </c>
      <c r="G403">
        <v>16301</v>
      </c>
      <c r="H403" t="s">
        <v>3414</v>
      </c>
      <c r="I403" t="s">
        <v>3391</v>
      </c>
      <c r="J403" t="s">
        <v>3392</v>
      </c>
      <c r="K403" t="s">
        <v>3304</v>
      </c>
      <c r="L403" t="s">
        <v>6778</v>
      </c>
      <c r="M403" t="s">
        <v>6779</v>
      </c>
      <c r="N403" t="s">
        <v>6792</v>
      </c>
      <c r="O403">
        <v>1</v>
      </c>
      <c r="P403" t="str">
        <f>+BARRAS[[#This Row],[Barra]]&amp;"_"&amp;BARRAS[[#This Row],[Nivel de tensión]]</f>
        <v>RETIRO_13</v>
      </c>
    </row>
    <row r="404" spans="1:16">
      <c r="A404" t="s">
        <v>1215</v>
      </c>
      <c r="B404">
        <v>66</v>
      </c>
      <c r="C404">
        <v>1</v>
      </c>
      <c r="D404" t="s">
        <v>3397</v>
      </c>
      <c r="E404" t="s">
        <v>3419</v>
      </c>
      <c r="F404" t="s">
        <v>3420</v>
      </c>
      <c r="G404">
        <v>16301</v>
      </c>
      <c r="H404" t="s">
        <v>3414</v>
      </c>
      <c r="I404" t="s">
        <v>3391</v>
      </c>
      <c r="J404" t="s">
        <v>3392</v>
      </c>
      <c r="K404" t="s">
        <v>3304</v>
      </c>
      <c r="L404" t="s">
        <v>6778</v>
      </c>
      <c r="M404" t="s">
        <v>6779</v>
      </c>
      <c r="N404" t="s">
        <v>6792</v>
      </c>
      <c r="O404">
        <v>1</v>
      </c>
      <c r="P404" t="str">
        <f>+BARRAS[[#This Row],[Barra]]&amp;"_"&amp;BARRAS[[#This Row],[Nivel de tensión]]</f>
        <v>RETIRO_66</v>
      </c>
    </row>
    <row r="405" spans="1:16">
      <c r="A405" t="s">
        <v>3500</v>
      </c>
      <c r="B405">
        <v>44</v>
      </c>
      <c r="C405">
        <v>1</v>
      </c>
      <c r="D405" t="s">
        <v>3397</v>
      </c>
      <c r="E405" t="s">
        <v>3501</v>
      </c>
      <c r="F405" t="s">
        <v>3420</v>
      </c>
      <c r="G405">
        <v>16301</v>
      </c>
      <c r="H405" t="s">
        <v>3418</v>
      </c>
      <c r="I405" t="s">
        <v>3391</v>
      </c>
      <c r="J405" t="s">
        <v>3392</v>
      </c>
      <c r="K405" t="s">
        <v>3302</v>
      </c>
      <c r="L405" t="s">
        <v>6778</v>
      </c>
      <c r="M405" t="s">
        <v>6779</v>
      </c>
      <c r="N405" t="s">
        <v>6792</v>
      </c>
      <c r="O405">
        <v>1</v>
      </c>
      <c r="P405" t="str">
        <f>+BARRAS[[#This Row],[Barra]]&amp;"_"&amp;BARRAS[[#This Row],[Nivel de tensión]]</f>
        <v>RIECILLOS_44</v>
      </c>
    </row>
    <row r="406" spans="1:16">
      <c r="A406" t="s">
        <v>4544</v>
      </c>
      <c r="B406">
        <v>13</v>
      </c>
      <c r="C406">
        <v>1034</v>
      </c>
      <c r="D406" t="s">
        <v>4545</v>
      </c>
      <c r="E406" t="s">
        <v>4546</v>
      </c>
      <c r="F406" t="s">
        <v>4547</v>
      </c>
      <c r="G406">
        <v>16301</v>
      </c>
      <c r="H406" t="s">
        <v>3418</v>
      </c>
      <c r="I406" t="s">
        <v>3391</v>
      </c>
      <c r="J406" t="s">
        <v>3392</v>
      </c>
      <c r="K406" t="s">
        <v>3302</v>
      </c>
      <c r="L406" t="s">
        <v>6778</v>
      </c>
      <c r="M406" t="s">
        <v>6779</v>
      </c>
      <c r="N406" t="s">
        <v>6792</v>
      </c>
      <c r="O406">
        <v>1</v>
      </c>
      <c r="P406" t="str">
        <f>+BARRAS[[#This Row],[Barra]]&amp;"_"&amp;BARRAS[[#This Row],[Nivel de tensión]]</f>
        <v>RIO_BLANCO_13</v>
      </c>
    </row>
    <row r="407" spans="1:16">
      <c r="A407" t="s">
        <v>4544</v>
      </c>
      <c r="B407">
        <v>44</v>
      </c>
      <c r="C407">
        <v>1</v>
      </c>
      <c r="D407" t="s">
        <v>3397</v>
      </c>
      <c r="E407" t="s">
        <v>4548</v>
      </c>
      <c r="F407" t="s">
        <v>3420</v>
      </c>
      <c r="G407">
        <v>16301</v>
      </c>
      <c r="H407" t="s">
        <v>3418</v>
      </c>
      <c r="I407" t="s">
        <v>3391</v>
      </c>
      <c r="J407" t="s">
        <v>3392</v>
      </c>
      <c r="K407" t="s">
        <v>3302</v>
      </c>
      <c r="L407" t="s">
        <v>6778</v>
      </c>
      <c r="M407" t="s">
        <v>6779</v>
      </c>
      <c r="N407" t="s">
        <v>6792</v>
      </c>
      <c r="O407">
        <v>1</v>
      </c>
      <c r="P407" t="str">
        <f>+BARRAS[[#This Row],[Barra]]&amp;"_"&amp;BARRAS[[#This Row],[Nivel de tensión]]</f>
        <v>RIO_BLANCO_44</v>
      </c>
    </row>
    <row r="408" spans="1:16">
      <c r="A408" t="s">
        <v>4549</v>
      </c>
      <c r="B408">
        <v>220</v>
      </c>
      <c r="C408">
        <v>1</v>
      </c>
      <c r="D408" t="s">
        <v>3397</v>
      </c>
      <c r="E408" t="s">
        <v>4550</v>
      </c>
      <c r="F408" t="s">
        <v>3420</v>
      </c>
      <c r="G408">
        <v>16301</v>
      </c>
      <c r="H408" t="s">
        <v>3405</v>
      </c>
      <c r="I408" t="s">
        <v>3391</v>
      </c>
      <c r="J408" t="s">
        <v>3392</v>
      </c>
      <c r="K408" t="s">
        <v>6315</v>
      </c>
      <c r="L408" t="s">
        <v>6778</v>
      </c>
      <c r="M408" t="s">
        <v>6779</v>
      </c>
      <c r="N408" t="s">
        <v>6792</v>
      </c>
      <c r="O408">
        <v>1</v>
      </c>
      <c r="P408" t="str">
        <f>+BARRAS[[#This Row],[Barra]]&amp;"_"&amp;BARRAS[[#This Row],[Nivel de tensión]]</f>
        <v>RIO_ESCONDIDO_220</v>
      </c>
    </row>
    <row r="409" spans="1:16">
      <c r="A409" t="s">
        <v>4551</v>
      </c>
      <c r="B409">
        <v>220</v>
      </c>
      <c r="C409">
        <v>1</v>
      </c>
      <c r="D409" t="s">
        <v>3397</v>
      </c>
      <c r="E409" t="s">
        <v>4552</v>
      </c>
      <c r="F409" t="s">
        <v>3420</v>
      </c>
      <c r="G409">
        <v>16301</v>
      </c>
      <c r="H409" t="s">
        <v>3409</v>
      </c>
      <c r="I409" t="s">
        <v>3391</v>
      </c>
      <c r="J409" t="s">
        <v>3392</v>
      </c>
      <c r="K409" t="s">
        <v>6315</v>
      </c>
      <c r="L409" t="s">
        <v>6778</v>
      </c>
      <c r="M409" t="s">
        <v>6779</v>
      </c>
      <c r="N409" t="s">
        <v>6792</v>
      </c>
      <c r="O409">
        <v>1</v>
      </c>
      <c r="P409" t="str">
        <f>+BARRAS[[#This Row],[Barra]]&amp;"_"&amp;BARRAS[[#This Row],[Nivel de tensión]]</f>
        <v>RIO_MALLECO_220</v>
      </c>
    </row>
    <row r="410" spans="1:16">
      <c r="A410" t="s">
        <v>4553</v>
      </c>
      <c r="B410">
        <v>110</v>
      </c>
      <c r="C410">
        <v>1</v>
      </c>
      <c r="D410" t="s">
        <v>3397</v>
      </c>
      <c r="E410" t="s">
        <v>3419</v>
      </c>
      <c r="F410" t="s">
        <v>3420</v>
      </c>
      <c r="G410">
        <v>16301</v>
      </c>
      <c r="H410" t="s">
        <v>3405</v>
      </c>
      <c r="I410" t="s">
        <v>3391</v>
      </c>
      <c r="J410" t="s">
        <v>3392</v>
      </c>
      <c r="K410" t="s">
        <v>6315</v>
      </c>
      <c r="L410" t="s">
        <v>6778</v>
      </c>
      <c r="M410" t="s">
        <v>6779</v>
      </c>
      <c r="N410" t="s">
        <v>6792</v>
      </c>
      <c r="O410">
        <v>1</v>
      </c>
      <c r="P410" t="str">
        <f>+BARRAS[[#This Row],[Barra]]&amp;"_"&amp;BARRAS[[#This Row],[Nivel de tensión]]</f>
        <v>RIO_SALADO_110</v>
      </c>
    </row>
    <row r="411" spans="1:16">
      <c r="A411" t="s">
        <v>4554</v>
      </c>
      <c r="B411">
        <v>110</v>
      </c>
      <c r="C411">
        <v>1</v>
      </c>
      <c r="D411" t="s">
        <v>3397</v>
      </c>
      <c r="E411" t="s">
        <v>4555</v>
      </c>
      <c r="F411" t="s">
        <v>3420</v>
      </c>
      <c r="G411">
        <v>16301</v>
      </c>
      <c r="H411" t="s">
        <v>3396</v>
      </c>
      <c r="I411" t="s">
        <v>3391</v>
      </c>
      <c r="J411" t="s">
        <v>3392</v>
      </c>
      <c r="K411" t="s">
        <v>6315</v>
      </c>
      <c r="L411" t="s">
        <v>6778</v>
      </c>
      <c r="M411" t="s">
        <v>6779</v>
      </c>
      <c r="N411" t="s">
        <v>6792</v>
      </c>
      <c r="O411">
        <v>1</v>
      </c>
      <c r="P411" t="str">
        <f>+BARRAS[[#This Row],[Barra]]&amp;"_"&amp;BARRAS[[#This Row],[Nivel de tensión]]</f>
        <v>RIOTOLTEN_110</v>
      </c>
    </row>
    <row r="412" spans="1:16">
      <c r="A412" t="s">
        <v>4556</v>
      </c>
      <c r="B412">
        <v>110</v>
      </c>
      <c r="C412">
        <v>521</v>
      </c>
      <c r="D412" t="s">
        <v>4557</v>
      </c>
      <c r="E412" t="s">
        <v>4558</v>
      </c>
      <c r="F412" t="s">
        <v>3484</v>
      </c>
      <c r="G412">
        <v>16301</v>
      </c>
      <c r="H412" t="s">
        <v>3400</v>
      </c>
      <c r="I412" t="s">
        <v>3391</v>
      </c>
      <c r="J412" t="s">
        <v>3392</v>
      </c>
      <c r="K412" t="s">
        <v>3301</v>
      </c>
      <c r="L412" t="s">
        <v>6778</v>
      </c>
      <c r="M412" t="s">
        <v>6779</v>
      </c>
      <c r="N412" t="s">
        <v>6792</v>
      </c>
      <c r="O412">
        <v>1</v>
      </c>
      <c r="P412" t="str">
        <f>+BARRAS[[#This Row],[Barra]]&amp;"_"&amp;BARRAS[[#This Row],[Nivel de tensión]]</f>
        <v>ROMERAL_110</v>
      </c>
    </row>
    <row r="413" spans="1:16">
      <c r="A413" t="s">
        <v>1224</v>
      </c>
      <c r="B413">
        <v>13</v>
      </c>
      <c r="C413">
        <v>318</v>
      </c>
      <c r="D413" t="s">
        <v>4559</v>
      </c>
      <c r="E413" t="s">
        <v>4560</v>
      </c>
      <c r="F413" t="s">
        <v>4561</v>
      </c>
      <c r="G413">
        <v>16301</v>
      </c>
      <c r="H413" t="s">
        <v>3414</v>
      </c>
      <c r="I413" t="s">
        <v>3391</v>
      </c>
      <c r="J413" t="s">
        <v>3392</v>
      </c>
      <c r="K413" t="s">
        <v>3304</v>
      </c>
      <c r="L413" t="s">
        <v>6778</v>
      </c>
      <c r="M413" t="s">
        <v>6779</v>
      </c>
      <c r="N413" t="s">
        <v>6792</v>
      </c>
      <c r="O413">
        <v>1</v>
      </c>
      <c r="P413" t="str">
        <f>+BARRAS[[#This Row],[Barra]]&amp;"_"&amp;BARRAS[[#This Row],[Nivel de tensión]]</f>
        <v>ROSARIO_13</v>
      </c>
    </row>
    <row r="414" spans="1:16">
      <c r="A414" t="s">
        <v>1224</v>
      </c>
      <c r="B414">
        <v>66</v>
      </c>
      <c r="C414">
        <v>1</v>
      </c>
      <c r="D414" t="s">
        <v>3397</v>
      </c>
      <c r="E414" t="s">
        <v>4562</v>
      </c>
      <c r="F414" t="s">
        <v>3420</v>
      </c>
      <c r="G414">
        <v>16301</v>
      </c>
      <c r="H414" t="s">
        <v>3414</v>
      </c>
      <c r="I414" t="s">
        <v>3391</v>
      </c>
      <c r="J414" t="s">
        <v>3392</v>
      </c>
      <c r="K414" t="s">
        <v>3304</v>
      </c>
      <c r="L414" t="s">
        <v>6778</v>
      </c>
      <c r="M414" t="s">
        <v>6779</v>
      </c>
      <c r="N414" t="s">
        <v>6792</v>
      </c>
      <c r="O414">
        <v>1</v>
      </c>
      <c r="P414" t="str">
        <f>+BARRAS[[#This Row],[Barra]]&amp;"_"&amp;BARRAS[[#This Row],[Nivel de tensión]]</f>
        <v>ROSARIO_66</v>
      </c>
    </row>
    <row r="415" spans="1:16">
      <c r="A415" t="s">
        <v>4563</v>
      </c>
      <c r="B415">
        <v>66</v>
      </c>
      <c r="C415">
        <v>1</v>
      </c>
      <c r="D415" t="s">
        <v>3397</v>
      </c>
      <c r="E415" t="s">
        <v>3419</v>
      </c>
      <c r="F415" t="s">
        <v>3420</v>
      </c>
      <c r="G415">
        <v>16301</v>
      </c>
      <c r="H415" t="s">
        <v>3414</v>
      </c>
      <c r="I415" t="s">
        <v>3391</v>
      </c>
      <c r="J415" t="s">
        <v>3392</v>
      </c>
      <c r="K415" t="s">
        <v>3304</v>
      </c>
      <c r="L415" t="s">
        <v>6778</v>
      </c>
      <c r="M415" t="s">
        <v>6779</v>
      </c>
      <c r="N415" t="s">
        <v>6792</v>
      </c>
      <c r="O415">
        <v>1</v>
      </c>
      <c r="P415" t="str">
        <f>+BARRAS[[#This Row],[Barra]]&amp;"_"&amp;BARRAS[[#This Row],[Nivel de tensión]]</f>
        <v>RRAPEL_66</v>
      </c>
    </row>
    <row r="416" spans="1:16">
      <c r="A416" t="s">
        <v>4564</v>
      </c>
      <c r="B416">
        <v>13</v>
      </c>
      <c r="C416">
        <v>1</v>
      </c>
      <c r="D416" t="s">
        <v>3397</v>
      </c>
      <c r="E416" t="s">
        <v>3419</v>
      </c>
      <c r="F416" t="s">
        <v>3420</v>
      </c>
      <c r="G416">
        <v>16301</v>
      </c>
      <c r="H416" t="s">
        <v>3405</v>
      </c>
      <c r="I416" t="s">
        <v>3391</v>
      </c>
      <c r="J416" t="s">
        <v>3392</v>
      </c>
      <c r="K416" t="s">
        <v>6315</v>
      </c>
      <c r="L416" t="s">
        <v>6778</v>
      </c>
      <c r="M416" t="s">
        <v>6779</v>
      </c>
      <c r="N416" t="s">
        <v>6792</v>
      </c>
      <c r="O416">
        <v>1</v>
      </c>
      <c r="P416" t="str">
        <f>+BARRAS[[#This Row],[Barra]]&amp;"_"&amp;BARRAS[[#This Row],[Nivel de tensión]]</f>
        <v>RUCUE_13</v>
      </c>
    </row>
    <row r="417" spans="1:16">
      <c r="A417" t="s">
        <v>4564</v>
      </c>
      <c r="B417">
        <v>23</v>
      </c>
      <c r="C417">
        <v>1249</v>
      </c>
      <c r="D417" t="s">
        <v>4565</v>
      </c>
      <c r="E417" t="s">
        <v>4566</v>
      </c>
      <c r="F417" t="s">
        <v>4567</v>
      </c>
      <c r="G417">
        <v>16301</v>
      </c>
      <c r="H417" t="s">
        <v>3405</v>
      </c>
      <c r="I417" t="s">
        <v>3391</v>
      </c>
      <c r="J417" t="s">
        <v>3392</v>
      </c>
      <c r="K417" t="s">
        <v>6315</v>
      </c>
      <c r="L417" t="s">
        <v>6778</v>
      </c>
      <c r="M417" t="s">
        <v>6779</v>
      </c>
      <c r="N417" t="s">
        <v>6792</v>
      </c>
      <c r="O417">
        <v>1</v>
      </c>
      <c r="P417" t="str">
        <f>+BARRAS[[#This Row],[Barra]]&amp;"_"&amp;BARRAS[[#This Row],[Nivel de tensión]]</f>
        <v>RUCUE_23</v>
      </c>
    </row>
    <row r="418" spans="1:16">
      <c r="A418" t="s">
        <v>4564</v>
      </c>
      <c r="B418">
        <v>220</v>
      </c>
      <c r="C418">
        <v>1</v>
      </c>
      <c r="D418" t="s">
        <v>3397</v>
      </c>
      <c r="E418" t="s">
        <v>4568</v>
      </c>
      <c r="F418" t="s">
        <v>3420</v>
      </c>
      <c r="G418">
        <v>16301</v>
      </c>
      <c r="H418" t="s">
        <v>3405</v>
      </c>
      <c r="I418" t="s">
        <v>3391</v>
      </c>
      <c r="J418" t="s">
        <v>3392</v>
      </c>
      <c r="K418" t="s">
        <v>6315</v>
      </c>
      <c r="L418" t="s">
        <v>6778</v>
      </c>
      <c r="M418" t="s">
        <v>6779</v>
      </c>
      <c r="N418" t="s">
        <v>6792</v>
      </c>
      <c r="O418">
        <v>1</v>
      </c>
      <c r="P418" t="str">
        <f>+BARRAS[[#This Row],[Barra]]&amp;"_"&amp;BARRAS[[#This Row],[Nivel de tensión]]</f>
        <v>RUCUE_220</v>
      </c>
    </row>
    <row r="419" spans="1:16">
      <c r="A419" t="s">
        <v>4569</v>
      </c>
      <c r="B419">
        <v>66</v>
      </c>
      <c r="C419">
        <v>4289</v>
      </c>
      <c r="D419" t="s">
        <v>4570</v>
      </c>
      <c r="E419" t="s">
        <v>3419</v>
      </c>
      <c r="F419" t="s">
        <v>4571</v>
      </c>
      <c r="G419">
        <v>7101</v>
      </c>
      <c r="H419" t="s">
        <v>3414</v>
      </c>
      <c r="I419" t="s">
        <v>3391</v>
      </c>
      <c r="J419" t="s">
        <v>4572</v>
      </c>
      <c r="K419" t="s">
        <v>3304</v>
      </c>
      <c r="L419" t="s">
        <v>6778</v>
      </c>
      <c r="M419" t="s">
        <v>6779</v>
      </c>
      <c r="N419" t="s">
        <v>6792</v>
      </c>
      <c r="O419">
        <v>1</v>
      </c>
      <c r="P419" t="str">
        <f>+BARRAS[[#This Row],[Barra]]&amp;"_"&amp;BARRAS[[#This Row],[Nivel de tensión]]</f>
        <v>RUIL1_66</v>
      </c>
    </row>
    <row r="420" spans="1:16">
      <c r="A420" t="s">
        <v>4573</v>
      </c>
      <c r="B420">
        <v>66</v>
      </c>
      <c r="C420">
        <v>4290</v>
      </c>
      <c r="D420" t="s">
        <v>4570</v>
      </c>
      <c r="E420" t="s">
        <v>3419</v>
      </c>
      <c r="F420" t="s">
        <v>4571</v>
      </c>
      <c r="G420">
        <v>7101</v>
      </c>
      <c r="H420" t="s">
        <v>3414</v>
      </c>
      <c r="I420" t="s">
        <v>3391</v>
      </c>
      <c r="J420" t="s">
        <v>4572</v>
      </c>
      <c r="K420" t="s">
        <v>3304</v>
      </c>
      <c r="L420" t="s">
        <v>6778</v>
      </c>
      <c r="M420" t="s">
        <v>6779</v>
      </c>
      <c r="N420" t="s">
        <v>6792</v>
      </c>
      <c r="O420">
        <v>1</v>
      </c>
      <c r="P420" t="str">
        <f>+BARRAS[[#This Row],[Barra]]&amp;"_"&amp;BARRAS[[#This Row],[Nivel de tensión]]</f>
        <v>RUIL2_66</v>
      </c>
    </row>
    <row r="421" spans="1:16">
      <c r="A421" t="s">
        <v>1231</v>
      </c>
      <c r="B421">
        <v>23</v>
      </c>
      <c r="C421">
        <v>899</v>
      </c>
      <c r="D421" t="s">
        <v>4574</v>
      </c>
      <c r="E421" t="s">
        <v>4575</v>
      </c>
      <c r="F421" t="s">
        <v>4576</v>
      </c>
      <c r="G421">
        <v>16301</v>
      </c>
      <c r="H421" t="s">
        <v>3418</v>
      </c>
      <c r="I421" t="s">
        <v>3391</v>
      </c>
      <c r="J421" t="s">
        <v>3392</v>
      </c>
      <c r="K421" t="s">
        <v>3302</v>
      </c>
      <c r="L421" t="s">
        <v>6778</v>
      </c>
      <c r="M421" t="s">
        <v>6779</v>
      </c>
      <c r="N421" t="s">
        <v>6792</v>
      </c>
      <c r="O421">
        <v>1</v>
      </c>
      <c r="P421" t="str">
        <f>+BARRAS[[#This Row],[Barra]]&amp;"_"&amp;BARRAS[[#This Row],[Nivel de tensión]]</f>
        <v>RUNGUE_23</v>
      </c>
    </row>
    <row r="422" spans="1:16">
      <c r="A422" t="s">
        <v>1231</v>
      </c>
      <c r="B422">
        <v>44</v>
      </c>
      <c r="C422">
        <v>1</v>
      </c>
      <c r="D422" t="s">
        <v>3397</v>
      </c>
      <c r="E422" t="s">
        <v>4577</v>
      </c>
      <c r="F422" t="s">
        <v>3420</v>
      </c>
      <c r="G422">
        <v>16301</v>
      </c>
      <c r="H422" t="s">
        <v>3418</v>
      </c>
      <c r="I422" t="s">
        <v>3391</v>
      </c>
      <c r="J422" t="s">
        <v>3392</v>
      </c>
      <c r="K422" t="s">
        <v>3302</v>
      </c>
      <c r="L422" t="s">
        <v>6778</v>
      </c>
      <c r="M422" t="s">
        <v>6779</v>
      </c>
      <c r="N422" t="s">
        <v>6792</v>
      </c>
      <c r="O422">
        <v>1</v>
      </c>
      <c r="P422" t="str">
        <f>+BARRAS[[#This Row],[Barra]]&amp;"_"&amp;BARRAS[[#This Row],[Nivel de tensión]]</f>
        <v>RUNGUE_44</v>
      </c>
    </row>
    <row r="423" spans="1:16">
      <c r="A423" t="s">
        <v>4578</v>
      </c>
      <c r="B423">
        <v>220</v>
      </c>
      <c r="C423">
        <v>1</v>
      </c>
      <c r="D423" t="s">
        <v>3397</v>
      </c>
      <c r="E423" t="s">
        <v>4579</v>
      </c>
      <c r="F423" t="s">
        <v>3420</v>
      </c>
      <c r="G423">
        <v>16301</v>
      </c>
      <c r="H423" t="s">
        <v>3409</v>
      </c>
      <c r="I423" t="s">
        <v>3391</v>
      </c>
      <c r="J423" t="s">
        <v>3392</v>
      </c>
      <c r="K423" t="s">
        <v>6315</v>
      </c>
      <c r="L423" t="s">
        <v>6778</v>
      </c>
      <c r="M423" t="s">
        <v>6779</v>
      </c>
      <c r="N423" t="s">
        <v>6792</v>
      </c>
      <c r="O423">
        <v>1</v>
      </c>
      <c r="P423" t="str">
        <f>+BARRAS[[#This Row],[Barra]]&amp;"_"&amp;BARRAS[[#This Row],[Nivel de tensión]]</f>
        <v>S.ANDRES_220</v>
      </c>
    </row>
    <row r="424" spans="1:16">
      <c r="A424" t="s">
        <v>1235</v>
      </c>
      <c r="B424">
        <v>13</v>
      </c>
      <c r="C424">
        <v>1037</v>
      </c>
      <c r="D424" t="s">
        <v>4580</v>
      </c>
      <c r="E424" t="s">
        <v>4581</v>
      </c>
      <c r="F424" t="s">
        <v>4582</v>
      </c>
      <c r="G424">
        <v>16301</v>
      </c>
      <c r="H424" t="s">
        <v>3418</v>
      </c>
      <c r="I424" t="s">
        <v>3391</v>
      </c>
      <c r="J424" t="s">
        <v>3392</v>
      </c>
      <c r="K424" t="s">
        <v>3302</v>
      </c>
      <c r="L424" t="s">
        <v>6778</v>
      </c>
      <c r="M424" t="s">
        <v>6779</v>
      </c>
      <c r="N424" t="s">
        <v>6792</v>
      </c>
      <c r="O424">
        <v>1</v>
      </c>
      <c r="P424" t="str">
        <f>+BARRAS[[#This Row],[Barra]]&amp;"_"&amp;BARRAS[[#This Row],[Nivel de tensión]]</f>
        <v>S.ANTONIO_13</v>
      </c>
    </row>
    <row r="425" spans="1:16">
      <c r="A425" t="s">
        <v>1235</v>
      </c>
      <c r="B425">
        <v>66</v>
      </c>
      <c r="C425">
        <v>1</v>
      </c>
      <c r="D425" t="s">
        <v>3397</v>
      </c>
      <c r="E425" t="s">
        <v>4583</v>
      </c>
      <c r="F425" t="s">
        <v>3420</v>
      </c>
      <c r="G425">
        <v>16301</v>
      </c>
      <c r="H425" t="s">
        <v>3418</v>
      </c>
      <c r="I425" t="s">
        <v>3391</v>
      </c>
      <c r="J425" t="s">
        <v>3392</v>
      </c>
      <c r="K425" t="s">
        <v>3302</v>
      </c>
      <c r="L425" t="s">
        <v>6778</v>
      </c>
      <c r="M425" t="s">
        <v>6779</v>
      </c>
      <c r="N425" t="s">
        <v>6792</v>
      </c>
      <c r="O425">
        <v>1</v>
      </c>
      <c r="P425" t="str">
        <f>+BARRAS[[#This Row],[Barra]]&amp;"_"&amp;BARRAS[[#This Row],[Nivel de tensión]]</f>
        <v>S.ANTONIO_66</v>
      </c>
    </row>
    <row r="426" spans="1:16">
      <c r="A426" t="s">
        <v>1235</v>
      </c>
      <c r="B426">
        <v>110</v>
      </c>
      <c r="C426">
        <v>1</v>
      </c>
      <c r="D426" t="s">
        <v>3397</v>
      </c>
      <c r="E426" t="s">
        <v>4584</v>
      </c>
      <c r="F426" t="s">
        <v>3420</v>
      </c>
      <c r="G426">
        <v>16301</v>
      </c>
      <c r="H426" t="s">
        <v>3418</v>
      </c>
      <c r="I426" t="s">
        <v>3391</v>
      </c>
      <c r="J426" t="s">
        <v>3392</v>
      </c>
      <c r="K426" t="s">
        <v>3302</v>
      </c>
      <c r="L426" t="s">
        <v>6778</v>
      </c>
      <c r="M426" t="s">
        <v>6779</v>
      </c>
      <c r="N426" t="s">
        <v>6792</v>
      </c>
      <c r="O426">
        <v>1</v>
      </c>
      <c r="P426" t="str">
        <f>+BARRAS[[#This Row],[Barra]]&amp;"_"&amp;BARRAS[[#This Row],[Nivel de tensión]]</f>
        <v>S.ANTONIO_110</v>
      </c>
    </row>
    <row r="427" spans="1:16">
      <c r="A427" t="s">
        <v>1239</v>
      </c>
      <c r="B427">
        <v>13</v>
      </c>
      <c r="C427">
        <v>618</v>
      </c>
      <c r="D427" t="s">
        <v>4585</v>
      </c>
      <c r="E427" t="s">
        <v>4586</v>
      </c>
      <c r="F427" t="s">
        <v>4587</v>
      </c>
      <c r="G427">
        <v>16301</v>
      </c>
      <c r="H427" t="s">
        <v>3414</v>
      </c>
      <c r="I427" t="s">
        <v>3391</v>
      </c>
      <c r="J427" t="s">
        <v>3392</v>
      </c>
      <c r="K427" t="s">
        <v>3304</v>
      </c>
      <c r="L427" t="s">
        <v>6778</v>
      </c>
      <c r="M427" t="s">
        <v>6779</v>
      </c>
      <c r="N427" t="s">
        <v>6792</v>
      </c>
      <c r="O427">
        <v>1</v>
      </c>
      <c r="P427" t="str">
        <f>+BARRAS[[#This Row],[Barra]]&amp;"_"&amp;BARRAS[[#This Row],[Nivel de tensión]]</f>
        <v>S.CARLOS_13</v>
      </c>
    </row>
    <row r="428" spans="1:16">
      <c r="A428" t="s">
        <v>1273</v>
      </c>
      <c r="B428">
        <v>44</v>
      </c>
      <c r="C428">
        <v>1</v>
      </c>
      <c r="D428" t="s">
        <v>3397</v>
      </c>
      <c r="E428" t="s">
        <v>4643</v>
      </c>
      <c r="F428" t="s">
        <v>3420</v>
      </c>
      <c r="G428">
        <v>16301</v>
      </c>
      <c r="H428" t="s">
        <v>3418</v>
      </c>
      <c r="I428" t="s">
        <v>3391</v>
      </c>
      <c r="J428" t="s">
        <v>3392</v>
      </c>
      <c r="K428" t="s">
        <v>3302</v>
      </c>
      <c r="L428" t="s">
        <v>6778</v>
      </c>
      <c r="M428" t="s">
        <v>6779</v>
      </c>
      <c r="N428" t="s">
        <v>6792</v>
      </c>
      <c r="O428">
        <v>1</v>
      </c>
      <c r="P428" t="str">
        <f>+BARRAS[[#This Row],[Barra]]&amp;"_"&amp;BARRAS[[#This Row],[Nivel de tensión]]</f>
        <v>S.RAFAEL_44</v>
      </c>
    </row>
    <row r="429" spans="1:16">
      <c r="A429" t="s">
        <v>1273</v>
      </c>
      <c r="B429">
        <v>66</v>
      </c>
      <c r="C429">
        <v>1</v>
      </c>
      <c r="D429" t="s">
        <v>3397</v>
      </c>
      <c r="E429" t="s">
        <v>3419</v>
      </c>
      <c r="F429" t="s">
        <v>3420</v>
      </c>
      <c r="G429">
        <v>16301</v>
      </c>
      <c r="H429" t="s">
        <v>3414</v>
      </c>
      <c r="I429" t="s">
        <v>3391</v>
      </c>
      <c r="J429" t="s">
        <v>3392</v>
      </c>
      <c r="K429" t="s">
        <v>3304</v>
      </c>
      <c r="L429" t="s">
        <v>6778</v>
      </c>
      <c r="M429" t="s">
        <v>6779</v>
      </c>
      <c r="N429" t="s">
        <v>6792</v>
      </c>
      <c r="O429">
        <v>1</v>
      </c>
      <c r="P429" t="str">
        <f>+BARRAS[[#This Row],[Barra]]&amp;"_"&amp;BARRAS[[#This Row],[Nivel de tensión]]</f>
        <v>S.RAFAEL_66</v>
      </c>
    </row>
    <row r="430" spans="1:16">
      <c r="A430" t="s">
        <v>1273</v>
      </c>
      <c r="B430">
        <v>110</v>
      </c>
      <c r="C430">
        <v>1</v>
      </c>
      <c r="D430" t="s">
        <v>3397</v>
      </c>
      <c r="E430" t="s">
        <v>4644</v>
      </c>
      <c r="F430" t="s">
        <v>3420</v>
      </c>
      <c r="G430">
        <v>16301</v>
      </c>
      <c r="H430" t="s">
        <v>3418</v>
      </c>
      <c r="I430" t="s">
        <v>3391</v>
      </c>
      <c r="J430" t="s">
        <v>3392</v>
      </c>
      <c r="K430" t="s">
        <v>3302</v>
      </c>
      <c r="L430" t="s">
        <v>6778</v>
      </c>
      <c r="M430" t="s">
        <v>6779</v>
      </c>
      <c r="N430" t="s">
        <v>6792</v>
      </c>
      <c r="O430">
        <v>1</v>
      </c>
      <c r="P430" t="str">
        <f>+BARRAS[[#This Row],[Barra]]&amp;"_"&amp;BARRAS[[#This Row],[Nivel de tensión]]</f>
        <v>S.RAFAEL_110</v>
      </c>
    </row>
    <row r="431" spans="1:16">
      <c r="A431" t="s">
        <v>1278</v>
      </c>
      <c r="B431">
        <v>13</v>
      </c>
      <c r="C431">
        <v>629</v>
      </c>
      <c r="D431" t="s">
        <v>4645</v>
      </c>
      <c r="E431" t="s">
        <v>4646</v>
      </c>
      <c r="F431" t="s">
        <v>4647</v>
      </c>
      <c r="G431">
        <v>16301</v>
      </c>
      <c r="H431" t="s">
        <v>3414</v>
      </c>
      <c r="I431" t="s">
        <v>3391</v>
      </c>
      <c r="J431" t="s">
        <v>3392</v>
      </c>
      <c r="K431" t="s">
        <v>3304</v>
      </c>
      <c r="L431" t="s">
        <v>6778</v>
      </c>
      <c r="M431" t="s">
        <v>6779</v>
      </c>
      <c r="N431" t="s">
        <v>6792</v>
      </c>
      <c r="O431">
        <v>1</v>
      </c>
      <c r="P431" t="str">
        <f>+BARRAS[[#This Row],[Barra]]&amp;"_"&amp;BARRAS[[#This Row],[Nivel de tensión]]</f>
        <v>S.RAFAEL_S_13</v>
      </c>
    </row>
    <row r="432" spans="1:16">
      <c r="A432" t="s">
        <v>3503</v>
      </c>
      <c r="B432">
        <v>13</v>
      </c>
      <c r="C432">
        <v>1045</v>
      </c>
      <c r="D432" t="s">
        <v>4648</v>
      </c>
      <c r="E432" t="s">
        <v>4649</v>
      </c>
      <c r="F432" t="s">
        <v>4650</v>
      </c>
      <c r="G432">
        <v>16301</v>
      </c>
      <c r="H432" t="s">
        <v>3418</v>
      </c>
      <c r="I432" t="s">
        <v>3391</v>
      </c>
      <c r="J432" t="s">
        <v>3392</v>
      </c>
      <c r="K432" t="s">
        <v>3302</v>
      </c>
      <c r="L432" t="s">
        <v>6778</v>
      </c>
      <c r="M432" t="s">
        <v>6779</v>
      </c>
      <c r="N432" t="s">
        <v>6792</v>
      </c>
      <c r="O432">
        <v>1</v>
      </c>
      <c r="P432" t="str">
        <f>+BARRAS[[#This Row],[Barra]]&amp;"_"&amp;BARRAS[[#This Row],[Nivel de tensión]]</f>
        <v>S.SEBASTIAN_13</v>
      </c>
    </row>
    <row r="433" spans="1:16">
      <c r="A433" t="s">
        <v>3503</v>
      </c>
      <c r="B433">
        <v>66</v>
      </c>
      <c r="C433">
        <v>1</v>
      </c>
      <c r="D433" t="s">
        <v>3397</v>
      </c>
      <c r="E433" t="s">
        <v>3504</v>
      </c>
      <c r="F433" t="s">
        <v>3420</v>
      </c>
      <c r="G433">
        <v>16301</v>
      </c>
      <c r="H433" t="s">
        <v>3418</v>
      </c>
      <c r="I433" t="s">
        <v>3391</v>
      </c>
      <c r="J433" t="s">
        <v>3392</v>
      </c>
      <c r="K433" t="s">
        <v>3302</v>
      </c>
      <c r="L433" t="s">
        <v>6778</v>
      </c>
      <c r="M433" t="s">
        <v>6779</v>
      </c>
      <c r="N433" t="s">
        <v>6792</v>
      </c>
      <c r="O433">
        <v>1</v>
      </c>
      <c r="P433" t="str">
        <f>+BARRAS[[#This Row],[Barra]]&amp;"_"&amp;BARRAS[[#This Row],[Nivel de tensión]]</f>
        <v>S.SEBASTIAN_66</v>
      </c>
    </row>
    <row r="434" spans="1:16">
      <c r="A434" t="s">
        <v>4651</v>
      </c>
      <c r="B434">
        <v>220</v>
      </c>
      <c r="C434">
        <v>1</v>
      </c>
      <c r="D434" t="s">
        <v>3397</v>
      </c>
      <c r="E434" t="s">
        <v>4652</v>
      </c>
      <c r="F434" t="s">
        <v>3420</v>
      </c>
      <c r="G434">
        <v>16301</v>
      </c>
      <c r="H434" t="s">
        <v>3409</v>
      </c>
      <c r="I434" t="s">
        <v>3391</v>
      </c>
      <c r="J434" t="s">
        <v>3392</v>
      </c>
      <c r="K434" t="s">
        <v>6315</v>
      </c>
      <c r="L434" t="s">
        <v>6778</v>
      </c>
      <c r="M434" t="s">
        <v>6779</v>
      </c>
      <c r="N434" t="s">
        <v>6792</v>
      </c>
      <c r="O434">
        <v>1</v>
      </c>
      <c r="P434" t="str">
        <f>+BARRAS[[#This Row],[Barra]]&amp;"_"&amp;BARRAS[[#This Row],[Nivel de tensión]]</f>
        <v>S.SIMON_220</v>
      </c>
    </row>
    <row r="435" spans="1:16">
      <c r="A435" t="s">
        <v>4653</v>
      </c>
      <c r="B435">
        <v>13</v>
      </c>
      <c r="C435">
        <v>522</v>
      </c>
      <c r="D435" t="s">
        <v>4654</v>
      </c>
      <c r="E435" t="s">
        <v>4655</v>
      </c>
      <c r="F435" t="s">
        <v>4656</v>
      </c>
      <c r="G435">
        <v>16301</v>
      </c>
      <c r="H435" t="s">
        <v>3405</v>
      </c>
      <c r="I435" t="s">
        <v>3391</v>
      </c>
      <c r="J435" t="s">
        <v>3392</v>
      </c>
      <c r="K435" t="s">
        <v>6315</v>
      </c>
      <c r="L435" t="s">
        <v>6778</v>
      </c>
      <c r="M435" t="s">
        <v>6779</v>
      </c>
      <c r="N435" t="s">
        <v>6792</v>
      </c>
      <c r="O435">
        <v>1</v>
      </c>
      <c r="P435" t="str">
        <f>+BARRAS[[#This Row],[Barra]]&amp;"_"&amp;BARRAS[[#This Row],[Nivel de tensión]]</f>
        <v>S.VICENTE_13</v>
      </c>
    </row>
    <row r="436" spans="1:16">
      <c r="A436" t="s">
        <v>4653</v>
      </c>
      <c r="B436">
        <v>66</v>
      </c>
      <c r="C436">
        <v>1</v>
      </c>
      <c r="D436" t="s">
        <v>3397</v>
      </c>
      <c r="E436" t="s">
        <v>4657</v>
      </c>
      <c r="F436" t="s">
        <v>3420</v>
      </c>
      <c r="G436">
        <v>16301</v>
      </c>
      <c r="H436" t="s">
        <v>3405</v>
      </c>
      <c r="I436" t="s">
        <v>3391</v>
      </c>
      <c r="J436" t="s">
        <v>3392</v>
      </c>
      <c r="K436" t="s">
        <v>6315</v>
      </c>
      <c r="L436" t="s">
        <v>6778</v>
      </c>
      <c r="M436" t="s">
        <v>6779</v>
      </c>
      <c r="N436" t="s">
        <v>6792</v>
      </c>
      <c r="O436">
        <v>1</v>
      </c>
      <c r="P436" t="str">
        <f>+BARRAS[[#This Row],[Barra]]&amp;"_"&amp;BARRAS[[#This Row],[Nivel de tensión]]</f>
        <v>S.VICENTE_66</v>
      </c>
    </row>
    <row r="437" spans="1:16">
      <c r="A437" t="s">
        <v>4653</v>
      </c>
      <c r="B437">
        <v>154</v>
      </c>
      <c r="C437">
        <v>1672</v>
      </c>
      <c r="D437" t="s">
        <v>4658</v>
      </c>
      <c r="E437" t="s">
        <v>4659</v>
      </c>
      <c r="F437" t="s">
        <v>4656</v>
      </c>
      <c r="G437">
        <v>16301</v>
      </c>
      <c r="H437" t="s">
        <v>3414</v>
      </c>
      <c r="I437" t="s">
        <v>3391</v>
      </c>
      <c r="J437" t="s">
        <v>3392</v>
      </c>
      <c r="K437" t="s">
        <v>3304</v>
      </c>
      <c r="L437" t="s">
        <v>6778</v>
      </c>
      <c r="M437" t="s">
        <v>6779</v>
      </c>
      <c r="N437" t="s">
        <v>6792</v>
      </c>
      <c r="O437">
        <v>1</v>
      </c>
      <c r="P437" t="str">
        <f>+BARRAS[[#This Row],[Barra]]&amp;"_"&amp;BARRAS[[#This Row],[Nivel de tensión]]</f>
        <v>S.VICENTE_154</v>
      </c>
    </row>
    <row r="438" spans="1:16">
      <c r="A438" t="s">
        <v>1286</v>
      </c>
      <c r="B438">
        <v>13</v>
      </c>
      <c r="C438">
        <v>170</v>
      </c>
      <c r="D438" t="s">
        <v>4660</v>
      </c>
      <c r="E438" t="s">
        <v>4661</v>
      </c>
      <c r="F438" t="s">
        <v>4662</v>
      </c>
      <c r="G438">
        <v>16301</v>
      </c>
      <c r="H438" t="s">
        <v>3414</v>
      </c>
      <c r="I438" t="s">
        <v>3391</v>
      </c>
      <c r="J438" t="s">
        <v>3392</v>
      </c>
      <c r="K438" t="s">
        <v>3304</v>
      </c>
      <c r="L438" t="s">
        <v>6778</v>
      </c>
      <c r="M438" t="s">
        <v>6779</v>
      </c>
      <c r="N438" t="s">
        <v>6792</v>
      </c>
      <c r="O438">
        <v>1</v>
      </c>
      <c r="P438" t="str">
        <f>+BARRAS[[#This Row],[Barra]]&amp;"_"&amp;BARRAS[[#This Row],[Nivel de tensión]]</f>
        <v>S.VICENTETT_13</v>
      </c>
    </row>
    <row r="439" spans="1:16">
      <c r="A439" t="s">
        <v>1286</v>
      </c>
      <c r="B439">
        <v>66</v>
      </c>
      <c r="C439">
        <v>1</v>
      </c>
      <c r="D439" t="s">
        <v>3397</v>
      </c>
      <c r="E439" t="s">
        <v>4663</v>
      </c>
      <c r="F439" t="s">
        <v>3420</v>
      </c>
      <c r="G439">
        <v>16301</v>
      </c>
      <c r="H439" t="s">
        <v>3414</v>
      </c>
      <c r="I439" t="s">
        <v>3391</v>
      </c>
      <c r="J439" t="s">
        <v>3392</v>
      </c>
      <c r="K439" t="s">
        <v>3304</v>
      </c>
      <c r="L439" t="s">
        <v>6778</v>
      </c>
      <c r="M439" t="s">
        <v>6779</v>
      </c>
      <c r="N439" t="s">
        <v>6792</v>
      </c>
      <c r="O439">
        <v>1</v>
      </c>
      <c r="P439" t="str">
        <f>+BARRAS[[#This Row],[Barra]]&amp;"_"&amp;BARRAS[[#This Row],[Nivel de tensión]]</f>
        <v>S.VICENTETT_66</v>
      </c>
    </row>
    <row r="440" spans="1:16">
      <c r="A440" t="s">
        <v>4664</v>
      </c>
      <c r="B440">
        <v>66</v>
      </c>
      <c r="C440">
        <v>1153</v>
      </c>
      <c r="D440" t="s">
        <v>4665</v>
      </c>
      <c r="E440" t="s">
        <v>4666</v>
      </c>
      <c r="F440" t="s">
        <v>4667</v>
      </c>
      <c r="G440">
        <v>16301</v>
      </c>
      <c r="H440" t="s">
        <v>3405</v>
      </c>
      <c r="I440" t="s">
        <v>3391</v>
      </c>
      <c r="J440" t="s">
        <v>3392</v>
      </c>
      <c r="K440" t="s">
        <v>6315</v>
      </c>
      <c r="L440" t="s">
        <v>6778</v>
      </c>
      <c r="M440" t="s">
        <v>6779</v>
      </c>
      <c r="N440" t="s">
        <v>6792</v>
      </c>
      <c r="O440">
        <v>1</v>
      </c>
      <c r="P440" t="str">
        <f>+BARRAS[[#This Row],[Barra]]&amp;"_"&amp;BARRAS[[#This Row],[Nivel de tensión]]</f>
        <v>SALADILLO_66</v>
      </c>
    </row>
    <row r="441" spans="1:16">
      <c r="A441" t="s">
        <v>1290</v>
      </c>
      <c r="B441">
        <v>23</v>
      </c>
      <c r="C441">
        <v>267</v>
      </c>
      <c r="D441" t="s">
        <v>4668</v>
      </c>
      <c r="E441" t="s">
        <v>4669</v>
      </c>
      <c r="F441" t="s">
        <v>4670</v>
      </c>
      <c r="G441">
        <v>16301</v>
      </c>
      <c r="H441" t="s">
        <v>3400</v>
      </c>
      <c r="I441" t="s">
        <v>3391</v>
      </c>
      <c r="J441" t="s">
        <v>3392</v>
      </c>
      <c r="K441" t="s">
        <v>3301</v>
      </c>
      <c r="L441" t="s">
        <v>6778</v>
      </c>
      <c r="M441" t="s">
        <v>6779</v>
      </c>
      <c r="N441" t="s">
        <v>6792</v>
      </c>
      <c r="O441">
        <v>1</v>
      </c>
      <c r="P441" t="str">
        <f>+BARRAS[[#This Row],[Barra]]&amp;"_"&amp;BARRAS[[#This Row],[Nivel de tensión]]</f>
        <v>SALAMANCA_23</v>
      </c>
    </row>
    <row r="442" spans="1:16">
      <c r="A442" t="s">
        <v>1290</v>
      </c>
      <c r="B442">
        <v>110</v>
      </c>
      <c r="C442">
        <v>164</v>
      </c>
      <c r="D442" t="s">
        <v>4671</v>
      </c>
      <c r="E442" t="s">
        <v>4672</v>
      </c>
      <c r="F442" t="s">
        <v>4670</v>
      </c>
      <c r="G442">
        <v>16301</v>
      </c>
      <c r="H442" t="s">
        <v>3400</v>
      </c>
      <c r="I442" t="s">
        <v>3391</v>
      </c>
      <c r="J442" t="s">
        <v>3392</v>
      </c>
      <c r="K442" t="s">
        <v>3301</v>
      </c>
      <c r="L442" t="s">
        <v>6778</v>
      </c>
      <c r="M442" t="s">
        <v>6779</v>
      </c>
      <c r="N442" t="s">
        <v>6792</v>
      </c>
      <c r="O442">
        <v>1</v>
      </c>
      <c r="P442" t="str">
        <f>+BARRAS[[#This Row],[Barra]]&amp;"_"&amp;BARRAS[[#This Row],[Nivel de tensión]]</f>
        <v>SALAMANCA_110</v>
      </c>
    </row>
    <row r="443" spans="1:16">
      <c r="A443" t="s">
        <v>4673</v>
      </c>
      <c r="B443">
        <v>110</v>
      </c>
      <c r="C443">
        <v>2268</v>
      </c>
      <c r="D443" t="s">
        <v>4674</v>
      </c>
      <c r="E443" t="s">
        <v>4675</v>
      </c>
      <c r="F443" t="s">
        <v>4676</v>
      </c>
      <c r="G443">
        <v>16301</v>
      </c>
      <c r="H443" t="s">
        <v>3396</v>
      </c>
      <c r="I443" t="s">
        <v>3391</v>
      </c>
      <c r="J443" t="s">
        <v>3392</v>
      </c>
      <c r="K443" t="s">
        <v>6315</v>
      </c>
      <c r="L443" t="s">
        <v>6778</v>
      </c>
      <c r="M443" t="s">
        <v>6779</v>
      </c>
      <c r="N443" t="s">
        <v>6792</v>
      </c>
      <c r="O443">
        <v>1</v>
      </c>
      <c r="P443" t="str">
        <f>+BARRAS[[#This Row],[Barra]]&amp;"_"&amp;BARRAS[[#This Row],[Nivel de tensión]]</f>
        <v>SALAR_110</v>
      </c>
    </row>
    <row r="444" spans="1:16">
      <c r="A444" t="s">
        <v>4673</v>
      </c>
      <c r="B444">
        <v>220</v>
      </c>
      <c r="C444">
        <v>2271</v>
      </c>
      <c r="D444" t="s">
        <v>4677</v>
      </c>
      <c r="E444" t="s">
        <v>4678</v>
      </c>
      <c r="F444" t="s">
        <v>4676</v>
      </c>
      <c r="G444">
        <v>16301</v>
      </c>
      <c r="H444" t="s">
        <v>3396</v>
      </c>
      <c r="I444" t="s">
        <v>3391</v>
      </c>
      <c r="J444" t="s">
        <v>3392</v>
      </c>
      <c r="K444" t="s">
        <v>6315</v>
      </c>
      <c r="L444" t="s">
        <v>6778</v>
      </c>
      <c r="M444" t="s">
        <v>6779</v>
      </c>
      <c r="N444" t="s">
        <v>6792</v>
      </c>
      <c r="O444">
        <v>1</v>
      </c>
      <c r="P444" t="str">
        <f>+BARRAS[[#This Row],[Barra]]&amp;"_"&amp;BARRAS[[#This Row],[Nivel de tensión]]</f>
        <v>SALAR_220</v>
      </c>
    </row>
    <row r="445" spans="1:16">
      <c r="A445" t="s">
        <v>4679</v>
      </c>
      <c r="B445">
        <v>220</v>
      </c>
      <c r="C445">
        <v>1</v>
      </c>
      <c r="D445" t="s">
        <v>3397</v>
      </c>
      <c r="E445" t="s">
        <v>3419</v>
      </c>
      <c r="F445" t="s">
        <v>3420</v>
      </c>
      <c r="G445">
        <v>16301</v>
      </c>
      <c r="H445" t="s">
        <v>3409</v>
      </c>
      <c r="I445" t="s">
        <v>3391</v>
      </c>
      <c r="J445" t="s">
        <v>3392</v>
      </c>
      <c r="K445" t="s">
        <v>6315</v>
      </c>
      <c r="L445" t="s">
        <v>6778</v>
      </c>
      <c r="M445" t="s">
        <v>6779</v>
      </c>
      <c r="N445" t="s">
        <v>6792</v>
      </c>
      <c r="O445">
        <v>1</v>
      </c>
      <c r="P445" t="str">
        <f>+BARRAS[[#This Row],[Barra]]&amp;"_"&amp;BARRAS[[#This Row],[Nivel de tensión]]</f>
        <v>SALARCHUQAUX_220</v>
      </c>
    </row>
    <row r="446" spans="1:16">
      <c r="A446" t="s">
        <v>4680</v>
      </c>
      <c r="B446">
        <v>13</v>
      </c>
      <c r="C446">
        <v>902</v>
      </c>
      <c r="D446" t="s">
        <v>4681</v>
      </c>
      <c r="E446" t="s">
        <v>4682</v>
      </c>
      <c r="F446" t="s">
        <v>4683</v>
      </c>
      <c r="G446">
        <v>16301</v>
      </c>
      <c r="H446" t="s">
        <v>3469</v>
      </c>
      <c r="I446" t="s">
        <v>3391</v>
      </c>
      <c r="J446" t="s">
        <v>3392</v>
      </c>
      <c r="K446" t="s">
        <v>3303</v>
      </c>
      <c r="L446" t="s">
        <v>6778</v>
      </c>
      <c r="M446" t="s">
        <v>6779</v>
      </c>
      <c r="N446" t="s">
        <v>6792</v>
      </c>
      <c r="O446">
        <v>1</v>
      </c>
      <c r="P446" t="str">
        <f>+BARRAS[[#This Row],[Barra]]&amp;"_"&amp;BARRAS[[#This Row],[Nivel de tensión]]</f>
        <v>SAN_BERNARDO_13</v>
      </c>
    </row>
    <row r="447" spans="1:16">
      <c r="A447" t="s">
        <v>4680</v>
      </c>
      <c r="B447">
        <v>110</v>
      </c>
      <c r="C447">
        <v>1</v>
      </c>
      <c r="D447" t="s">
        <v>3397</v>
      </c>
      <c r="E447" t="s">
        <v>4684</v>
      </c>
      <c r="F447" t="s">
        <v>3420</v>
      </c>
      <c r="G447">
        <v>16301</v>
      </c>
      <c r="H447" t="s">
        <v>3469</v>
      </c>
      <c r="I447" t="s">
        <v>3391</v>
      </c>
      <c r="J447" t="s">
        <v>3392</v>
      </c>
      <c r="K447" t="s">
        <v>3303</v>
      </c>
      <c r="L447" t="s">
        <v>6778</v>
      </c>
      <c r="M447" t="s">
        <v>6779</v>
      </c>
      <c r="N447" t="s">
        <v>6792</v>
      </c>
      <c r="O447">
        <v>1</v>
      </c>
      <c r="P447" t="str">
        <f>+BARRAS[[#This Row],[Barra]]&amp;"_"&amp;BARRAS[[#This Row],[Nivel de tensión]]</f>
        <v>SAN_BERNARDO_110</v>
      </c>
    </row>
    <row r="448" spans="1:16">
      <c r="A448" t="s">
        <v>1298</v>
      </c>
      <c r="B448">
        <v>13</v>
      </c>
      <c r="C448">
        <v>620</v>
      </c>
      <c r="D448" t="s">
        <v>4685</v>
      </c>
      <c r="E448" t="s">
        <v>4686</v>
      </c>
      <c r="F448" t="s">
        <v>4687</v>
      </c>
      <c r="G448">
        <v>16301</v>
      </c>
      <c r="H448" t="s">
        <v>3414</v>
      </c>
      <c r="I448" t="s">
        <v>3391</v>
      </c>
      <c r="J448" t="s">
        <v>3392</v>
      </c>
      <c r="K448" t="s">
        <v>3304</v>
      </c>
      <c r="L448" t="s">
        <v>6778</v>
      </c>
      <c r="M448" t="s">
        <v>6779</v>
      </c>
      <c r="N448" t="s">
        <v>6792</v>
      </c>
      <c r="O448">
        <v>1</v>
      </c>
      <c r="P448" t="str">
        <f>+BARRAS[[#This Row],[Barra]]&amp;"_"&amp;BARRAS[[#This Row],[Nivel de tensión]]</f>
        <v>SAN_CLEMENTE_13</v>
      </c>
    </row>
    <row r="449" spans="1:16">
      <c r="A449" t="s">
        <v>1298</v>
      </c>
      <c r="B449">
        <v>66</v>
      </c>
      <c r="C449">
        <v>1</v>
      </c>
      <c r="D449" t="s">
        <v>3397</v>
      </c>
      <c r="E449" t="s">
        <v>4688</v>
      </c>
      <c r="F449" t="s">
        <v>3420</v>
      </c>
      <c r="G449">
        <v>16301</v>
      </c>
      <c r="H449" t="s">
        <v>3414</v>
      </c>
      <c r="I449" t="s">
        <v>3391</v>
      </c>
      <c r="J449" t="s">
        <v>3392</v>
      </c>
      <c r="K449" t="s">
        <v>3304</v>
      </c>
      <c r="L449" t="s">
        <v>6778</v>
      </c>
      <c r="M449" t="s">
        <v>6779</v>
      </c>
      <c r="N449" t="s">
        <v>6792</v>
      </c>
      <c r="O449">
        <v>1</v>
      </c>
      <c r="P449" t="str">
        <f>+BARRAS[[#This Row],[Barra]]&amp;"_"&amp;BARRAS[[#This Row],[Nivel de tensión]]</f>
        <v>SAN_CLEMENTE_66</v>
      </c>
    </row>
    <row r="450" spans="1:16">
      <c r="A450" t="s">
        <v>4689</v>
      </c>
      <c r="B450">
        <v>12</v>
      </c>
      <c r="C450">
        <v>911</v>
      </c>
      <c r="D450" t="s">
        <v>4690</v>
      </c>
      <c r="E450" t="s">
        <v>4691</v>
      </c>
      <c r="F450" t="s">
        <v>4692</v>
      </c>
      <c r="G450">
        <v>16301</v>
      </c>
      <c r="H450" t="s">
        <v>3469</v>
      </c>
      <c r="I450" t="s">
        <v>3391</v>
      </c>
      <c r="J450" t="s">
        <v>3392</v>
      </c>
      <c r="K450" t="s">
        <v>3303</v>
      </c>
      <c r="L450" t="s">
        <v>6778</v>
      </c>
      <c r="M450" t="s">
        <v>6779</v>
      </c>
      <c r="N450" t="s">
        <v>6792</v>
      </c>
      <c r="O450">
        <v>1</v>
      </c>
      <c r="P450" t="str">
        <f>+BARRAS[[#This Row],[Barra]]&amp;"_"&amp;BARRAS[[#This Row],[Nivel de tensión]]</f>
        <v>SAN_CRISTOBAL_12</v>
      </c>
    </row>
    <row r="451" spans="1:16">
      <c r="A451" t="s">
        <v>4689</v>
      </c>
      <c r="B451">
        <v>110</v>
      </c>
      <c r="C451">
        <v>1</v>
      </c>
      <c r="D451" t="s">
        <v>3397</v>
      </c>
      <c r="E451" t="s">
        <v>4693</v>
      </c>
      <c r="F451" t="s">
        <v>3420</v>
      </c>
      <c r="G451">
        <v>16301</v>
      </c>
      <c r="H451" t="s">
        <v>3469</v>
      </c>
      <c r="I451" t="s">
        <v>3391</v>
      </c>
      <c r="J451" t="s">
        <v>3392</v>
      </c>
      <c r="K451" t="s">
        <v>3303</v>
      </c>
      <c r="L451" t="s">
        <v>6778</v>
      </c>
      <c r="M451" t="s">
        <v>6779</v>
      </c>
      <c r="N451" t="s">
        <v>6792</v>
      </c>
      <c r="O451">
        <v>1</v>
      </c>
      <c r="P451" t="str">
        <f>+BARRAS[[#This Row],[Barra]]&amp;"_"&amp;BARRAS[[#This Row],[Nivel de tensión]]</f>
        <v>SAN_CRISTOBAL_110</v>
      </c>
    </row>
    <row r="452" spans="1:16">
      <c r="A452" t="s">
        <v>4694</v>
      </c>
      <c r="B452">
        <v>220</v>
      </c>
      <c r="C452">
        <v>1</v>
      </c>
      <c r="D452" t="s">
        <v>3397</v>
      </c>
      <c r="E452" t="s">
        <v>3419</v>
      </c>
      <c r="F452" t="s">
        <v>3420</v>
      </c>
      <c r="G452">
        <v>16301</v>
      </c>
      <c r="H452" t="s">
        <v>3396</v>
      </c>
      <c r="I452" t="s">
        <v>3391</v>
      </c>
      <c r="J452" t="s">
        <v>3392</v>
      </c>
      <c r="K452" t="s">
        <v>6315</v>
      </c>
      <c r="L452" t="s">
        <v>6778</v>
      </c>
      <c r="M452" t="s">
        <v>6779</v>
      </c>
      <c r="N452" t="s">
        <v>6792</v>
      </c>
      <c r="O452">
        <v>1</v>
      </c>
      <c r="P452" t="str">
        <f>+BARRAS[[#This Row],[Barra]]&amp;"_"&amp;BARRAS[[#This Row],[Nivel de tensión]]</f>
        <v>SAN_FRANCISCO_220</v>
      </c>
    </row>
    <row r="453" spans="1:16">
      <c r="A453" t="s">
        <v>4753</v>
      </c>
      <c r="B453">
        <v>13</v>
      </c>
      <c r="C453">
        <v>3626</v>
      </c>
      <c r="D453" t="s">
        <v>3397</v>
      </c>
      <c r="E453" t="s">
        <v>4754</v>
      </c>
      <c r="F453" t="s">
        <v>3484</v>
      </c>
      <c r="G453">
        <v>16301</v>
      </c>
      <c r="H453" t="s">
        <v>3414</v>
      </c>
      <c r="I453" t="s">
        <v>3391</v>
      </c>
      <c r="J453" t="s">
        <v>3392</v>
      </c>
      <c r="K453" t="s">
        <v>3304</v>
      </c>
      <c r="L453" t="s">
        <v>6778</v>
      </c>
      <c r="M453" t="s">
        <v>6779</v>
      </c>
      <c r="N453" t="s">
        <v>6792</v>
      </c>
      <c r="O453">
        <v>1</v>
      </c>
      <c r="P453" t="str">
        <f>+BARRAS[[#This Row],[Barra]]&amp;"_"&amp;BARRAS[[#This Row],[Nivel de tensión]]</f>
        <v>SANTACRUZ_13</v>
      </c>
    </row>
    <row r="454" spans="1:16">
      <c r="A454" t="s">
        <v>4753</v>
      </c>
      <c r="B454">
        <v>66</v>
      </c>
      <c r="C454">
        <v>1</v>
      </c>
      <c r="D454" t="s">
        <v>3397</v>
      </c>
      <c r="E454" t="s">
        <v>4755</v>
      </c>
      <c r="F454" t="s">
        <v>3420</v>
      </c>
      <c r="G454">
        <v>16301</v>
      </c>
      <c r="H454" t="s">
        <v>3414</v>
      </c>
      <c r="I454" t="s">
        <v>3391</v>
      </c>
      <c r="J454" t="s">
        <v>3392</v>
      </c>
      <c r="K454" t="s">
        <v>3304</v>
      </c>
      <c r="L454" t="s">
        <v>6778</v>
      </c>
      <c r="M454" t="s">
        <v>6779</v>
      </c>
      <c r="N454" t="s">
        <v>6792</v>
      </c>
      <c r="O454">
        <v>1</v>
      </c>
      <c r="P454" t="str">
        <f>+BARRAS[[#This Row],[Barra]]&amp;"_"&amp;BARRAS[[#This Row],[Nivel de tensión]]</f>
        <v>SANTACRUZ_66</v>
      </c>
    </row>
    <row r="455" spans="1:16">
      <c r="A455" t="s">
        <v>4756</v>
      </c>
      <c r="B455">
        <v>220</v>
      </c>
      <c r="C455">
        <v>1</v>
      </c>
      <c r="D455" t="s">
        <v>3397</v>
      </c>
      <c r="E455" t="s">
        <v>3419</v>
      </c>
      <c r="F455" t="s">
        <v>3420</v>
      </c>
      <c r="G455">
        <v>16301</v>
      </c>
      <c r="H455" t="s">
        <v>3405</v>
      </c>
      <c r="I455" t="s">
        <v>3391</v>
      </c>
      <c r="J455" t="s">
        <v>3392</v>
      </c>
      <c r="K455" t="s">
        <v>6315</v>
      </c>
      <c r="L455" t="s">
        <v>6778</v>
      </c>
      <c r="M455" t="s">
        <v>6779</v>
      </c>
      <c r="N455" t="s">
        <v>6792</v>
      </c>
      <c r="O455">
        <v>1</v>
      </c>
      <c r="P455" t="str">
        <f>+BARRAS[[#This Row],[Barra]]&amp;"_"&amp;BARRAS[[#This Row],[Nivel de tensión]]</f>
        <v>SARCO_220</v>
      </c>
    </row>
    <row r="456" spans="1:16">
      <c r="A456" t="s">
        <v>4757</v>
      </c>
      <c r="B456">
        <v>13</v>
      </c>
      <c r="C456">
        <v>1</v>
      </c>
      <c r="D456" t="s">
        <v>3397</v>
      </c>
      <c r="E456" t="s">
        <v>3419</v>
      </c>
      <c r="F456" t="s">
        <v>3420</v>
      </c>
      <c r="G456">
        <v>16301</v>
      </c>
      <c r="H456" t="s">
        <v>3405</v>
      </c>
      <c r="I456" t="s">
        <v>3391</v>
      </c>
      <c r="J456" t="s">
        <v>3392</v>
      </c>
      <c r="K456" t="s">
        <v>6315</v>
      </c>
      <c r="L456" t="s">
        <v>6778</v>
      </c>
      <c r="M456" t="s">
        <v>6779</v>
      </c>
      <c r="N456" t="s">
        <v>6792</v>
      </c>
      <c r="O456">
        <v>1</v>
      </c>
      <c r="P456" t="str">
        <f>+BARRAS[[#This Row],[Barra]]&amp;"_"&amp;BARRAS[[#This Row],[Nivel de tensión]]</f>
        <v>SAUZAL_13</v>
      </c>
    </row>
    <row r="457" spans="1:16">
      <c r="A457" t="s">
        <v>4757</v>
      </c>
      <c r="B457">
        <v>154</v>
      </c>
      <c r="C457">
        <v>1</v>
      </c>
      <c r="D457" t="s">
        <v>4758</v>
      </c>
      <c r="E457" t="s">
        <v>4759</v>
      </c>
      <c r="F457" t="s">
        <v>3484</v>
      </c>
      <c r="G457">
        <v>16301</v>
      </c>
      <c r="H457" t="s">
        <v>3414</v>
      </c>
      <c r="I457" t="s">
        <v>3391</v>
      </c>
      <c r="J457" t="s">
        <v>3392</v>
      </c>
      <c r="K457" t="s">
        <v>3304</v>
      </c>
      <c r="L457" t="s">
        <v>6778</v>
      </c>
      <c r="M457" t="s">
        <v>6779</v>
      </c>
      <c r="N457" t="s">
        <v>6792</v>
      </c>
      <c r="O457">
        <v>1</v>
      </c>
      <c r="P457" t="str">
        <f>+BARRAS[[#This Row],[Barra]]&amp;"_"&amp;BARRAS[[#This Row],[Nivel de tensión]]</f>
        <v>SAUZAL_154</v>
      </c>
    </row>
    <row r="458" spans="1:16">
      <c r="A458" t="s">
        <v>4760</v>
      </c>
      <c r="B458">
        <v>110</v>
      </c>
      <c r="C458">
        <v>525</v>
      </c>
      <c r="D458" t="s">
        <v>4761</v>
      </c>
      <c r="E458" t="s">
        <v>4762</v>
      </c>
      <c r="F458" t="s">
        <v>4763</v>
      </c>
      <c r="G458">
        <v>16301</v>
      </c>
      <c r="H458" t="s">
        <v>3405</v>
      </c>
      <c r="I458" t="s">
        <v>3391</v>
      </c>
      <c r="J458" t="s">
        <v>3392</v>
      </c>
      <c r="K458" t="s">
        <v>6315</v>
      </c>
      <c r="L458" t="s">
        <v>6778</v>
      </c>
      <c r="M458" t="s">
        <v>6779</v>
      </c>
      <c r="N458" t="s">
        <v>6792</v>
      </c>
      <c r="O458">
        <v>1</v>
      </c>
      <c r="P458" t="str">
        <f>+BARRAS[[#This Row],[Barra]]&amp;"_"&amp;BARRAS[[#This Row],[Nivel de tensión]]</f>
        <v>SAUZAL1_110</v>
      </c>
    </row>
    <row r="459" spans="1:16">
      <c r="A459" t="s">
        <v>4764</v>
      </c>
      <c r="B459">
        <v>110</v>
      </c>
      <c r="C459">
        <v>1</v>
      </c>
      <c r="D459" t="s">
        <v>3397</v>
      </c>
      <c r="E459" t="s">
        <v>3419</v>
      </c>
      <c r="F459" t="s">
        <v>3420</v>
      </c>
      <c r="G459">
        <v>16301</v>
      </c>
      <c r="H459" t="s">
        <v>3405</v>
      </c>
      <c r="I459" t="s">
        <v>3391</v>
      </c>
      <c r="J459" t="s">
        <v>3392</v>
      </c>
      <c r="K459" t="s">
        <v>6315</v>
      </c>
      <c r="L459" t="s">
        <v>6778</v>
      </c>
      <c r="M459" t="s">
        <v>6779</v>
      </c>
      <c r="N459" t="s">
        <v>6792</v>
      </c>
      <c r="O459">
        <v>1</v>
      </c>
      <c r="P459" t="str">
        <f>+BARRAS[[#This Row],[Barra]]&amp;"_"&amp;BARRAS[[#This Row],[Nivel de tensión]]</f>
        <v>SAUZAL2_110</v>
      </c>
    </row>
    <row r="460" spans="1:16">
      <c r="A460" t="s">
        <v>3507</v>
      </c>
      <c r="B460">
        <v>13</v>
      </c>
      <c r="C460">
        <v>1</v>
      </c>
      <c r="D460" t="s">
        <v>3508</v>
      </c>
      <c r="E460" t="s">
        <v>3509</v>
      </c>
      <c r="F460" t="s">
        <v>3484</v>
      </c>
      <c r="G460">
        <v>16301</v>
      </c>
      <c r="H460" t="s">
        <v>3405</v>
      </c>
      <c r="I460" t="s">
        <v>3391</v>
      </c>
      <c r="J460" t="s">
        <v>3392</v>
      </c>
      <c r="K460" t="s">
        <v>6315</v>
      </c>
      <c r="L460" t="s">
        <v>6778</v>
      </c>
      <c r="M460" t="s">
        <v>6779</v>
      </c>
      <c r="N460" t="s">
        <v>6792</v>
      </c>
      <c r="O460">
        <v>1</v>
      </c>
      <c r="P460" t="str">
        <f>+BARRAS[[#This Row],[Barra]]&amp;"_"&amp;BARRAS[[#This Row],[Nivel de tensión]]</f>
        <v>SAUZALITO_13</v>
      </c>
    </row>
    <row r="461" spans="1:16">
      <c r="A461" t="s">
        <v>3531</v>
      </c>
      <c r="B461">
        <v>66</v>
      </c>
      <c r="C461">
        <v>3884</v>
      </c>
      <c r="D461" t="s">
        <v>3532</v>
      </c>
      <c r="E461" t="s">
        <v>3533</v>
      </c>
      <c r="F461" t="s">
        <v>3534</v>
      </c>
      <c r="G461">
        <v>16301</v>
      </c>
      <c r="H461" t="s">
        <v>3414</v>
      </c>
      <c r="I461" t="s">
        <v>3391</v>
      </c>
      <c r="J461" t="s">
        <v>3535</v>
      </c>
      <c r="K461" t="s">
        <v>6315</v>
      </c>
      <c r="L461" t="s">
        <v>6778</v>
      </c>
      <c r="M461" t="s">
        <v>6779</v>
      </c>
      <c r="N461" t="s">
        <v>6792</v>
      </c>
      <c r="O461">
        <v>1</v>
      </c>
      <c r="P461" t="str">
        <f>+BARRAS[[#This Row],[Barra]]&amp;"_"&amp;BARRAS[[#This Row],[Nivel de tensión]]</f>
        <v>SENORAZA_66</v>
      </c>
    </row>
    <row r="462" spans="1:16">
      <c r="A462" t="s">
        <v>3531</v>
      </c>
      <c r="B462">
        <v>220</v>
      </c>
      <c r="C462">
        <v>3882</v>
      </c>
      <c r="D462" t="s">
        <v>3536</v>
      </c>
      <c r="E462" t="s">
        <v>3537</v>
      </c>
      <c r="F462" t="s">
        <v>3534</v>
      </c>
      <c r="G462">
        <v>16301</v>
      </c>
      <c r="H462" t="s">
        <v>3414</v>
      </c>
      <c r="I462" t="s">
        <v>3391</v>
      </c>
      <c r="J462" t="s">
        <v>3535</v>
      </c>
      <c r="K462" t="s">
        <v>6315</v>
      </c>
      <c r="L462" t="s">
        <v>6778</v>
      </c>
      <c r="M462" t="s">
        <v>6779</v>
      </c>
      <c r="N462" t="s">
        <v>6792</v>
      </c>
      <c r="O462">
        <v>1</v>
      </c>
      <c r="P462" t="str">
        <f>+BARRAS[[#This Row],[Barra]]&amp;"_"&amp;BARRAS[[#This Row],[Nivel de tensión]]</f>
        <v>SENORAZA_220</v>
      </c>
    </row>
    <row r="463" spans="1:16">
      <c r="A463" t="s">
        <v>3538</v>
      </c>
      <c r="B463">
        <v>220</v>
      </c>
      <c r="C463">
        <v>1</v>
      </c>
      <c r="D463" t="s">
        <v>3397</v>
      </c>
      <c r="E463" t="s">
        <v>3539</v>
      </c>
      <c r="F463" t="s">
        <v>3420</v>
      </c>
      <c r="G463">
        <v>16301</v>
      </c>
      <c r="H463" t="s">
        <v>3405</v>
      </c>
      <c r="I463" t="s">
        <v>3391</v>
      </c>
      <c r="J463" t="s">
        <v>3392</v>
      </c>
      <c r="K463" t="s">
        <v>6315</v>
      </c>
      <c r="L463" t="s">
        <v>6778</v>
      </c>
      <c r="M463" t="s">
        <v>6779</v>
      </c>
      <c r="N463" t="s">
        <v>6792</v>
      </c>
      <c r="O463">
        <v>1</v>
      </c>
      <c r="P463" t="str">
        <f>+BARRAS[[#This Row],[Barra]]&amp;"_"&amp;BARRAS[[#This Row],[Nivel de tensión]]</f>
        <v>SOLARJAMA_220</v>
      </c>
    </row>
    <row r="464" spans="1:16">
      <c r="A464" t="s">
        <v>3540</v>
      </c>
      <c r="B464">
        <v>154</v>
      </c>
      <c r="C464">
        <v>1</v>
      </c>
      <c r="D464" t="s">
        <v>3541</v>
      </c>
      <c r="E464" t="s">
        <v>3542</v>
      </c>
      <c r="F464" t="s">
        <v>3543</v>
      </c>
      <c r="G464">
        <v>7308</v>
      </c>
      <c r="H464" t="s">
        <v>3414</v>
      </c>
      <c r="I464" t="s">
        <v>3391</v>
      </c>
      <c r="J464" t="s">
        <v>3392</v>
      </c>
      <c r="K464" t="s">
        <v>3304</v>
      </c>
      <c r="L464" t="s">
        <v>6778</v>
      </c>
      <c r="M464" t="s">
        <v>6779</v>
      </c>
      <c r="N464" t="s">
        <v>6792</v>
      </c>
      <c r="O464">
        <v>1</v>
      </c>
      <c r="P464" t="str">
        <f>+BARRAS[[#This Row],[Barra]]&amp;"_"&amp;BARRAS[[#This Row],[Nivel de tensión]]</f>
        <v>SOLIS_154</v>
      </c>
    </row>
    <row r="465" spans="1:16">
      <c r="A465" t="s">
        <v>1340</v>
      </c>
      <c r="B465">
        <v>23</v>
      </c>
      <c r="C465">
        <v>1059</v>
      </c>
      <c r="D465" t="s">
        <v>3544</v>
      </c>
      <c r="E465" t="s">
        <v>3545</v>
      </c>
      <c r="F465" t="s">
        <v>3546</v>
      </c>
      <c r="G465">
        <v>16301</v>
      </c>
      <c r="H465" t="s">
        <v>3414</v>
      </c>
      <c r="I465" t="s">
        <v>3391</v>
      </c>
      <c r="J465" t="s">
        <v>3392</v>
      </c>
      <c r="K465" t="s">
        <v>3304</v>
      </c>
      <c r="L465" t="s">
        <v>6778</v>
      </c>
      <c r="M465" t="s">
        <v>6779</v>
      </c>
      <c r="N465" t="s">
        <v>6792</v>
      </c>
      <c r="O465">
        <v>1</v>
      </c>
      <c r="P465" t="str">
        <f>+BARRAS[[#This Row],[Barra]]&amp;"_"&amp;BARRAS[[#This Row],[Nivel de tensión]]</f>
        <v>STA.ELISA_23</v>
      </c>
    </row>
    <row r="466" spans="1:16">
      <c r="A466" t="s">
        <v>1340</v>
      </c>
      <c r="B466">
        <v>33</v>
      </c>
      <c r="C466">
        <v>1</v>
      </c>
      <c r="D466" t="s">
        <v>3397</v>
      </c>
      <c r="E466" t="s">
        <v>3547</v>
      </c>
      <c r="F466" t="s">
        <v>3420</v>
      </c>
      <c r="G466">
        <v>16301</v>
      </c>
      <c r="H466" t="s">
        <v>3414</v>
      </c>
      <c r="I466" t="s">
        <v>3391</v>
      </c>
      <c r="J466" t="s">
        <v>3392</v>
      </c>
      <c r="K466" t="s">
        <v>3304</v>
      </c>
      <c r="L466" t="s">
        <v>6778</v>
      </c>
      <c r="M466" t="s">
        <v>6779</v>
      </c>
      <c r="N466" t="s">
        <v>6792</v>
      </c>
      <c r="O466">
        <v>1</v>
      </c>
      <c r="P466" t="str">
        <f>+BARRAS[[#This Row],[Barra]]&amp;"_"&amp;BARRAS[[#This Row],[Nivel de tensión]]</f>
        <v>STA.ELISA_33</v>
      </c>
    </row>
    <row r="467" spans="1:16">
      <c r="A467" t="s">
        <v>1343</v>
      </c>
      <c r="B467">
        <v>13</v>
      </c>
      <c r="C467">
        <v>160</v>
      </c>
      <c r="D467" t="s">
        <v>3548</v>
      </c>
      <c r="E467" t="s">
        <v>3549</v>
      </c>
      <c r="F467" t="s">
        <v>3550</v>
      </c>
      <c r="G467">
        <v>16301</v>
      </c>
      <c r="H467" t="s">
        <v>3414</v>
      </c>
      <c r="I467" t="s">
        <v>3391</v>
      </c>
      <c r="J467" t="s">
        <v>3392</v>
      </c>
      <c r="K467" t="s">
        <v>3304</v>
      </c>
      <c r="L467" t="s">
        <v>6778</v>
      </c>
      <c r="M467" t="s">
        <v>6779</v>
      </c>
      <c r="N467" t="s">
        <v>6792</v>
      </c>
      <c r="O467">
        <v>1</v>
      </c>
      <c r="P467" t="str">
        <f>+BARRAS[[#This Row],[Barra]]&amp;"_"&amp;BARRAS[[#This Row],[Nivel de tensión]]</f>
        <v>STA.ELVIRA_13</v>
      </c>
    </row>
    <row r="468" spans="1:16">
      <c r="A468" t="s">
        <v>1343</v>
      </c>
      <c r="B468">
        <v>66</v>
      </c>
      <c r="C468">
        <v>264</v>
      </c>
      <c r="D468" t="s">
        <v>3551</v>
      </c>
      <c r="E468" t="s">
        <v>3552</v>
      </c>
      <c r="F468" t="s">
        <v>3550</v>
      </c>
      <c r="G468">
        <v>16301</v>
      </c>
      <c r="H468" t="s">
        <v>3414</v>
      </c>
      <c r="I468" t="s">
        <v>3391</v>
      </c>
      <c r="J468" t="s">
        <v>3392</v>
      </c>
      <c r="K468" t="s">
        <v>3304</v>
      </c>
      <c r="L468" t="s">
        <v>6778</v>
      </c>
      <c r="M468" t="s">
        <v>6779</v>
      </c>
      <c r="N468" t="s">
        <v>6792</v>
      </c>
      <c r="O468">
        <v>1</v>
      </c>
      <c r="P468" t="str">
        <f>+BARRAS[[#This Row],[Barra]]&amp;"_"&amp;BARRAS[[#This Row],[Nivel de tensión]]</f>
        <v>STA.ELVIRA_66</v>
      </c>
    </row>
    <row r="469" spans="1:16">
      <c r="A469" t="s">
        <v>3553</v>
      </c>
      <c r="B469">
        <v>154</v>
      </c>
      <c r="C469">
        <v>1</v>
      </c>
      <c r="D469" t="s">
        <v>3397</v>
      </c>
      <c r="E469" t="s">
        <v>3419</v>
      </c>
      <c r="F469" t="s">
        <v>3420</v>
      </c>
      <c r="G469">
        <v>16301</v>
      </c>
      <c r="H469" t="s">
        <v>3405</v>
      </c>
      <c r="I469" t="s">
        <v>3391</v>
      </c>
      <c r="J469" t="s">
        <v>3392</v>
      </c>
      <c r="K469" t="s">
        <v>6315</v>
      </c>
      <c r="L469" t="s">
        <v>6778</v>
      </c>
      <c r="M469" t="s">
        <v>6779</v>
      </c>
      <c r="N469" t="s">
        <v>6792</v>
      </c>
      <c r="O469">
        <v>1</v>
      </c>
      <c r="P469" t="str">
        <f>+BARRAS[[#This Row],[Barra]]&amp;"_"&amp;BARRAS[[#This Row],[Nivel de tensión]]</f>
        <v>STA.LUISA_154</v>
      </c>
    </row>
    <row r="470" spans="1:16">
      <c r="A470" t="s">
        <v>1347</v>
      </c>
      <c r="B470">
        <v>23</v>
      </c>
      <c r="C470">
        <v>624</v>
      </c>
      <c r="D470" t="s">
        <v>3554</v>
      </c>
      <c r="E470" t="s">
        <v>3555</v>
      </c>
      <c r="F470" t="s">
        <v>3556</v>
      </c>
      <c r="G470">
        <v>16301</v>
      </c>
      <c r="H470" t="s">
        <v>3414</v>
      </c>
      <c r="I470" t="s">
        <v>3391</v>
      </c>
      <c r="J470" t="s">
        <v>3392</v>
      </c>
      <c r="K470" t="s">
        <v>3304</v>
      </c>
      <c r="L470" t="s">
        <v>6778</v>
      </c>
      <c r="M470" t="s">
        <v>6779</v>
      </c>
      <c r="N470" t="s">
        <v>6792</v>
      </c>
      <c r="O470">
        <v>1</v>
      </c>
      <c r="P470" t="str">
        <f>+BARRAS[[#This Row],[Barra]]&amp;"_"&amp;BARRAS[[#This Row],[Nivel de tensión]]</f>
        <v>STA.ROSA_23</v>
      </c>
    </row>
    <row r="471" spans="1:16">
      <c r="A471" t="s">
        <v>1347</v>
      </c>
      <c r="B471">
        <v>66</v>
      </c>
      <c r="C471">
        <v>1</v>
      </c>
      <c r="D471" t="s">
        <v>3397</v>
      </c>
      <c r="E471" t="s">
        <v>3557</v>
      </c>
      <c r="F471" t="s">
        <v>3420</v>
      </c>
      <c r="G471">
        <v>16301</v>
      </c>
      <c r="H471" t="s">
        <v>3414</v>
      </c>
      <c r="I471" t="s">
        <v>3391</v>
      </c>
      <c r="J471" t="s">
        <v>3392</v>
      </c>
      <c r="K471" t="s">
        <v>3304</v>
      </c>
      <c r="L471" t="s">
        <v>6778</v>
      </c>
      <c r="M471" t="s">
        <v>6779</v>
      </c>
      <c r="N471" t="s">
        <v>6792</v>
      </c>
      <c r="O471">
        <v>1</v>
      </c>
      <c r="P471" t="str">
        <f>+BARRAS[[#This Row],[Barra]]&amp;"_"&amp;BARRAS[[#This Row],[Nivel de tensión]]</f>
        <v>STA.ROSA_66</v>
      </c>
    </row>
    <row r="472" spans="1:16">
      <c r="A472" t="s">
        <v>3558</v>
      </c>
      <c r="B472">
        <v>220</v>
      </c>
      <c r="C472">
        <v>1</v>
      </c>
      <c r="D472" t="s">
        <v>3397</v>
      </c>
      <c r="E472" t="s">
        <v>3559</v>
      </c>
      <c r="F472" t="s">
        <v>3420</v>
      </c>
      <c r="G472">
        <v>16301</v>
      </c>
      <c r="H472" t="s">
        <v>3409</v>
      </c>
      <c r="I472" t="s">
        <v>3391</v>
      </c>
      <c r="J472" t="s">
        <v>3392</v>
      </c>
      <c r="K472" t="s">
        <v>6315</v>
      </c>
      <c r="L472" t="s">
        <v>6778</v>
      </c>
      <c r="M472" t="s">
        <v>6779</v>
      </c>
      <c r="N472" t="s">
        <v>6792</v>
      </c>
      <c r="O472">
        <v>1</v>
      </c>
      <c r="P472" t="str">
        <f>+BARRAS[[#This Row],[Barra]]&amp;"_"&amp;BARRAS[[#This Row],[Nivel de tensión]]</f>
        <v>STA_ISABEL_220</v>
      </c>
    </row>
    <row r="473" spans="1:16">
      <c r="A473" t="s">
        <v>3560</v>
      </c>
      <c r="B473">
        <v>20</v>
      </c>
      <c r="C473">
        <v>967</v>
      </c>
      <c r="D473" t="s">
        <v>3561</v>
      </c>
      <c r="E473" t="s">
        <v>3562</v>
      </c>
      <c r="F473" t="s">
        <v>3563</v>
      </c>
      <c r="G473">
        <v>16301</v>
      </c>
      <c r="H473" t="s">
        <v>3405</v>
      </c>
      <c r="I473" t="s">
        <v>3391</v>
      </c>
      <c r="J473" t="s">
        <v>3392</v>
      </c>
      <c r="K473" t="s">
        <v>6315</v>
      </c>
      <c r="L473" t="s">
        <v>6778</v>
      </c>
      <c r="M473" t="s">
        <v>6779</v>
      </c>
      <c r="N473" t="s">
        <v>6792</v>
      </c>
      <c r="O473">
        <v>1</v>
      </c>
      <c r="P473" t="str">
        <f>+BARRAS[[#This Row],[Barra]]&amp;"_"&amp;BARRAS[[#This Row],[Nivel de tensión]]</f>
        <v>STA_RAQUEL_20</v>
      </c>
    </row>
    <row r="474" spans="1:16">
      <c r="A474" t="s">
        <v>3564</v>
      </c>
      <c r="B474">
        <v>220</v>
      </c>
      <c r="C474">
        <v>2290</v>
      </c>
      <c r="D474" t="s">
        <v>3402</v>
      </c>
      <c r="E474" t="s">
        <v>3565</v>
      </c>
      <c r="F474" t="s">
        <v>3566</v>
      </c>
      <c r="G474">
        <v>16301</v>
      </c>
      <c r="H474" t="s">
        <v>3396</v>
      </c>
      <c r="I474" t="s">
        <v>3391</v>
      </c>
      <c r="J474" t="s">
        <v>3392</v>
      </c>
      <c r="K474" t="s">
        <v>6315</v>
      </c>
      <c r="L474" t="s">
        <v>6778</v>
      </c>
      <c r="M474" t="s">
        <v>6779</v>
      </c>
      <c r="N474" t="s">
        <v>6792</v>
      </c>
      <c r="O474">
        <v>1</v>
      </c>
      <c r="P474" t="str">
        <f>+BARRAS[[#This Row],[Barra]]&amp;"_"&amp;BARRAS[[#This Row],[Nivel de tensión]]</f>
        <v>SULFUROS_220</v>
      </c>
    </row>
    <row r="475" spans="1:16">
      <c r="A475" t="s">
        <v>3567</v>
      </c>
      <c r="B475">
        <v>220</v>
      </c>
      <c r="D475" t="s">
        <v>3402</v>
      </c>
      <c r="E475" t="s">
        <v>3568</v>
      </c>
      <c r="F475" t="s">
        <v>3569</v>
      </c>
      <c r="G475">
        <v>16301</v>
      </c>
      <c r="H475" t="s">
        <v>3405</v>
      </c>
      <c r="I475" t="s">
        <v>3391</v>
      </c>
      <c r="J475" t="s">
        <v>6317</v>
      </c>
      <c r="K475" t="s">
        <v>6315</v>
      </c>
      <c r="L475" t="s">
        <v>6778</v>
      </c>
      <c r="M475" t="s">
        <v>6779</v>
      </c>
      <c r="N475" t="s">
        <v>6792</v>
      </c>
      <c r="O475">
        <v>1</v>
      </c>
      <c r="P475" t="str">
        <f>+BARRAS[[#This Row],[Barra]]&amp;"_"&amp;BARRAS[[#This Row],[Nivel de tensión]]</f>
        <v>SUM_OGP1_220</v>
      </c>
    </row>
    <row r="476" spans="1:16">
      <c r="A476" t="s">
        <v>3570</v>
      </c>
      <c r="B476">
        <v>13</v>
      </c>
      <c r="C476">
        <v>2295</v>
      </c>
      <c r="D476" t="s">
        <v>3571</v>
      </c>
      <c r="E476" t="s">
        <v>3572</v>
      </c>
      <c r="F476" t="s">
        <v>3573</v>
      </c>
      <c r="G476">
        <v>16301</v>
      </c>
      <c r="H476" t="s">
        <v>3443</v>
      </c>
      <c r="I476" t="s">
        <v>3391</v>
      </c>
      <c r="J476" t="s">
        <v>3392</v>
      </c>
      <c r="K476" t="s">
        <v>3300</v>
      </c>
      <c r="L476" t="s">
        <v>6778</v>
      </c>
      <c r="M476" t="s">
        <v>6779</v>
      </c>
      <c r="N476" t="s">
        <v>6792</v>
      </c>
      <c r="O476">
        <v>1</v>
      </c>
      <c r="P476" t="str">
        <f>+BARRAS[[#This Row],[Barra]]&amp;"_"&amp;BARRAS[[#This Row],[Nivel de tensión]]</f>
        <v>SUR_13</v>
      </c>
    </row>
    <row r="477" spans="1:16">
      <c r="A477" t="s">
        <v>3570</v>
      </c>
      <c r="B477">
        <v>110</v>
      </c>
      <c r="C477">
        <v>2294</v>
      </c>
      <c r="D477" t="s">
        <v>3574</v>
      </c>
      <c r="E477" t="s">
        <v>3575</v>
      </c>
      <c r="F477" t="s">
        <v>3573</v>
      </c>
      <c r="G477">
        <v>16301</v>
      </c>
      <c r="H477" t="s">
        <v>3443</v>
      </c>
      <c r="I477" t="s">
        <v>3391</v>
      </c>
      <c r="J477" t="s">
        <v>3392</v>
      </c>
      <c r="K477" t="s">
        <v>3300</v>
      </c>
      <c r="L477" t="s">
        <v>6778</v>
      </c>
      <c r="M477" t="s">
        <v>6779</v>
      </c>
      <c r="N477" t="s">
        <v>6792</v>
      </c>
      <c r="O477">
        <v>1</v>
      </c>
      <c r="P477" t="str">
        <f>+BARRAS[[#This Row],[Barra]]&amp;"_"&amp;BARRAS[[#This Row],[Nivel de tensión]]</f>
        <v>SUR_110</v>
      </c>
    </row>
    <row r="478" spans="1:16">
      <c r="A478" t="s">
        <v>5637</v>
      </c>
      <c r="B478">
        <v>220</v>
      </c>
      <c r="C478">
        <v>1</v>
      </c>
      <c r="D478" t="s">
        <v>3397</v>
      </c>
      <c r="E478" t="s">
        <v>3419</v>
      </c>
      <c r="F478" t="s">
        <v>3420</v>
      </c>
      <c r="G478">
        <v>16301</v>
      </c>
      <c r="H478" t="s">
        <v>3409</v>
      </c>
      <c r="I478" t="s">
        <v>3391</v>
      </c>
      <c r="J478" t="s">
        <v>3392</v>
      </c>
      <c r="K478" t="s">
        <v>6315</v>
      </c>
      <c r="L478" t="s">
        <v>6778</v>
      </c>
      <c r="M478" t="s">
        <v>6779</v>
      </c>
      <c r="N478" t="s">
        <v>6792</v>
      </c>
      <c r="O478">
        <v>1</v>
      </c>
      <c r="P478" t="str">
        <f>+BARRAS[[#This Row],[Barra]]&amp;"_"&amp;BARRAS[[#This Row],[Nivel de tensión]]</f>
        <v>ANA_MARIA_220</v>
      </c>
    </row>
    <row r="479" spans="1:16">
      <c r="A479" t="s">
        <v>60</v>
      </c>
      <c r="B479">
        <v>13</v>
      </c>
      <c r="C479">
        <v>460</v>
      </c>
      <c r="D479" t="s">
        <v>5638</v>
      </c>
      <c r="E479" t="s">
        <v>5639</v>
      </c>
      <c r="F479" t="s">
        <v>3395</v>
      </c>
      <c r="G479">
        <v>16301</v>
      </c>
      <c r="H479" t="s">
        <v>3414</v>
      </c>
      <c r="I479" t="s">
        <v>3391</v>
      </c>
      <c r="J479" t="s">
        <v>3392</v>
      </c>
      <c r="K479" t="s">
        <v>3304</v>
      </c>
      <c r="L479" t="s">
        <v>6778</v>
      </c>
      <c r="M479" t="s">
        <v>6779</v>
      </c>
      <c r="N479" t="s">
        <v>6792</v>
      </c>
      <c r="O479">
        <v>1</v>
      </c>
      <c r="P479" t="str">
        <f>+BARRAS[[#This Row],[Barra]]&amp;"_"&amp;BARRAS[[#This Row],[Nivel de tensión]]</f>
        <v>ANCOA_13</v>
      </c>
    </row>
    <row r="480" spans="1:16">
      <c r="A480" t="s">
        <v>60</v>
      </c>
      <c r="B480">
        <v>220</v>
      </c>
      <c r="C480">
        <v>461</v>
      </c>
      <c r="D480" t="s">
        <v>3393</v>
      </c>
      <c r="E480" t="s">
        <v>3394</v>
      </c>
      <c r="F480" t="s">
        <v>3395</v>
      </c>
      <c r="G480">
        <v>16301</v>
      </c>
      <c r="H480" t="s">
        <v>3396</v>
      </c>
      <c r="I480" t="s">
        <v>3391</v>
      </c>
      <c r="J480" t="s">
        <v>3392</v>
      </c>
      <c r="K480" t="s">
        <v>6315</v>
      </c>
      <c r="L480" t="s">
        <v>6778</v>
      </c>
      <c r="M480" t="s">
        <v>6779</v>
      </c>
      <c r="N480" t="s">
        <v>6792</v>
      </c>
      <c r="O480">
        <v>1</v>
      </c>
      <c r="P480" t="str">
        <f>+BARRAS[[#This Row],[Barra]]&amp;"_"&amp;BARRAS[[#This Row],[Nivel de tensión]]</f>
        <v>ANCOA_220</v>
      </c>
    </row>
    <row r="481" spans="1:16">
      <c r="A481" t="s">
        <v>60</v>
      </c>
      <c r="B481">
        <v>500</v>
      </c>
      <c r="C481">
        <v>1</v>
      </c>
      <c r="D481" t="s">
        <v>3397</v>
      </c>
      <c r="E481" t="s">
        <v>5692</v>
      </c>
      <c r="F481" t="s">
        <v>3420</v>
      </c>
      <c r="G481">
        <v>16301</v>
      </c>
      <c r="H481" t="s">
        <v>3409</v>
      </c>
      <c r="I481" t="s">
        <v>3391</v>
      </c>
      <c r="J481" t="s">
        <v>3392</v>
      </c>
      <c r="K481" t="s">
        <v>6315</v>
      </c>
      <c r="L481" t="s">
        <v>6778</v>
      </c>
      <c r="M481" t="s">
        <v>6779</v>
      </c>
      <c r="N481" t="s">
        <v>6792</v>
      </c>
      <c r="O481">
        <v>1</v>
      </c>
      <c r="P481" t="str">
        <f>+BARRAS[[#This Row],[Barra]]&amp;"_"&amp;BARRAS[[#This Row],[Nivel de tensión]]</f>
        <v>ANCOA_500</v>
      </c>
    </row>
    <row r="482" spans="1:16">
      <c r="A482" t="s">
        <v>5693</v>
      </c>
      <c r="B482">
        <v>13</v>
      </c>
      <c r="C482">
        <v>396</v>
      </c>
      <c r="D482" t="s">
        <v>5694</v>
      </c>
      <c r="E482" t="s">
        <v>5695</v>
      </c>
      <c r="F482" t="s">
        <v>5696</v>
      </c>
      <c r="G482">
        <v>16301</v>
      </c>
      <c r="H482" t="s">
        <v>3390</v>
      </c>
      <c r="I482" t="s">
        <v>3391</v>
      </c>
      <c r="J482" t="s">
        <v>3392</v>
      </c>
      <c r="K482" t="s">
        <v>3305</v>
      </c>
      <c r="L482" t="s">
        <v>6778</v>
      </c>
      <c r="M482" t="s">
        <v>6779</v>
      </c>
      <c r="N482" t="s">
        <v>6792</v>
      </c>
      <c r="O482">
        <v>1</v>
      </c>
      <c r="P482" t="str">
        <f>+BARRAS[[#This Row],[Barra]]&amp;"_"&amp;BARRAS[[#This Row],[Nivel de tensión]]</f>
        <v>ANCUD_13</v>
      </c>
    </row>
    <row r="483" spans="1:16">
      <c r="A483" t="s">
        <v>5693</v>
      </c>
      <c r="B483">
        <v>110</v>
      </c>
      <c r="C483">
        <v>1</v>
      </c>
      <c r="D483" t="s">
        <v>3397</v>
      </c>
      <c r="E483" t="s">
        <v>5697</v>
      </c>
      <c r="F483" t="s">
        <v>3420</v>
      </c>
      <c r="G483">
        <v>16301</v>
      </c>
      <c r="H483" t="s">
        <v>3390</v>
      </c>
      <c r="I483" t="s">
        <v>3391</v>
      </c>
      <c r="J483" t="s">
        <v>3392</v>
      </c>
      <c r="K483" t="s">
        <v>3305</v>
      </c>
      <c r="L483" t="s">
        <v>6778</v>
      </c>
      <c r="M483" t="s">
        <v>6779</v>
      </c>
      <c r="N483" t="s">
        <v>6792</v>
      </c>
      <c r="O483">
        <v>1</v>
      </c>
      <c r="P483" t="str">
        <f>+BARRAS[[#This Row],[Barra]]&amp;"_"&amp;BARRAS[[#This Row],[Nivel de tensión]]</f>
        <v>ANCUD_110</v>
      </c>
    </row>
    <row r="484" spans="1:16">
      <c r="A484" t="s">
        <v>66</v>
      </c>
      <c r="B484">
        <v>13</v>
      </c>
      <c r="C484">
        <v>138</v>
      </c>
      <c r="D484" t="s">
        <v>5698</v>
      </c>
      <c r="E484" t="s">
        <v>5699</v>
      </c>
      <c r="F484" t="s">
        <v>5700</v>
      </c>
      <c r="G484">
        <v>16301</v>
      </c>
      <c r="H484" t="s">
        <v>3400</v>
      </c>
      <c r="I484" t="s">
        <v>3391</v>
      </c>
      <c r="J484" t="s">
        <v>3392</v>
      </c>
      <c r="K484" t="s">
        <v>3301</v>
      </c>
      <c r="L484" t="s">
        <v>6778</v>
      </c>
      <c r="M484" t="s">
        <v>6779</v>
      </c>
      <c r="N484" t="s">
        <v>6792</v>
      </c>
      <c r="O484">
        <v>1</v>
      </c>
      <c r="P484" t="str">
        <f>+BARRAS[[#This Row],[Barra]]&amp;"_"&amp;BARRAS[[#This Row],[Nivel de tensión]]</f>
        <v>ANDACOLLO_13</v>
      </c>
    </row>
    <row r="485" spans="1:16">
      <c r="A485" t="s">
        <v>66</v>
      </c>
      <c r="B485">
        <v>66</v>
      </c>
      <c r="C485">
        <v>1</v>
      </c>
      <c r="D485" t="s">
        <v>3397</v>
      </c>
      <c r="E485" t="s">
        <v>5701</v>
      </c>
      <c r="F485" t="s">
        <v>3420</v>
      </c>
      <c r="G485">
        <v>16301</v>
      </c>
      <c r="H485" t="s">
        <v>3400</v>
      </c>
      <c r="I485" t="s">
        <v>3391</v>
      </c>
      <c r="J485" t="s">
        <v>3392</v>
      </c>
      <c r="K485" t="s">
        <v>3301</v>
      </c>
      <c r="L485" t="s">
        <v>6778</v>
      </c>
      <c r="M485" t="s">
        <v>6779</v>
      </c>
      <c r="N485" t="s">
        <v>6792</v>
      </c>
      <c r="O485">
        <v>1</v>
      </c>
      <c r="P485" t="str">
        <f>+BARRAS[[#This Row],[Barra]]&amp;"_"&amp;BARRAS[[#This Row],[Nivel de tensión]]</f>
        <v>ANDACOLLO_66</v>
      </c>
    </row>
    <row r="486" spans="1:16">
      <c r="A486" t="s">
        <v>69</v>
      </c>
      <c r="B486">
        <v>13</v>
      </c>
      <c r="C486">
        <v>139</v>
      </c>
      <c r="D486" t="s">
        <v>5702</v>
      </c>
      <c r="E486" t="s">
        <v>5703</v>
      </c>
      <c r="F486" t="s">
        <v>5704</v>
      </c>
      <c r="G486">
        <v>16301</v>
      </c>
      <c r="H486" t="s">
        <v>3414</v>
      </c>
      <c r="I486" t="s">
        <v>3391</v>
      </c>
      <c r="J486" t="s">
        <v>3392</v>
      </c>
      <c r="K486" t="s">
        <v>3304</v>
      </c>
      <c r="L486" t="s">
        <v>6778</v>
      </c>
      <c r="M486" t="s">
        <v>6779</v>
      </c>
      <c r="N486" t="s">
        <v>6792</v>
      </c>
      <c r="O486">
        <v>1</v>
      </c>
      <c r="P486" t="str">
        <f>+BARRAS[[#This Row],[Barra]]&amp;"_"&amp;BARRAS[[#This Row],[Nivel de tensión]]</f>
        <v>ANDALIEN_13</v>
      </c>
    </row>
    <row r="487" spans="1:16">
      <c r="A487" t="s">
        <v>69</v>
      </c>
      <c r="B487">
        <v>66</v>
      </c>
      <c r="C487">
        <v>1</v>
      </c>
      <c r="D487" t="s">
        <v>3397</v>
      </c>
      <c r="E487" t="s">
        <v>5705</v>
      </c>
      <c r="F487" t="s">
        <v>3420</v>
      </c>
      <c r="G487">
        <v>16301</v>
      </c>
      <c r="H487" t="s">
        <v>3414</v>
      </c>
      <c r="I487" t="s">
        <v>3391</v>
      </c>
      <c r="J487" t="s">
        <v>3392</v>
      </c>
      <c r="K487" t="s">
        <v>3304</v>
      </c>
      <c r="L487" t="s">
        <v>6778</v>
      </c>
      <c r="M487" t="s">
        <v>6779</v>
      </c>
      <c r="N487" t="s">
        <v>6792</v>
      </c>
      <c r="O487">
        <v>1</v>
      </c>
      <c r="P487" t="str">
        <f>+BARRAS[[#This Row],[Barra]]&amp;"_"&amp;BARRAS[[#This Row],[Nivel de tensión]]</f>
        <v>ANDALIEN_66</v>
      </c>
    </row>
    <row r="488" spans="1:16">
      <c r="A488" t="s">
        <v>5706</v>
      </c>
      <c r="B488">
        <v>13</v>
      </c>
      <c r="C488">
        <v>663</v>
      </c>
      <c r="D488" t="s">
        <v>5707</v>
      </c>
      <c r="E488" t="s">
        <v>5708</v>
      </c>
      <c r="F488" t="s">
        <v>5709</v>
      </c>
      <c r="G488">
        <v>16301</v>
      </c>
      <c r="H488" t="s">
        <v>3469</v>
      </c>
      <c r="I488" t="s">
        <v>3391</v>
      </c>
      <c r="J488" t="s">
        <v>3392</v>
      </c>
      <c r="K488" t="s">
        <v>3303</v>
      </c>
      <c r="L488" t="s">
        <v>6778</v>
      </c>
      <c r="M488" t="s">
        <v>6779</v>
      </c>
      <c r="N488" t="s">
        <v>6792</v>
      </c>
      <c r="O488">
        <v>1</v>
      </c>
      <c r="P488" t="str">
        <f>+BARRAS[[#This Row],[Barra]]&amp;"_"&amp;BARRAS[[#This Row],[Nivel de tensión]]</f>
        <v>ANDES_13</v>
      </c>
    </row>
    <row r="489" spans="1:16">
      <c r="A489" t="s">
        <v>5706</v>
      </c>
      <c r="B489">
        <v>110</v>
      </c>
      <c r="C489">
        <v>1</v>
      </c>
      <c r="D489" t="s">
        <v>3397</v>
      </c>
      <c r="E489" t="s">
        <v>5710</v>
      </c>
      <c r="F489" t="s">
        <v>3420</v>
      </c>
      <c r="G489">
        <v>16301</v>
      </c>
      <c r="H489" t="s">
        <v>3469</v>
      </c>
      <c r="I489" t="s">
        <v>3391</v>
      </c>
      <c r="J489" t="s">
        <v>3392</v>
      </c>
      <c r="K489" t="s">
        <v>3303</v>
      </c>
      <c r="L489" t="s">
        <v>6778</v>
      </c>
      <c r="M489" t="s">
        <v>6779</v>
      </c>
      <c r="N489" t="s">
        <v>6792</v>
      </c>
      <c r="O489">
        <v>1</v>
      </c>
      <c r="P489" t="str">
        <f>+BARRAS[[#This Row],[Barra]]&amp;"_"&amp;BARRAS[[#This Row],[Nivel de tensión]]</f>
        <v>ANDES_110</v>
      </c>
    </row>
    <row r="490" spans="1:16">
      <c r="A490" t="s">
        <v>74</v>
      </c>
      <c r="B490">
        <v>220</v>
      </c>
      <c r="C490">
        <v>1</v>
      </c>
      <c r="D490" t="s">
        <v>3397</v>
      </c>
      <c r="E490" t="s">
        <v>5711</v>
      </c>
      <c r="F490" t="s">
        <v>3420</v>
      </c>
      <c r="G490">
        <v>16301</v>
      </c>
      <c r="H490" t="s">
        <v>3405</v>
      </c>
      <c r="I490" t="s">
        <v>3391</v>
      </c>
      <c r="J490" t="s">
        <v>3392</v>
      </c>
      <c r="K490" t="s">
        <v>6315</v>
      </c>
      <c r="L490" t="s">
        <v>6778</v>
      </c>
      <c r="M490" t="s">
        <v>6779</v>
      </c>
      <c r="N490" t="s">
        <v>6792</v>
      </c>
      <c r="O490">
        <v>1</v>
      </c>
      <c r="P490" t="str">
        <f>+BARRAS[[#This Row],[Barra]]&amp;"_"&amp;BARRAS[[#This Row],[Nivel de tensión]]</f>
        <v>ANDES_SNG_220</v>
      </c>
    </row>
    <row r="491" spans="1:16">
      <c r="A491" t="s">
        <v>74</v>
      </c>
      <c r="B491">
        <v>345</v>
      </c>
      <c r="C491">
        <v>1879</v>
      </c>
      <c r="D491" t="s">
        <v>5712</v>
      </c>
      <c r="E491" t="s">
        <v>5713</v>
      </c>
      <c r="F491" t="s">
        <v>5714</v>
      </c>
      <c r="G491">
        <v>16301</v>
      </c>
      <c r="H491" t="s">
        <v>3405</v>
      </c>
      <c r="I491" t="s">
        <v>3391</v>
      </c>
      <c r="J491" t="s">
        <v>3392</v>
      </c>
      <c r="K491" t="s">
        <v>6315</v>
      </c>
      <c r="L491" t="s">
        <v>6778</v>
      </c>
      <c r="M491" t="s">
        <v>6779</v>
      </c>
      <c r="N491" t="s">
        <v>6792</v>
      </c>
      <c r="O491">
        <v>1</v>
      </c>
      <c r="P491" t="str">
        <f>+BARRAS[[#This Row],[Barra]]&amp;"_"&amp;BARRAS[[#This Row],[Nivel de tensión]]</f>
        <v>ANDES_SNG_345</v>
      </c>
    </row>
    <row r="492" spans="1:16">
      <c r="A492" t="s">
        <v>5715</v>
      </c>
      <c r="B492">
        <v>220</v>
      </c>
      <c r="C492">
        <v>1886</v>
      </c>
      <c r="D492" t="s">
        <v>5716</v>
      </c>
      <c r="E492" t="s">
        <v>5717</v>
      </c>
      <c r="F492" t="s">
        <v>5718</v>
      </c>
      <c r="G492">
        <v>16301</v>
      </c>
      <c r="H492" t="s">
        <v>3405</v>
      </c>
      <c r="I492" t="s">
        <v>3391</v>
      </c>
      <c r="J492" t="s">
        <v>3392</v>
      </c>
      <c r="K492" t="s">
        <v>6315</v>
      </c>
      <c r="L492" t="s">
        <v>6778</v>
      </c>
      <c r="M492" t="s">
        <v>6779</v>
      </c>
      <c r="N492" t="s">
        <v>6792</v>
      </c>
      <c r="O492">
        <v>1</v>
      </c>
      <c r="P492" t="str">
        <f>+BARRAS[[#This Row],[Barra]]&amp;"_"&amp;BARRAS[[#This Row],[Nivel de tensión]]</f>
        <v>ANGAMOS_220</v>
      </c>
    </row>
    <row r="493" spans="1:16">
      <c r="A493" t="s">
        <v>5719</v>
      </c>
      <c r="B493">
        <v>13</v>
      </c>
      <c r="C493">
        <v>140</v>
      </c>
      <c r="D493" t="s">
        <v>5720</v>
      </c>
      <c r="E493" t="s">
        <v>5721</v>
      </c>
      <c r="F493" t="s">
        <v>5722</v>
      </c>
      <c r="G493">
        <v>16301</v>
      </c>
      <c r="H493" t="s">
        <v>3414</v>
      </c>
      <c r="I493" t="s">
        <v>3391</v>
      </c>
      <c r="J493" t="s">
        <v>3392</v>
      </c>
      <c r="K493" t="s">
        <v>3304</v>
      </c>
      <c r="L493" t="s">
        <v>6778</v>
      </c>
      <c r="M493" t="s">
        <v>6779</v>
      </c>
      <c r="N493" t="s">
        <v>6792</v>
      </c>
      <c r="O493">
        <v>1</v>
      </c>
      <c r="P493" t="str">
        <f>+BARRAS[[#This Row],[Barra]]&amp;"_"&amp;BARRAS[[#This Row],[Nivel de tensión]]</f>
        <v>ANGOL_13</v>
      </c>
    </row>
    <row r="494" spans="1:16">
      <c r="A494" t="s">
        <v>5719</v>
      </c>
      <c r="B494">
        <v>23</v>
      </c>
      <c r="C494">
        <v>247</v>
      </c>
      <c r="D494" t="s">
        <v>5723</v>
      </c>
      <c r="E494" t="s">
        <v>5724</v>
      </c>
      <c r="F494" t="s">
        <v>5722</v>
      </c>
      <c r="G494">
        <v>16301</v>
      </c>
      <c r="H494" t="s">
        <v>3405</v>
      </c>
      <c r="I494" t="s">
        <v>3391</v>
      </c>
      <c r="J494" t="s">
        <v>3392</v>
      </c>
      <c r="K494" t="s">
        <v>6315</v>
      </c>
      <c r="L494" t="s">
        <v>6778</v>
      </c>
      <c r="M494" t="s">
        <v>6779</v>
      </c>
      <c r="N494" t="s">
        <v>6792</v>
      </c>
      <c r="O494">
        <v>1</v>
      </c>
      <c r="P494" t="str">
        <f>+BARRAS[[#This Row],[Barra]]&amp;"_"&amp;BARRAS[[#This Row],[Nivel de tensión]]</f>
        <v>ANGOL_23</v>
      </c>
    </row>
    <row r="495" spans="1:16">
      <c r="A495" t="s">
        <v>5719</v>
      </c>
      <c r="B495">
        <v>66</v>
      </c>
      <c r="C495">
        <v>1</v>
      </c>
      <c r="D495" t="s">
        <v>3397</v>
      </c>
      <c r="E495" t="s">
        <v>5725</v>
      </c>
      <c r="F495" t="s">
        <v>3420</v>
      </c>
      <c r="G495">
        <v>16301</v>
      </c>
      <c r="H495" t="s">
        <v>3414</v>
      </c>
      <c r="I495" t="s">
        <v>3391</v>
      </c>
      <c r="J495" t="s">
        <v>3392</v>
      </c>
      <c r="K495" t="s">
        <v>3304</v>
      </c>
      <c r="L495" t="s">
        <v>6778</v>
      </c>
      <c r="M495" t="s">
        <v>6779</v>
      </c>
      <c r="N495" t="s">
        <v>6792</v>
      </c>
      <c r="O495">
        <v>1</v>
      </c>
      <c r="P495" t="str">
        <f>+BARRAS[[#This Row],[Barra]]&amp;"_"&amp;BARRAS[[#This Row],[Nivel de tensión]]</f>
        <v>ANGOL_66</v>
      </c>
    </row>
    <row r="496" spans="1:16">
      <c r="A496" t="s">
        <v>5726</v>
      </c>
      <c r="B496">
        <v>13</v>
      </c>
      <c r="C496">
        <v>1</v>
      </c>
      <c r="D496" t="s">
        <v>3397</v>
      </c>
      <c r="E496" t="s">
        <v>3419</v>
      </c>
      <c r="F496" t="s">
        <v>5727</v>
      </c>
      <c r="G496">
        <v>8311</v>
      </c>
      <c r="H496" t="s">
        <v>3405</v>
      </c>
      <c r="I496" t="s">
        <v>3391</v>
      </c>
      <c r="J496" t="s">
        <v>2258</v>
      </c>
      <c r="K496" t="s">
        <v>6315</v>
      </c>
      <c r="L496" t="s">
        <v>6778</v>
      </c>
      <c r="M496" t="s">
        <v>6779</v>
      </c>
      <c r="N496" t="s">
        <v>6792</v>
      </c>
      <c r="O496">
        <v>1</v>
      </c>
      <c r="P496" t="str">
        <f>+BARRAS[[#This Row],[Barra]]&amp;"_"&amp;BARRAS[[#This Row],[Nivel de tensión]]</f>
        <v>ANGOSTURA_13</v>
      </c>
    </row>
    <row r="497" spans="1:16">
      <c r="A497" t="s">
        <v>5726</v>
      </c>
      <c r="B497">
        <v>220</v>
      </c>
      <c r="C497">
        <v>3695</v>
      </c>
      <c r="D497" t="s">
        <v>5728</v>
      </c>
      <c r="E497" t="s">
        <v>5729</v>
      </c>
      <c r="F497" t="s">
        <v>5727</v>
      </c>
      <c r="G497">
        <v>8311</v>
      </c>
      <c r="H497" t="s">
        <v>3405</v>
      </c>
      <c r="I497" t="s">
        <v>3391</v>
      </c>
      <c r="J497" t="s">
        <v>2258</v>
      </c>
      <c r="K497" t="s">
        <v>6315</v>
      </c>
      <c r="L497" t="s">
        <v>6778</v>
      </c>
      <c r="M497" t="s">
        <v>6779</v>
      </c>
      <c r="N497" t="s">
        <v>6792</v>
      </c>
      <c r="O497">
        <v>1</v>
      </c>
      <c r="P497" t="str">
        <f>+BARRAS[[#This Row],[Barra]]&amp;"_"&amp;BARRAS[[#This Row],[Nivel de tensión]]</f>
        <v>ANGOSTURA_220</v>
      </c>
    </row>
    <row r="498" spans="1:16">
      <c r="A498" t="s">
        <v>5730</v>
      </c>
      <c r="B498">
        <v>110</v>
      </c>
      <c r="C498">
        <v>1</v>
      </c>
      <c r="D498" t="s">
        <v>3397</v>
      </c>
      <c r="E498" t="s">
        <v>5731</v>
      </c>
      <c r="F498" t="s">
        <v>3420</v>
      </c>
      <c r="G498">
        <v>16301</v>
      </c>
      <c r="H498" t="s">
        <v>3396</v>
      </c>
      <c r="I498" t="s">
        <v>3391</v>
      </c>
      <c r="J498" t="s">
        <v>3392</v>
      </c>
      <c r="K498" t="s">
        <v>6315</v>
      </c>
      <c r="L498" t="s">
        <v>6778</v>
      </c>
      <c r="M498" t="s">
        <v>6779</v>
      </c>
      <c r="N498" t="s">
        <v>6792</v>
      </c>
      <c r="O498">
        <v>1</v>
      </c>
      <c r="P498" t="str">
        <f>+BARRAS[[#This Row],[Barra]]&amp;"_"&amp;BARRAS[[#This Row],[Nivel de tensión]]</f>
        <v>ANTILLANCA_110</v>
      </c>
    </row>
    <row r="499" spans="1:16">
      <c r="A499" t="s">
        <v>5730</v>
      </c>
      <c r="B499">
        <v>220</v>
      </c>
      <c r="C499">
        <v>1</v>
      </c>
      <c r="D499" t="s">
        <v>3397</v>
      </c>
      <c r="E499" t="s">
        <v>5732</v>
      </c>
      <c r="F499" t="s">
        <v>3420</v>
      </c>
      <c r="G499">
        <v>16301</v>
      </c>
      <c r="H499" t="s">
        <v>3396</v>
      </c>
      <c r="I499" t="s">
        <v>3391</v>
      </c>
      <c r="J499" t="s">
        <v>3392</v>
      </c>
      <c r="K499" t="s">
        <v>6315</v>
      </c>
      <c r="L499" t="s">
        <v>6778</v>
      </c>
      <c r="M499" t="s">
        <v>6779</v>
      </c>
      <c r="N499" t="s">
        <v>6792</v>
      </c>
      <c r="O499">
        <v>1</v>
      </c>
      <c r="P499" t="str">
        <f>+BARRAS[[#This Row],[Barra]]&amp;"_"&amp;BARRAS[[#This Row],[Nivel de tensión]]</f>
        <v>ANTILLANCA_220</v>
      </c>
    </row>
    <row r="500" spans="1:16">
      <c r="A500" t="s">
        <v>5733</v>
      </c>
      <c r="B500">
        <v>13</v>
      </c>
      <c r="C500">
        <v>1888</v>
      </c>
      <c r="D500" t="s">
        <v>5734</v>
      </c>
      <c r="E500" t="s">
        <v>5735</v>
      </c>
      <c r="F500" t="s">
        <v>5736</v>
      </c>
      <c r="G500">
        <v>16301</v>
      </c>
      <c r="H500" t="s">
        <v>3443</v>
      </c>
      <c r="I500" t="s">
        <v>3391</v>
      </c>
      <c r="J500" t="s">
        <v>3392</v>
      </c>
      <c r="K500" t="s">
        <v>3300</v>
      </c>
      <c r="L500" t="s">
        <v>6778</v>
      </c>
      <c r="M500" t="s">
        <v>6779</v>
      </c>
      <c r="N500" t="s">
        <v>6792</v>
      </c>
      <c r="O500">
        <v>1</v>
      </c>
      <c r="P500" t="str">
        <f>+BARRAS[[#This Row],[Barra]]&amp;"_"&amp;BARRAS[[#This Row],[Nivel de tensión]]</f>
        <v>ANTOFAGASTA_13</v>
      </c>
    </row>
    <row r="501" spans="1:16">
      <c r="A501" t="s">
        <v>5733</v>
      </c>
      <c r="B501">
        <v>110</v>
      </c>
      <c r="C501">
        <v>1</v>
      </c>
      <c r="D501" t="s">
        <v>3397</v>
      </c>
      <c r="E501" t="s">
        <v>5737</v>
      </c>
      <c r="F501" t="s">
        <v>3420</v>
      </c>
      <c r="G501">
        <v>16301</v>
      </c>
      <c r="H501" t="s">
        <v>3443</v>
      </c>
      <c r="I501" t="s">
        <v>3391</v>
      </c>
      <c r="J501" t="s">
        <v>3392</v>
      </c>
      <c r="K501" t="s">
        <v>3300</v>
      </c>
      <c r="L501" t="s">
        <v>6778</v>
      </c>
      <c r="M501" t="s">
        <v>6779</v>
      </c>
      <c r="N501" t="s">
        <v>6792</v>
      </c>
      <c r="O501">
        <v>1</v>
      </c>
      <c r="P501" t="str">
        <f>+BARRAS[[#This Row],[Barra]]&amp;"_"&amp;BARRAS[[#This Row],[Nivel de tensión]]</f>
        <v>ANTOFAGASTA_110</v>
      </c>
    </row>
    <row r="502" spans="1:16">
      <c r="A502" t="s">
        <v>5738</v>
      </c>
      <c r="B502">
        <v>220</v>
      </c>
      <c r="C502">
        <v>1</v>
      </c>
      <c r="D502" t="s">
        <v>3397</v>
      </c>
      <c r="E502" t="s">
        <v>5739</v>
      </c>
      <c r="F502" t="s">
        <v>3420</v>
      </c>
      <c r="G502">
        <v>16301</v>
      </c>
      <c r="H502" t="s">
        <v>3405</v>
      </c>
      <c r="I502" t="s">
        <v>3391</v>
      </c>
      <c r="J502" t="s">
        <v>3392</v>
      </c>
      <c r="K502" t="s">
        <v>6315</v>
      </c>
      <c r="L502" t="s">
        <v>6778</v>
      </c>
      <c r="M502" t="s">
        <v>6779</v>
      </c>
      <c r="N502" t="s">
        <v>6792</v>
      </c>
      <c r="O502">
        <v>1</v>
      </c>
      <c r="P502" t="str">
        <f>+BARRAS[[#This Row],[Barra]]&amp;"_"&amp;BARRAS[[#This Row],[Nivel de tensión]]</f>
        <v>ANTUCO_220</v>
      </c>
    </row>
    <row r="503" spans="1:16">
      <c r="A503" t="s">
        <v>5740</v>
      </c>
      <c r="B503">
        <v>220</v>
      </c>
      <c r="C503">
        <v>1891</v>
      </c>
      <c r="D503" t="s">
        <v>3397</v>
      </c>
      <c r="E503" t="s">
        <v>5741</v>
      </c>
      <c r="F503" t="s">
        <v>5742</v>
      </c>
      <c r="G503">
        <v>16301</v>
      </c>
      <c r="H503" t="s">
        <v>3405</v>
      </c>
      <c r="I503" t="s">
        <v>3391</v>
      </c>
      <c r="J503" t="s">
        <v>3392</v>
      </c>
      <c r="K503" t="s">
        <v>6315</v>
      </c>
      <c r="L503" t="s">
        <v>6778</v>
      </c>
      <c r="M503" t="s">
        <v>6779</v>
      </c>
      <c r="N503" t="s">
        <v>6792</v>
      </c>
      <c r="O503">
        <v>1</v>
      </c>
      <c r="P503" t="str">
        <f>+BARRAS[[#This Row],[Barra]]&amp;"_"&amp;BARRAS[[#This Row],[Nivel de tensión]]</f>
        <v>ANTUCOYA_220</v>
      </c>
    </row>
    <row r="504" spans="1:16">
      <c r="A504" t="s">
        <v>1382</v>
      </c>
      <c r="B504">
        <v>23</v>
      </c>
      <c r="C504">
        <v>2298</v>
      </c>
      <c r="D504" t="s">
        <v>3864</v>
      </c>
      <c r="E504" t="s">
        <v>3865</v>
      </c>
      <c r="F504" t="s">
        <v>3866</v>
      </c>
      <c r="G504">
        <v>16301</v>
      </c>
      <c r="H504" t="s">
        <v>3443</v>
      </c>
      <c r="I504" t="s">
        <v>3391</v>
      </c>
      <c r="J504" t="s">
        <v>3392</v>
      </c>
      <c r="K504" t="s">
        <v>3300</v>
      </c>
      <c r="L504" t="s">
        <v>6778</v>
      </c>
      <c r="M504" t="s">
        <v>6779</v>
      </c>
      <c r="N504" t="s">
        <v>6792</v>
      </c>
      <c r="O504">
        <v>1</v>
      </c>
      <c r="P504" t="str">
        <f>+BARRAS[[#This Row],[Barra]]&amp;"_"&amp;BARRAS[[#This Row],[Nivel de tensión]]</f>
        <v>TAMARUGAL_23</v>
      </c>
    </row>
    <row r="505" spans="1:16">
      <c r="A505" t="s">
        <v>1382</v>
      </c>
      <c r="B505">
        <v>66</v>
      </c>
      <c r="C505">
        <v>2299</v>
      </c>
      <c r="D505" t="s">
        <v>3867</v>
      </c>
      <c r="E505" t="s">
        <v>3868</v>
      </c>
      <c r="F505" t="s">
        <v>3866</v>
      </c>
      <c r="G505">
        <v>16301</v>
      </c>
      <c r="H505" t="s">
        <v>3443</v>
      </c>
      <c r="I505" t="s">
        <v>3391</v>
      </c>
      <c r="J505" t="s">
        <v>3392</v>
      </c>
      <c r="K505" t="s">
        <v>3300</v>
      </c>
      <c r="L505" t="s">
        <v>6778</v>
      </c>
      <c r="M505" t="s">
        <v>6779</v>
      </c>
      <c r="N505" t="s">
        <v>6792</v>
      </c>
      <c r="O505">
        <v>1</v>
      </c>
      <c r="P505" t="str">
        <f>+BARRAS[[#This Row],[Barra]]&amp;"_"&amp;BARRAS[[#This Row],[Nivel de tensión]]</f>
        <v>TAMARUGAL_66</v>
      </c>
    </row>
    <row r="506" spans="1:16">
      <c r="A506" t="s">
        <v>3869</v>
      </c>
      <c r="B506">
        <v>110</v>
      </c>
      <c r="C506">
        <v>1</v>
      </c>
      <c r="D506" t="s">
        <v>3397</v>
      </c>
      <c r="E506" t="s">
        <v>3419</v>
      </c>
      <c r="F506" t="s">
        <v>3420</v>
      </c>
      <c r="G506">
        <v>16301</v>
      </c>
      <c r="H506" t="s">
        <v>3418</v>
      </c>
      <c r="I506" t="s">
        <v>3391</v>
      </c>
      <c r="J506" t="s">
        <v>3392</v>
      </c>
      <c r="K506" t="s">
        <v>3302</v>
      </c>
      <c r="L506" t="s">
        <v>6778</v>
      </c>
      <c r="M506" t="s">
        <v>6779</v>
      </c>
      <c r="N506" t="s">
        <v>6792</v>
      </c>
      <c r="O506">
        <v>1</v>
      </c>
      <c r="P506" t="str">
        <f>+BARRAS[[#This Row],[Barra]]&amp;"_"&amp;BARRAS[[#This Row],[Nivel de tensión]]</f>
        <v>TAP.CONCON_110</v>
      </c>
    </row>
    <row r="507" spans="1:16">
      <c r="A507" t="s">
        <v>3870</v>
      </c>
      <c r="B507">
        <v>110</v>
      </c>
      <c r="C507">
        <v>1</v>
      </c>
      <c r="D507" t="s">
        <v>3397</v>
      </c>
      <c r="E507" t="s">
        <v>3871</v>
      </c>
      <c r="F507" t="s">
        <v>3420</v>
      </c>
      <c r="G507">
        <v>16301</v>
      </c>
      <c r="H507" t="s">
        <v>3400</v>
      </c>
      <c r="I507" t="s">
        <v>3391</v>
      </c>
      <c r="J507" t="s">
        <v>3392</v>
      </c>
      <c r="K507" t="s">
        <v>3301</v>
      </c>
      <c r="L507" t="s">
        <v>6778</v>
      </c>
      <c r="M507" t="s">
        <v>6779</v>
      </c>
      <c r="N507" t="s">
        <v>6792</v>
      </c>
      <c r="O507">
        <v>1</v>
      </c>
      <c r="P507" t="str">
        <f>+BARRAS[[#This Row],[Barra]]&amp;"_"&amp;BARRAS[[#This Row],[Nivel de tensión]]</f>
        <v>TAP.ELEDEN_110</v>
      </c>
    </row>
    <row r="508" spans="1:16">
      <c r="A508" t="s">
        <v>3872</v>
      </c>
      <c r="B508">
        <v>66</v>
      </c>
      <c r="C508">
        <v>1</v>
      </c>
      <c r="D508" t="s">
        <v>3397</v>
      </c>
      <c r="E508" t="s">
        <v>3873</v>
      </c>
      <c r="F508" t="s">
        <v>3420</v>
      </c>
      <c r="G508">
        <v>16301</v>
      </c>
      <c r="H508" t="s">
        <v>3418</v>
      </c>
      <c r="I508" t="s">
        <v>3391</v>
      </c>
      <c r="J508" t="s">
        <v>3392</v>
      </c>
      <c r="K508" t="s">
        <v>3302</v>
      </c>
      <c r="L508" t="s">
        <v>6778</v>
      </c>
      <c r="M508" t="s">
        <v>6779</v>
      </c>
      <c r="N508" t="s">
        <v>6792</v>
      </c>
      <c r="O508">
        <v>1</v>
      </c>
      <c r="P508" t="str">
        <f>+BARRAS[[#This Row],[Barra]]&amp;"_"&amp;BARRAS[[#This Row],[Nivel de tensión]]</f>
        <v>TAP.MANZANO_66</v>
      </c>
    </row>
    <row r="509" spans="1:16">
      <c r="A509" t="s">
        <v>3874</v>
      </c>
      <c r="B509">
        <v>66</v>
      </c>
      <c r="C509">
        <v>1</v>
      </c>
      <c r="D509" t="s">
        <v>3397</v>
      </c>
      <c r="E509" t="s">
        <v>3875</v>
      </c>
      <c r="F509" t="s">
        <v>3420</v>
      </c>
      <c r="G509">
        <v>16301</v>
      </c>
      <c r="H509" t="s">
        <v>3418</v>
      </c>
      <c r="I509" t="s">
        <v>3391</v>
      </c>
      <c r="J509" t="s">
        <v>3392</v>
      </c>
      <c r="K509" t="s">
        <v>3302</v>
      </c>
      <c r="L509" t="s">
        <v>6778</v>
      </c>
      <c r="M509" t="s">
        <v>6779</v>
      </c>
      <c r="N509" t="s">
        <v>6792</v>
      </c>
      <c r="O509">
        <v>1</v>
      </c>
      <c r="P509" t="str">
        <f>+BARRAS[[#This Row],[Barra]]&amp;"_"&amp;BARRAS[[#This Row],[Nivel de tensión]]</f>
        <v>TAP.QUINTAY_66</v>
      </c>
    </row>
    <row r="510" spans="1:16">
      <c r="A510" t="s">
        <v>3876</v>
      </c>
      <c r="B510">
        <v>110</v>
      </c>
      <c r="C510">
        <v>1</v>
      </c>
      <c r="D510" t="s">
        <v>3397</v>
      </c>
      <c r="E510" t="s">
        <v>3877</v>
      </c>
      <c r="F510" t="s">
        <v>3420</v>
      </c>
      <c r="G510">
        <v>16301</v>
      </c>
      <c r="H510" t="s">
        <v>3418</v>
      </c>
      <c r="I510" t="s">
        <v>3391</v>
      </c>
      <c r="J510" t="s">
        <v>3392</v>
      </c>
      <c r="K510" t="s">
        <v>3302</v>
      </c>
      <c r="L510" t="s">
        <v>6778</v>
      </c>
      <c r="M510" t="s">
        <v>6779</v>
      </c>
      <c r="N510" t="s">
        <v>6792</v>
      </c>
      <c r="O510">
        <v>1</v>
      </c>
      <c r="P510" t="str">
        <f>+BARRAS[[#This Row],[Barra]]&amp;"_"&amp;BARRAS[[#This Row],[Nivel de tensión]]</f>
        <v>TAP.RENACA_110</v>
      </c>
    </row>
    <row r="511" spans="1:16">
      <c r="A511" t="s">
        <v>3878</v>
      </c>
      <c r="B511">
        <v>110</v>
      </c>
      <c r="C511">
        <v>1</v>
      </c>
      <c r="D511" t="s">
        <v>3397</v>
      </c>
      <c r="E511" t="s">
        <v>3879</v>
      </c>
      <c r="F511" t="s">
        <v>3420</v>
      </c>
      <c r="G511">
        <v>16301</v>
      </c>
      <c r="H511" t="s">
        <v>3469</v>
      </c>
      <c r="I511" t="s">
        <v>3391</v>
      </c>
      <c r="J511" t="s">
        <v>3392</v>
      </c>
      <c r="K511" t="s">
        <v>3303</v>
      </c>
      <c r="L511" t="s">
        <v>6778</v>
      </c>
      <c r="M511" t="s">
        <v>6779</v>
      </c>
      <c r="N511" t="s">
        <v>6792</v>
      </c>
      <c r="O511">
        <v>1</v>
      </c>
      <c r="P511" t="str">
        <f>+BARRAS[[#This Row],[Barra]]&amp;"_"&amp;BARRAS[[#This Row],[Nivel de tensión]]</f>
        <v>TAP_BICENTENA_110</v>
      </c>
    </row>
    <row r="512" spans="1:16">
      <c r="A512" t="s">
        <v>3880</v>
      </c>
      <c r="B512">
        <v>110</v>
      </c>
      <c r="C512">
        <v>1</v>
      </c>
      <c r="D512" t="s">
        <v>3397</v>
      </c>
      <c r="E512" t="s">
        <v>3881</v>
      </c>
      <c r="F512" t="s">
        <v>3420</v>
      </c>
      <c r="G512">
        <v>16301</v>
      </c>
      <c r="H512" t="s">
        <v>3469</v>
      </c>
      <c r="I512" t="s">
        <v>3391</v>
      </c>
      <c r="J512" t="s">
        <v>3392</v>
      </c>
      <c r="K512" t="s">
        <v>3303</v>
      </c>
      <c r="L512" t="s">
        <v>6778</v>
      </c>
      <c r="M512" t="s">
        <v>6779</v>
      </c>
      <c r="N512" t="s">
        <v>6792</v>
      </c>
      <c r="O512">
        <v>1</v>
      </c>
      <c r="P512" t="str">
        <f>+BARRAS[[#This Row],[Barra]]&amp;"_"&amp;BARRAS[[#This Row],[Nivel de tensión]]</f>
        <v>TAP_BUIN_110</v>
      </c>
    </row>
    <row r="513" spans="1:16">
      <c r="A513" t="s">
        <v>3882</v>
      </c>
      <c r="B513">
        <v>220</v>
      </c>
      <c r="C513">
        <v>1</v>
      </c>
      <c r="D513" t="s">
        <v>3397</v>
      </c>
      <c r="E513" t="s">
        <v>3883</v>
      </c>
      <c r="F513" t="s">
        <v>3420</v>
      </c>
      <c r="G513">
        <v>16301</v>
      </c>
      <c r="H513" t="s">
        <v>3409</v>
      </c>
      <c r="I513" t="s">
        <v>3391</v>
      </c>
      <c r="J513" t="s">
        <v>3392</v>
      </c>
      <c r="K513" t="s">
        <v>6315</v>
      </c>
      <c r="L513" t="s">
        <v>6778</v>
      </c>
      <c r="M513" t="s">
        <v>6779</v>
      </c>
      <c r="N513" t="s">
        <v>6792</v>
      </c>
      <c r="O513">
        <v>1</v>
      </c>
      <c r="P513" t="str">
        <f>+BARRAS[[#This Row],[Barra]]&amp;"_"&amp;BARRAS[[#This Row],[Nivel de tensión]]</f>
        <v>TAP_BUREO_220</v>
      </c>
    </row>
    <row r="514" spans="1:16">
      <c r="A514" t="s">
        <v>3884</v>
      </c>
      <c r="B514">
        <v>110</v>
      </c>
      <c r="C514">
        <v>1</v>
      </c>
      <c r="D514" t="s">
        <v>3397</v>
      </c>
      <c r="E514" t="s">
        <v>3885</v>
      </c>
      <c r="F514" t="s">
        <v>3420</v>
      </c>
      <c r="G514">
        <v>16301</v>
      </c>
      <c r="H514" t="s">
        <v>3469</v>
      </c>
      <c r="I514" t="s">
        <v>3391</v>
      </c>
      <c r="J514" t="s">
        <v>3392</v>
      </c>
      <c r="K514" t="s">
        <v>3303</v>
      </c>
      <c r="L514" t="s">
        <v>6778</v>
      </c>
      <c r="M514" t="s">
        <v>6779</v>
      </c>
      <c r="N514" t="s">
        <v>6792</v>
      </c>
      <c r="O514">
        <v>1</v>
      </c>
      <c r="P514" t="str">
        <f>+BARRAS[[#This Row],[Barra]]&amp;"_"&amp;BARRAS[[#This Row],[Nivel de tensión]]</f>
        <v>TAP_C_HIPICO_110</v>
      </c>
    </row>
    <row r="515" spans="1:16">
      <c r="A515" t="s">
        <v>3886</v>
      </c>
      <c r="B515">
        <v>44</v>
      </c>
      <c r="C515">
        <v>1</v>
      </c>
      <c r="D515" t="s">
        <v>3397</v>
      </c>
      <c r="E515" t="s">
        <v>3887</v>
      </c>
      <c r="F515" t="s">
        <v>3420</v>
      </c>
      <c r="G515">
        <v>16301</v>
      </c>
      <c r="H515" t="s">
        <v>3418</v>
      </c>
      <c r="I515" t="s">
        <v>3391</v>
      </c>
      <c r="J515" t="s">
        <v>3392</v>
      </c>
      <c r="K515" t="s">
        <v>3302</v>
      </c>
      <c r="L515" t="s">
        <v>6778</v>
      </c>
      <c r="M515" t="s">
        <v>6779</v>
      </c>
      <c r="N515" t="s">
        <v>6792</v>
      </c>
      <c r="O515">
        <v>1</v>
      </c>
      <c r="P515" t="str">
        <f>+BARRAS[[#This Row],[Barra]]&amp;"_"&amp;BARRAS[[#This Row],[Nivel de tensión]]</f>
        <v>TAP_CALEU_44</v>
      </c>
    </row>
    <row r="516" spans="1:16">
      <c r="A516" t="s">
        <v>3888</v>
      </c>
      <c r="B516">
        <v>110</v>
      </c>
      <c r="C516">
        <v>1</v>
      </c>
      <c r="D516" t="s">
        <v>3397</v>
      </c>
      <c r="E516" t="s">
        <v>3889</v>
      </c>
      <c r="F516" t="s">
        <v>3420</v>
      </c>
      <c r="G516">
        <v>16301</v>
      </c>
      <c r="H516" t="s">
        <v>3469</v>
      </c>
      <c r="I516" t="s">
        <v>3391</v>
      </c>
      <c r="J516" t="s">
        <v>3392</v>
      </c>
      <c r="K516" t="s">
        <v>3303</v>
      </c>
      <c r="L516" t="s">
        <v>6778</v>
      </c>
      <c r="M516" t="s">
        <v>6779</v>
      </c>
      <c r="N516" t="s">
        <v>6792</v>
      </c>
      <c r="O516">
        <v>1</v>
      </c>
      <c r="P516" t="str">
        <f>+BARRAS[[#This Row],[Barra]]&amp;"_"&amp;BARRAS[[#This Row],[Nivel de tensión]]</f>
        <v>TAP_CARRASCAL_110</v>
      </c>
    </row>
    <row r="517" spans="1:16">
      <c r="A517" t="s">
        <v>3890</v>
      </c>
      <c r="B517">
        <v>110</v>
      </c>
      <c r="C517">
        <v>1</v>
      </c>
      <c r="D517" t="s">
        <v>3397</v>
      </c>
      <c r="E517" t="s">
        <v>3891</v>
      </c>
      <c r="F517" t="s">
        <v>3420</v>
      </c>
      <c r="G517">
        <v>16301</v>
      </c>
      <c r="H517" t="s">
        <v>3469</v>
      </c>
      <c r="I517" t="s">
        <v>3391</v>
      </c>
      <c r="J517" t="s">
        <v>3392</v>
      </c>
      <c r="K517" t="s">
        <v>3303</v>
      </c>
      <c r="L517" t="s">
        <v>6778</v>
      </c>
      <c r="M517" t="s">
        <v>6779</v>
      </c>
      <c r="N517" t="s">
        <v>6792</v>
      </c>
      <c r="O517">
        <v>1</v>
      </c>
      <c r="P517" t="str">
        <f>+BARRAS[[#This Row],[Barra]]&amp;"_"&amp;BARRAS[[#This Row],[Nivel de tensión]]</f>
        <v>TAP_CHACABUCO_110</v>
      </c>
    </row>
    <row r="518" spans="1:16">
      <c r="A518" t="s">
        <v>3892</v>
      </c>
      <c r="B518">
        <v>110</v>
      </c>
      <c r="C518">
        <v>1</v>
      </c>
      <c r="D518" t="s">
        <v>3397</v>
      </c>
      <c r="E518" t="s">
        <v>3893</v>
      </c>
      <c r="F518" t="s">
        <v>3420</v>
      </c>
      <c r="G518">
        <v>16301</v>
      </c>
      <c r="H518" t="s">
        <v>3418</v>
      </c>
      <c r="I518" t="s">
        <v>3391</v>
      </c>
      <c r="J518" t="s">
        <v>3392</v>
      </c>
      <c r="K518" t="s">
        <v>3302</v>
      </c>
      <c r="L518" t="s">
        <v>6778</v>
      </c>
      <c r="M518" t="s">
        <v>6779</v>
      </c>
      <c r="N518" t="s">
        <v>6792</v>
      </c>
      <c r="O518">
        <v>1</v>
      </c>
      <c r="P518" t="str">
        <f>+BARRAS[[#This Row],[Barra]]&amp;"_"&amp;BARRAS[[#This Row],[Nivel de tensión]]</f>
        <v>TAP_CHAGRES_110</v>
      </c>
    </row>
    <row r="519" spans="1:16">
      <c r="A519" t="s">
        <v>3894</v>
      </c>
      <c r="B519">
        <v>110</v>
      </c>
      <c r="C519">
        <v>1</v>
      </c>
      <c r="D519" t="s">
        <v>3397</v>
      </c>
      <c r="E519" t="s">
        <v>3895</v>
      </c>
      <c r="F519" t="s">
        <v>3420</v>
      </c>
      <c r="G519">
        <v>16301</v>
      </c>
      <c r="H519" t="s">
        <v>3400</v>
      </c>
      <c r="I519" t="s">
        <v>3391</v>
      </c>
      <c r="J519" t="s">
        <v>3392</v>
      </c>
      <c r="K519" t="s">
        <v>3301</v>
      </c>
      <c r="L519" t="s">
        <v>6778</v>
      </c>
      <c r="M519" t="s">
        <v>6779</v>
      </c>
      <c r="N519" t="s">
        <v>6792</v>
      </c>
      <c r="O519">
        <v>1</v>
      </c>
      <c r="P519" t="str">
        <f>+BARRAS[[#This Row],[Barra]]&amp;"_"&amp;BARRAS[[#This Row],[Nivel de tensión]]</f>
        <v>TAP_CHANARES_110</v>
      </c>
    </row>
    <row r="520" spans="1:16">
      <c r="A520" t="s">
        <v>3896</v>
      </c>
      <c r="B520">
        <v>220</v>
      </c>
      <c r="C520">
        <v>1</v>
      </c>
      <c r="D520" t="s">
        <v>3397</v>
      </c>
      <c r="E520" t="s">
        <v>3897</v>
      </c>
      <c r="F520" t="s">
        <v>3420</v>
      </c>
      <c r="G520">
        <v>16301</v>
      </c>
      <c r="H520" t="s">
        <v>3469</v>
      </c>
      <c r="I520" t="s">
        <v>3391</v>
      </c>
      <c r="J520" t="s">
        <v>3392</v>
      </c>
      <c r="K520" t="s">
        <v>3303</v>
      </c>
      <c r="L520" t="s">
        <v>6778</v>
      </c>
      <c r="M520" t="s">
        <v>6779</v>
      </c>
      <c r="N520" t="s">
        <v>6792</v>
      </c>
      <c r="O520">
        <v>1</v>
      </c>
      <c r="P520" t="str">
        <f>+BARRAS[[#This Row],[Barra]]&amp;"_"&amp;BARRAS[[#This Row],[Nivel de tensión]]</f>
        <v>TAP_CHICUREO_220</v>
      </c>
    </row>
    <row r="521" spans="1:16">
      <c r="A521" t="s">
        <v>3898</v>
      </c>
      <c r="B521">
        <v>66</v>
      </c>
      <c r="C521">
        <v>1</v>
      </c>
      <c r="D521" t="s">
        <v>3397</v>
      </c>
      <c r="E521" t="s">
        <v>3899</v>
      </c>
      <c r="F521" t="s">
        <v>3420</v>
      </c>
      <c r="G521">
        <v>16301</v>
      </c>
      <c r="H521" t="s">
        <v>3414</v>
      </c>
      <c r="I521" t="s">
        <v>3391</v>
      </c>
      <c r="J521" t="s">
        <v>3392</v>
      </c>
      <c r="K521" t="s">
        <v>3304</v>
      </c>
      <c r="L521" t="s">
        <v>6778</v>
      </c>
      <c r="M521" t="s">
        <v>6779</v>
      </c>
      <c r="N521" t="s">
        <v>6792</v>
      </c>
      <c r="O521">
        <v>1</v>
      </c>
      <c r="P521" t="str">
        <f>+BARRAS[[#This Row],[Barra]]&amp;"_"&amp;BARRAS[[#This Row],[Nivel de tensión]]</f>
        <v>TAP_DUQUECO_66</v>
      </c>
    </row>
    <row r="522" spans="1:16">
      <c r="A522" t="s">
        <v>1401</v>
      </c>
      <c r="B522">
        <v>66</v>
      </c>
      <c r="C522">
        <v>1</v>
      </c>
      <c r="D522" t="s">
        <v>3397</v>
      </c>
      <c r="E522" t="s">
        <v>3419</v>
      </c>
      <c r="F522" t="s">
        <v>3420</v>
      </c>
      <c r="G522">
        <v>16301</v>
      </c>
      <c r="H522" t="s">
        <v>3414</v>
      </c>
      <c r="I522" t="s">
        <v>3391</v>
      </c>
      <c r="J522" t="s">
        <v>3392</v>
      </c>
      <c r="K522" t="s">
        <v>3304</v>
      </c>
      <c r="L522" t="s">
        <v>6778</v>
      </c>
      <c r="M522" t="s">
        <v>6779</v>
      </c>
      <c r="N522" t="s">
        <v>6792</v>
      </c>
      <c r="O522">
        <v>1</v>
      </c>
      <c r="P522" t="str">
        <f>+BARRAS[[#This Row],[Barra]]&amp;"_"&amp;BARRAS[[#This Row],[Nivel de tensión]]</f>
        <v>TAP_EL_MAITEN_66</v>
      </c>
    </row>
    <row r="523" spans="1:16">
      <c r="A523" t="s">
        <v>3900</v>
      </c>
      <c r="B523">
        <v>44</v>
      </c>
      <c r="C523">
        <v>1</v>
      </c>
      <c r="D523" t="s">
        <v>3901</v>
      </c>
      <c r="E523" t="s">
        <v>3902</v>
      </c>
      <c r="F523" t="s">
        <v>3484</v>
      </c>
      <c r="G523">
        <v>16301</v>
      </c>
      <c r="H523" t="s">
        <v>3418</v>
      </c>
      <c r="I523" t="s">
        <v>3391</v>
      </c>
      <c r="J523" t="s">
        <v>3392</v>
      </c>
      <c r="K523" t="s">
        <v>3302</v>
      </c>
      <c r="L523" t="s">
        <v>6778</v>
      </c>
      <c r="M523" t="s">
        <v>6779</v>
      </c>
      <c r="N523" t="s">
        <v>6792</v>
      </c>
      <c r="O523">
        <v>1</v>
      </c>
      <c r="P523" t="str">
        <f>+BARRAS[[#This Row],[Barra]]&amp;"_"&amp;BARRAS[[#This Row],[Nivel de tensión]]</f>
        <v>TAP_ENTEL_44</v>
      </c>
    </row>
    <row r="524" spans="1:16">
      <c r="A524" t="s">
        <v>3952</v>
      </c>
      <c r="B524">
        <v>154</v>
      </c>
      <c r="C524">
        <v>1</v>
      </c>
      <c r="D524" t="s">
        <v>3397</v>
      </c>
      <c r="E524" t="s">
        <v>3419</v>
      </c>
      <c r="F524" t="s">
        <v>3420</v>
      </c>
      <c r="G524">
        <v>16301</v>
      </c>
      <c r="H524" t="s">
        <v>3414</v>
      </c>
      <c r="I524" t="s">
        <v>3391</v>
      </c>
      <c r="J524" t="s">
        <v>3392</v>
      </c>
      <c r="K524" t="s">
        <v>3304</v>
      </c>
      <c r="L524" t="s">
        <v>6778</v>
      </c>
      <c r="M524" t="s">
        <v>6779</v>
      </c>
      <c r="N524" t="s">
        <v>6792</v>
      </c>
      <c r="O524">
        <v>1</v>
      </c>
      <c r="P524" t="str">
        <f>+BARRAS[[#This Row],[Barra]]&amp;"_"&amp;BARRAS[[#This Row],[Nivel de tensión]]</f>
        <v>TAP_FOPACO_154</v>
      </c>
    </row>
    <row r="525" spans="1:16">
      <c r="A525" t="s">
        <v>3953</v>
      </c>
      <c r="B525">
        <v>110</v>
      </c>
      <c r="C525">
        <v>1</v>
      </c>
      <c r="D525" t="s">
        <v>3397</v>
      </c>
      <c r="E525" t="s">
        <v>3419</v>
      </c>
      <c r="F525" t="s">
        <v>3420</v>
      </c>
      <c r="G525">
        <v>16301</v>
      </c>
      <c r="H525" t="s">
        <v>3405</v>
      </c>
      <c r="I525" t="s">
        <v>3391</v>
      </c>
      <c r="J525" t="s">
        <v>3392</v>
      </c>
      <c r="K525" t="s">
        <v>6315</v>
      </c>
      <c r="L525" t="s">
        <v>6778</v>
      </c>
      <c r="M525" t="s">
        <v>6779</v>
      </c>
      <c r="N525" t="s">
        <v>6792</v>
      </c>
      <c r="O525">
        <v>1</v>
      </c>
      <c r="P525" t="str">
        <f>+BARRAS[[#This Row],[Barra]]&amp;"_"&amp;BARRAS[[#This Row],[Nivel de tensión]]</f>
        <v>TAP_HIERROS2_110</v>
      </c>
    </row>
    <row r="526" spans="1:16">
      <c r="A526" t="s">
        <v>3954</v>
      </c>
      <c r="B526">
        <v>66</v>
      </c>
      <c r="C526">
        <v>1</v>
      </c>
      <c r="D526" t="s">
        <v>3397</v>
      </c>
      <c r="E526" t="s">
        <v>3955</v>
      </c>
      <c r="F526" t="s">
        <v>3420</v>
      </c>
      <c r="G526">
        <v>16301</v>
      </c>
      <c r="H526" t="s">
        <v>3414</v>
      </c>
      <c r="I526" t="s">
        <v>3391</v>
      </c>
      <c r="J526" t="s">
        <v>3392</v>
      </c>
      <c r="K526" t="s">
        <v>3304</v>
      </c>
      <c r="L526" t="s">
        <v>6778</v>
      </c>
      <c r="M526" t="s">
        <v>6779</v>
      </c>
      <c r="N526" t="s">
        <v>6792</v>
      </c>
      <c r="O526">
        <v>1</v>
      </c>
      <c r="P526" t="str">
        <f>+BARRAS[[#This Row],[Barra]]&amp;"_"&amp;BARRAS[[#This Row],[Nivel de tensión]]</f>
        <v>TAP_HOSPITAL_66</v>
      </c>
    </row>
    <row r="527" spans="1:16">
      <c r="A527" t="s">
        <v>3956</v>
      </c>
      <c r="B527">
        <v>110</v>
      </c>
      <c r="C527">
        <v>1</v>
      </c>
      <c r="D527" t="s">
        <v>3397</v>
      </c>
      <c r="E527" t="s">
        <v>3957</v>
      </c>
      <c r="F527" t="s">
        <v>3420</v>
      </c>
      <c r="G527">
        <v>16301</v>
      </c>
      <c r="H527" t="s">
        <v>3469</v>
      </c>
      <c r="I527" t="s">
        <v>3391</v>
      </c>
      <c r="J527" t="s">
        <v>3392</v>
      </c>
      <c r="K527" t="s">
        <v>3303</v>
      </c>
      <c r="L527" t="s">
        <v>6778</v>
      </c>
      <c r="M527" t="s">
        <v>6779</v>
      </c>
      <c r="N527" t="s">
        <v>6792</v>
      </c>
      <c r="O527">
        <v>1</v>
      </c>
      <c r="P527" t="str">
        <f>+BARRAS[[#This Row],[Barra]]&amp;"_"&amp;BARRAS[[#This Row],[Nivel de tensión]]</f>
        <v>TAP_LA_DEHESA_110</v>
      </c>
    </row>
    <row r="528" spans="1:16">
      <c r="A528" t="s">
        <v>3958</v>
      </c>
      <c r="B528">
        <v>66</v>
      </c>
      <c r="C528">
        <v>1</v>
      </c>
      <c r="D528" t="s">
        <v>3397</v>
      </c>
      <c r="E528" t="s">
        <v>3959</v>
      </c>
      <c r="F528" t="s">
        <v>3420</v>
      </c>
      <c r="G528">
        <v>16301</v>
      </c>
      <c r="H528" t="s">
        <v>3414</v>
      </c>
      <c r="I528" t="s">
        <v>3391</v>
      </c>
      <c r="J528" t="s">
        <v>3392</v>
      </c>
      <c r="K528" t="s">
        <v>3304</v>
      </c>
      <c r="L528" t="s">
        <v>6778</v>
      </c>
      <c r="M528" t="s">
        <v>6779</v>
      </c>
      <c r="N528" t="s">
        <v>6792</v>
      </c>
      <c r="O528">
        <v>1</v>
      </c>
      <c r="P528" t="str">
        <f>+BARRAS[[#This Row],[Barra]]&amp;"_"&amp;BARRAS[[#This Row],[Nivel de tensión]]</f>
        <v>TAP_LA_PALOMA_66</v>
      </c>
    </row>
    <row r="529" spans="1:16">
      <c r="A529" t="s">
        <v>3960</v>
      </c>
      <c r="B529">
        <v>110</v>
      </c>
      <c r="C529">
        <v>1</v>
      </c>
      <c r="D529" t="s">
        <v>3397</v>
      </c>
      <c r="E529" t="s">
        <v>3961</v>
      </c>
      <c r="F529" t="s">
        <v>3420</v>
      </c>
      <c r="G529">
        <v>16301</v>
      </c>
      <c r="H529" t="s">
        <v>3469</v>
      </c>
      <c r="I529" t="s">
        <v>3391</v>
      </c>
      <c r="J529" t="s">
        <v>3392</v>
      </c>
      <c r="K529" t="s">
        <v>3303</v>
      </c>
      <c r="L529" t="s">
        <v>6778</v>
      </c>
      <c r="M529" t="s">
        <v>6779</v>
      </c>
      <c r="N529" t="s">
        <v>6792</v>
      </c>
      <c r="O529">
        <v>1</v>
      </c>
      <c r="P529" t="str">
        <f>+BARRAS[[#This Row],[Barra]]&amp;"_"&amp;BARRAS[[#This Row],[Nivel de tensión]]</f>
        <v>TAP_LA_REINA_110</v>
      </c>
    </row>
    <row r="530" spans="1:16">
      <c r="A530" t="s">
        <v>144</v>
      </c>
      <c r="B530">
        <v>23</v>
      </c>
      <c r="C530">
        <v>3034</v>
      </c>
      <c r="D530" t="s">
        <v>3397</v>
      </c>
      <c r="E530" t="s">
        <v>3419</v>
      </c>
      <c r="F530" t="s">
        <v>5839</v>
      </c>
      <c r="G530">
        <v>4302</v>
      </c>
      <c r="H530" t="s">
        <v>3405</v>
      </c>
      <c r="I530" t="s">
        <v>3391</v>
      </c>
      <c r="J530" t="s">
        <v>3617</v>
      </c>
      <c r="K530" t="s">
        <v>6315</v>
      </c>
      <c r="L530" t="s">
        <v>6778</v>
      </c>
      <c r="M530" t="s">
        <v>6779</v>
      </c>
      <c r="N530" t="s">
        <v>6792</v>
      </c>
      <c r="O530">
        <v>1</v>
      </c>
      <c r="P530" t="str">
        <f>+BARRAS[[#This Row],[Barra]]&amp;"_"&amp;BARRAS[[#This Row],[Nivel de tensión]]</f>
        <v>C.COMBARBALA_23</v>
      </c>
    </row>
    <row r="531" spans="1:16">
      <c r="A531" t="s">
        <v>144</v>
      </c>
      <c r="B531">
        <v>110</v>
      </c>
      <c r="C531">
        <v>1</v>
      </c>
      <c r="D531" t="s">
        <v>5840</v>
      </c>
      <c r="E531" t="s">
        <v>5841</v>
      </c>
      <c r="F531" t="s">
        <v>5839</v>
      </c>
      <c r="G531">
        <v>4302</v>
      </c>
      <c r="H531" t="s">
        <v>3405</v>
      </c>
      <c r="I531" t="s">
        <v>3391</v>
      </c>
      <c r="J531" t="s">
        <v>3392</v>
      </c>
      <c r="K531" t="s">
        <v>6315</v>
      </c>
      <c r="L531" t="s">
        <v>6778</v>
      </c>
      <c r="M531" t="s">
        <v>6779</v>
      </c>
      <c r="N531" t="s">
        <v>6792</v>
      </c>
      <c r="O531">
        <v>1</v>
      </c>
      <c r="P531" t="str">
        <f>+BARRAS[[#This Row],[Barra]]&amp;"_"&amp;BARRAS[[#This Row],[Nivel de tensión]]</f>
        <v>C.COMBARBALA_110</v>
      </c>
    </row>
    <row r="532" spans="1:16">
      <c r="A532" t="s">
        <v>5842</v>
      </c>
      <c r="B532">
        <v>23</v>
      </c>
      <c r="C532">
        <v>1</v>
      </c>
      <c r="D532" t="s">
        <v>3397</v>
      </c>
      <c r="E532" t="s">
        <v>5843</v>
      </c>
      <c r="F532" t="s">
        <v>3420</v>
      </c>
      <c r="G532">
        <v>16301</v>
      </c>
      <c r="H532" t="s">
        <v>3414</v>
      </c>
      <c r="I532" t="s">
        <v>3391</v>
      </c>
      <c r="J532" t="s">
        <v>3392</v>
      </c>
      <c r="K532" t="s">
        <v>3304</v>
      </c>
      <c r="L532" t="s">
        <v>6778</v>
      </c>
      <c r="M532" t="s">
        <v>6779</v>
      </c>
      <c r="N532" t="s">
        <v>6792</v>
      </c>
      <c r="O532">
        <v>1</v>
      </c>
      <c r="P532" t="str">
        <f>+BARRAS[[#This Row],[Barra]]&amp;"_"&amp;BARRAS[[#This Row],[Nivel de tensión]]</f>
        <v>C.CONSTIT1_23</v>
      </c>
    </row>
    <row r="533" spans="1:16">
      <c r="A533" t="s">
        <v>5844</v>
      </c>
      <c r="B533">
        <v>220</v>
      </c>
      <c r="C533">
        <v>1</v>
      </c>
      <c r="D533" t="s">
        <v>3397</v>
      </c>
      <c r="E533" t="s">
        <v>5845</v>
      </c>
      <c r="F533" t="s">
        <v>3420</v>
      </c>
      <c r="G533">
        <v>16301</v>
      </c>
      <c r="H533" t="s">
        <v>3405</v>
      </c>
      <c r="I533" t="s">
        <v>3391</v>
      </c>
      <c r="J533" t="s">
        <v>3392</v>
      </c>
      <c r="K533" t="s">
        <v>6315</v>
      </c>
      <c r="L533" t="s">
        <v>6778</v>
      </c>
      <c r="M533" t="s">
        <v>6779</v>
      </c>
      <c r="N533" t="s">
        <v>6792</v>
      </c>
      <c r="O533">
        <v>1</v>
      </c>
      <c r="P533" t="str">
        <f>+BARRAS[[#This Row],[Barra]]&amp;"_"&amp;BARRAS[[#This Row],[Nivel de tensión]]</f>
        <v>C.DOMINADOR_220</v>
      </c>
    </row>
    <row r="534" spans="1:16">
      <c r="A534" t="s">
        <v>5846</v>
      </c>
      <c r="B534">
        <v>13</v>
      </c>
      <c r="C534">
        <v>2010</v>
      </c>
      <c r="D534" t="s">
        <v>5847</v>
      </c>
      <c r="E534" t="s">
        <v>5848</v>
      </c>
      <c r="F534" t="s">
        <v>5849</v>
      </c>
      <c r="G534">
        <v>16301</v>
      </c>
      <c r="H534" t="s">
        <v>3443</v>
      </c>
      <c r="I534" t="s">
        <v>3391</v>
      </c>
      <c r="J534" t="s">
        <v>3392</v>
      </c>
      <c r="K534" t="s">
        <v>3300</v>
      </c>
      <c r="L534" t="s">
        <v>6778</v>
      </c>
      <c r="M534" t="s">
        <v>6779</v>
      </c>
      <c r="N534" t="s">
        <v>6792</v>
      </c>
      <c r="O534">
        <v>1</v>
      </c>
      <c r="P534" t="str">
        <f>+BARRAS[[#This Row],[Barra]]&amp;"_"&amp;BARRAS[[#This Row],[Nivel de tensión]]</f>
        <v>C.DRAGON_13</v>
      </c>
    </row>
    <row r="535" spans="1:16">
      <c r="A535" t="s">
        <v>5846</v>
      </c>
      <c r="B535">
        <v>110</v>
      </c>
      <c r="C535">
        <v>2009</v>
      </c>
      <c r="D535" t="s">
        <v>5850</v>
      </c>
      <c r="E535" t="s">
        <v>5851</v>
      </c>
      <c r="F535" t="s">
        <v>5849</v>
      </c>
      <c r="G535">
        <v>16301</v>
      </c>
      <c r="H535" t="s">
        <v>3443</v>
      </c>
      <c r="I535" t="s">
        <v>3391</v>
      </c>
      <c r="J535" t="s">
        <v>3392</v>
      </c>
      <c r="K535" t="s">
        <v>3300</v>
      </c>
      <c r="L535" t="s">
        <v>6778</v>
      </c>
      <c r="M535" t="s">
        <v>6779</v>
      </c>
      <c r="N535" t="s">
        <v>6792</v>
      </c>
      <c r="O535">
        <v>1</v>
      </c>
      <c r="P535" t="str">
        <f>+BARRAS[[#This Row],[Barra]]&amp;"_"&amp;BARRAS[[#This Row],[Nivel de tensión]]</f>
        <v>C.DRAGON_110</v>
      </c>
    </row>
    <row r="536" spans="1:16">
      <c r="A536" t="s">
        <v>5852</v>
      </c>
      <c r="B536">
        <v>220</v>
      </c>
      <c r="C536">
        <v>1</v>
      </c>
      <c r="D536" t="s">
        <v>3397</v>
      </c>
      <c r="E536" t="s">
        <v>5853</v>
      </c>
      <c r="F536" t="s">
        <v>3420</v>
      </c>
      <c r="G536">
        <v>16301</v>
      </c>
      <c r="H536" t="s">
        <v>3409</v>
      </c>
      <c r="I536" t="s">
        <v>3391</v>
      </c>
      <c r="J536" t="s">
        <v>3392</v>
      </c>
      <c r="K536" t="s">
        <v>6315</v>
      </c>
      <c r="L536" t="s">
        <v>6778</v>
      </c>
      <c r="M536" t="s">
        <v>6779</v>
      </c>
      <c r="N536" t="s">
        <v>6792</v>
      </c>
      <c r="O536">
        <v>1</v>
      </c>
      <c r="P536" t="str">
        <f>+BARRAS[[#This Row],[Barra]]&amp;"_"&amp;BARRAS[[#This Row],[Nivel de tensión]]</f>
        <v>C.HUICHAHUE_220</v>
      </c>
    </row>
    <row r="537" spans="1:16">
      <c r="A537" t="s">
        <v>151</v>
      </c>
      <c r="B537">
        <v>110</v>
      </c>
      <c r="C537">
        <v>1731</v>
      </c>
      <c r="D537" t="s">
        <v>5854</v>
      </c>
      <c r="E537" t="s">
        <v>5855</v>
      </c>
      <c r="F537" t="s">
        <v>5856</v>
      </c>
      <c r="G537">
        <v>16301</v>
      </c>
      <c r="H537" t="s">
        <v>3469</v>
      </c>
      <c r="I537" t="s">
        <v>3391</v>
      </c>
      <c r="J537" t="s">
        <v>3392</v>
      </c>
      <c r="K537" t="s">
        <v>3303</v>
      </c>
      <c r="L537" t="s">
        <v>6778</v>
      </c>
      <c r="M537" t="s">
        <v>6779</v>
      </c>
      <c r="N537" t="s">
        <v>6792</v>
      </c>
      <c r="O537">
        <v>1</v>
      </c>
      <c r="P537" t="str">
        <f>+BARRAS[[#This Row],[Barra]]&amp;"_"&amp;BARRAS[[#This Row],[Nivel de tensión]]</f>
        <v>C.NAVIA_110</v>
      </c>
    </row>
    <row r="538" spans="1:16">
      <c r="A538" t="s">
        <v>151</v>
      </c>
      <c r="B538">
        <v>220</v>
      </c>
      <c r="C538">
        <v>472</v>
      </c>
      <c r="D538" t="s">
        <v>5857</v>
      </c>
      <c r="E538" t="s">
        <v>5858</v>
      </c>
      <c r="F538" t="s">
        <v>5859</v>
      </c>
      <c r="G538">
        <v>16301</v>
      </c>
      <c r="H538" t="s">
        <v>3409</v>
      </c>
      <c r="I538" t="s">
        <v>3391</v>
      </c>
      <c r="J538" t="s">
        <v>3392</v>
      </c>
      <c r="K538" t="s">
        <v>6315</v>
      </c>
      <c r="L538" t="s">
        <v>6778</v>
      </c>
      <c r="M538" t="s">
        <v>6779</v>
      </c>
      <c r="N538" t="s">
        <v>6792</v>
      </c>
      <c r="O538">
        <v>1</v>
      </c>
      <c r="P538" t="str">
        <f>+BARRAS[[#This Row],[Barra]]&amp;"_"&amp;BARRAS[[#This Row],[Nivel de tensión]]</f>
        <v>C.NAVIA_220</v>
      </c>
    </row>
    <row r="539" spans="1:16">
      <c r="A539" t="s">
        <v>154</v>
      </c>
      <c r="B539">
        <v>220</v>
      </c>
      <c r="C539">
        <v>466</v>
      </c>
      <c r="D539" t="s">
        <v>3406</v>
      </c>
      <c r="E539" t="s">
        <v>3407</v>
      </c>
      <c r="F539" t="s">
        <v>3408</v>
      </c>
      <c r="G539">
        <v>16301</v>
      </c>
      <c r="H539" t="s">
        <v>3409</v>
      </c>
      <c r="I539" t="s">
        <v>3391</v>
      </c>
      <c r="J539" t="s">
        <v>3392</v>
      </c>
      <c r="K539" t="s">
        <v>6315</v>
      </c>
      <c r="L539" t="s">
        <v>6778</v>
      </c>
      <c r="M539" t="s">
        <v>6779</v>
      </c>
      <c r="N539" t="s">
        <v>6792</v>
      </c>
      <c r="O539">
        <v>1</v>
      </c>
      <c r="P539" t="str">
        <f>+BARRAS[[#This Row],[Barra]]&amp;"_"&amp;BARRAS[[#This Row],[Nivel de tensión]]</f>
        <v>C.PINTO_220</v>
      </c>
    </row>
    <row r="540" spans="1:16">
      <c r="A540" t="s">
        <v>156</v>
      </c>
      <c r="B540">
        <v>23</v>
      </c>
      <c r="C540">
        <v>1</v>
      </c>
      <c r="D540" t="s">
        <v>3397</v>
      </c>
      <c r="E540" t="s">
        <v>3419</v>
      </c>
      <c r="F540" t="s">
        <v>3420</v>
      </c>
      <c r="G540">
        <v>16301</v>
      </c>
      <c r="H540" t="s">
        <v>3405</v>
      </c>
      <c r="I540" t="s">
        <v>3391</v>
      </c>
      <c r="J540" t="s">
        <v>3392</v>
      </c>
      <c r="K540" t="s">
        <v>6315</v>
      </c>
      <c r="L540" t="s">
        <v>6778</v>
      </c>
      <c r="M540" t="s">
        <v>6779</v>
      </c>
      <c r="N540" t="s">
        <v>6792</v>
      </c>
      <c r="O540">
        <v>1</v>
      </c>
      <c r="P540" t="str">
        <f>+BARRAS[[#This Row],[Barra]]&amp;"_"&amp;BARRAS[[#This Row],[Nivel de tensión]]</f>
        <v>C.RENAICO_23</v>
      </c>
    </row>
    <row r="541" spans="1:16">
      <c r="A541" t="s">
        <v>5860</v>
      </c>
      <c r="B541">
        <v>23</v>
      </c>
      <c r="C541">
        <v>1</v>
      </c>
      <c r="D541" t="s">
        <v>3397</v>
      </c>
      <c r="E541" t="s">
        <v>3419</v>
      </c>
      <c r="F541" t="s">
        <v>3420</v>
      </c>
      <c r="G541">
        <v>16301</v>
      </c>
      <c r="H541" t="s">
        <v>3405</v>
      </c>
      <c r="I541" t="s">
        <v>3391</v>
      </c>
      <c r="J541" t="s">
        <v>3392</v>
      </c>
      <c r="K541" t="s">
        <v>6315</v>
      </c>
      <c r="L541" t="s">
        <v>6778</v>
      </c>
      <c r="M541" t="s">
        <v>6779</v>
      </c>
      <c r="N541" t="s">
        <v>6792</v>
      </c>
      <c r="O541">
        <v>1</v>
      </c>
      <c r="P541" t="str">
        <f>+BARRAS[[#This Row],[Barra]]&amp;"_"&amp;BARRAS[[#This Row],[Nivel de tensión]]</f>
        <v>C.SAN_ANDRES_23</v>
      </c>
    </row>
    <row r="542" spans="1:16">
      <c r="A542" t="s">
        <v>5860</v>
      </c>
      <c r="B542">
        <v>220</v>
      </c>
      <c r="C542">
        <v>1</v>
      </c>
      <c r="D542" t="s">
        <v>3397</v>
      </c>
      <c r="E542" t="s">
        <v>5861</v>
      </c>
      <c r="F542" t="s">
        <v>3420</v>
      </c>
      <c r="G542">
        <v>16301</v>
      </c>
      <c r="H542" t="s">
        <v>3405</v>
      </c>
      <c r="I542" t="s">
        <v>3391</v>
      </c>
      <c r="J542" t="s">
        <v>3392</v>
      </c>
      <c r="K542" t="s">
        <v>6315</v>
      </c>
      <c r="L542" t="s">
        <v>6778</v>
      </c>
      <c r="M542" t="s">
        <v>6779</v>
      </c>
      <c r="N542" t="s">
        <v>6792</v>
      </c>
      <c r="O542">
        <v>1</v>
      </c>
      <c r="P542" t="str">
        <f>+BARRAS[[#This Row],[Barra]]&amp;"_"&amp;BARRAS[[#This Row],[Nivel de tensión]]</f>
        <v>C.SAN_ANDRES_220</v>
      </c>
    </row>
    <row r="543" spans="1:16">
      <c r="A543" t="s">
        <v>158</v>
      </c>
      <c r="B543">
        <v>23</v>
      </c>
      <c r="C543">
        <v>1812</v>
      </c>
      <c r="D543" t="s">
        <v>5862</v>
      </c>
      <c r="E543" t="s">
        <v>5863</v>
      </c>
      <c r="F543" t="s">
        <v>5864</v>
      </c>
      <c r="G543">
        <v>16301</v>
      </c>
      <c r="H543" t="s">
        <v>3400</v>
      </c>
      <c r="I543" t="s">
        <v>3391</v>
      </c>
      <c r="J543" t="s">
        <v>3392</v>
      </c>
      <c r="K543" t="s">
        <v>3301</v>
      </c>
      <c r="L543" t="s">
        <v>6778</v>
      </c>
      <c r="M543" t="s">
        <v>6779</v>
      </c>
      <c r="N543" t="s">
        <v>6792</v>
      </c>
      <c r="O543">
        <v>1</v>
      </c>
      <c r="P543" t="str">
        <f>+BARRAS[[#This Row],[Barra]]&amp;"_"&amp;BARRAS[[#This Row],[Nivel de tensión]]</f>
        <v>CABILDO_23</v>
      </c>
    </row>
    <row r="544" spans="1:16">
      <c r="A544" t="s">
        <v>158</v>
      </c>
      <c r="B544">
        <v>110</v>
      </c>
      <c r="C544">
        <v>1</v>
      </c>
      <c r="D544" t="s">
        <v>3397</v>
      </c>
      <c r="E544" t="s">
        <v>5865</v>
      </c>
      <c r="F544" t="s">
        <v>3420</v>
      </c>
      <c r="G544">
        <v>16301</v>
      </c>
      <c r="H544" t="s">
        <v>3400</v>
      </c>
      <c r="I544" t="s">
        <v>3391</v>
      </c>
      <c r="J544" t="s">
        <v>3392</v>
      </c>
      <c r="K544" t="s">
        <v>3301</v>
      </c>
      <c r="L544" t="s">
        <v>6778</v>
      </c>
      <c r="M544" t="s">
        <v>6779</v>
      </c>
      <c r="N544" t="s">
        <v>6792</v>
      </c>
      <c r="O544">
        <v>1</v>
      </c>
      <c r="P544" t="str">
        <f>+BARRAS[[#This Row],[Barra]]&amp;"_"&amp;BARRAS[[#This Row],[Nivel de tensión]]</f>
        <v>CABILDO_110</v>
      </c>
    </row>
    <row r="545" spans="1:16">
      <c r="A545" t="s">
        <v>161</v>
      </c>
      <c r="B545">
        <v>13</v>
      </c>
      <c r="C545">
        <v>1068</v>
      </c>
      <c r="D545" t="s">
        <v>5866</v>
      </c>
      <c r="E545" t="s">
        <v>5867</v>
      </c>
      <c r="F545" t="s">
        <v>5868</v>
      </c>
      <c r="G545">
        <v>16301</v>
      </c>
      <c r="H545" t="s">
        <v>3414</v>
      </c>
      <c r="I545" t="s">
        <v>3391</v>
      </c>
      <c r="J545" t="s">
        <v>3392</v>
      </c>
      <c r="K545" t="s">
        <v>3304</v>
      </c>
      <c r="L545" t="s">
        <v>6778</v>
      </c>
      <c r="M545" t="s">
        <v>6779</v>
      </c>
      <c r="N545" t="s">
        <v>6792</v>
      </c>
      <c r="O545">
        <v>1</v>
      </c>
      <c r="P545" t="str">
        <f>+BARRAS[[#This Row],[Barra]]&amp;"_"&amp;BARRAS[[#This Row],[Nivel de tensión]]</f>
        <v>CABRERO_13</v>
      </c>
    </row>
    <row r="546" spans="1:16">
      <c r="A546" t="s">
        <v>161</v>
      </c>
      <c r="B546">
        <v>66</v>
      </c>
      <c r="C546">
        <v>1066</v>
      </c>
      <c r="D546" t="s">
        <v>5866</v>
      </c>
      <c r="E546" t="s">
        <v>5869</v>
      </c>
      <c r="F546" t="s">
        <v>5868</v>
      </c>
      <c r="G546">
        <v>16301</v>
      </c>
      <c r="H546" t="s">
        <v>3414</v>
      </c>
      <c r="I546" t="s">
        <v>3391</v>
      </c>
      <c r="J546" t="s">
        <v>3392</v>
      </c>
      <c r="K546" t="s">
        <v>3304</v>
      </c>
      <c r="L546" t="s">
        <v>6778</v>
      </c>
      <c r="M546" t="s">
        <v>6779</v>
      </c>
      <c r="N546" t="s">
        <v>6792</v>
      </c>
      <c r="O546">
        <v>1</v>
      </c>
      <c r="P546" t="str">
        <f>+BARRAS[[#This Row],[Barra]]&amp;"_"&amp;BARRAS[[#This Row],[Nivel de tensión]]</f>
        <v>CABRERO_66</v>
      </c>
    </row>
    <row r="547" spans="1:16">
      <c r="A547" t="s">
        <v>164</v>
      </c>
      <c r="B547">
        <v>13</v>
      </c>
      <c r="C547">
        <v>144</v>
      </c>
      <c r="D547" t="s">
        <v>5870</v>
      </c>
      <c r="E547" t="s">
        <v>5871</v>
      </c>
      <c r="F547" t="s">
        <v>5872</v>
      </c>
      <c r="G547">
        <v>16301</v>
      </c>
      <c r="H547" t="s">
        <v>3414</v>
      </c>
      <c r="I547" t="s">
        <v>3391</v>
      </c>
      <c r="J547" t="s">
        <v>3392</v>
      </c>
      <c r="K547" t="s">
        <v>3304</v>
      </c>
      <c r="L547" t="s">
        <v>6778</v>
      </c>
      <c r="M547" t="s">
        <v>6779</v>
      </c>
      <c r="N547" t="s">
        <v>6792</v>
      </c>
      <c r="O547">
        <v>1</v>
      </c>
      <c r="P547" t="str">
        <f>+BARRAS[[#This Row],[Barra]]&amp;"_"&amp;BARRAS[[#This Row],[Nivel de tensión]]</f>
        <v>CACHAPOAL_13</v>
      </c>
    </row>
    <row r="548" spans="1:16">
      <c r="A548" t="s">
        <v>164</v>
      </c>
      <c r="B548">
        <v>66</v>
      </c>
      <c r="C548">
        <v>1</v>
      </c>
      <c r="D548" t="s">
        <v>3397</v>
      </c>
      <c r="E548" t="s">
        <v>5873</v>
      </c>
      <c r="F548" t="s">
        <v>3420</v>
      </c>
      <c r="G548">
        <v>16301</v>
      </c>
      <c r="H548" t="s">
        <v>3414</v>
      </c>
      <c r="I548" t="s">
        <v>3391</v>
      </c>
      <c r="J548" t="s">
        <v>3392</v>
      </c>
      <c r="K548" t="s">
        <v>3304</v>
      </c>
      <c r="L548" t="s">
        <v>6778</v>
      </c>
      <c r="M548" t="s">
        <v>6779</v>
      </c>
      <c r="N548" t="s">
        <v>6792</v>
      </c>
      <c r="O548">
        <v>1</v>
      </c>
      <c r="P548" t="str">
        <f>+BARRAS[[#This Row],[Barra]]&amp;"_"&amp;BARRAS[[#This Row],[Nivel de tensión]]</f>
        <v>CACHAPOAL_66</v>
      </c>
    </row>
    <row r="549" spans="1:16">
      <c r="A549" t="s">
        <v>5874</v>
      </c>
      <c r="B549">
        <v>220</v>
      </c>
      <c r="C549">
        <v>1</v>
      </c>
      <c r="D549" t="s">
        <v>3397</v>
      </c>
      <c r="E549" t="s">
        <v>5875</v>
      </c>
      <c r="F549" t="s">
        <v>3420</v>
      </c>
      <c r="G549">
        <v>16301</v>
      </c>
      <c r="H549" t="s">
        <v>3396</v>
      </c>
      <c r="I549" t="s">
        <v>3391</v>
      </c>
      <c r="J549" t="s">
        <v>3392</v>
      </c>
      <c r="K549" t="s">
        <v>6315</v>
      </c>
      <c r="L549" t="s">
        <v>6778</v>
      </c>
      <c r="M549" t="s">
        <v>6779</v>
      </c>
      <c r="N549" t="s">
        <v>6792</v>
      </c>
      <c r="O549">
        <v>1</v>
      </c>
      <c r="P549" t="str">
        <f>+BARRAS[[#This Row],[Barra]]&amp;"_"&amp;BARRAS[[#This Row],[Nivel de tensión]]</f>
        <v>CACHIYUYAL_220</v>
      </c>
    </row>
    <row r="550" spans="1:16">
      <c r="A550" t="s">
        <v>5876</v>
      </c>
      <c r="B550">
        <v>220</v>
      </c>
      <c r="D550" t="s">
        <v>3680</v>
      </c>
      <c r="E550" t="s">
        <v>3681</v>
      </c>
      <c r="F550" t="s">
        <v>5877</v>
      </c>
      <c r="G550">
        <v>1401</v>
      </c>
      <c r="H550" t="s">
        <v>3405</v>
      </c>
      <c r="I550" t="s">
        <v>3683</v>
      </c>
      <c r="J550" t="s">
        <v>5878</v>
      </c>
      <c r="K550" t="s">
        <v>6315</v>
      </c>
      <c r="L550" t="s">
        <v>6778</v>
      </c>
      <c r="M550" t="s">
        <v>6779</v>
      </c>
      <c r="N550" t="s">
        <v>6792</v>
      </c>
      <c r="O550">
        <v>1</v>
      </c>
      <c r="P550" t="str">
        <f>+BARRAS[[#This Row],[Barra]]&amp;"_"&amp;BARRAS[[#This Row],[Nivel de tensión]]</f>
        <v>CAHUIZA_220</v>
      </c>
    </row>
    <row r="551" spans="1:16">
      <c r="A551" t="s">
        <v>168</v>
      </c>
      <c r="B551">
        <v>23</v>
      </c>
      <c r="C551">
        <v>1911</v>
      </c>
      <c r="D551" t="s">
        <v>5879</v>
      </c>
      <c r="E551" t="s">
        <v>5880</v>
      </c>
      <c r="F551" t="s">
        <v>5881</v>
      </c>
      <c r="G551">
        <v>16301</v>
      </c>
      <c r="H551" t="s">
        <v>3443</v>
      </c>
      <c r="I551" t="s">
        <v>3391</v>
      </c>
      <c r="J551" t="s">
        <v>3392</v>
      </c>
      <c r="K551" t="s">
        <v>3300</v>
      </c>
      <c r="L551" t="s">
        <v>6778</v>
      </c>
      <c r="M551" t="s">
        <v>6779</v>
      </c>
      <c r="N551" t="s">
        <v>6792</v>
      </c>
      <c r="O551">
        <v>1</v>
      </c>
      <c r="P551" t="str">
        <f>+BARRAS[[#This Row],[Barra]]&amp;"_"&amp;BARRAS[[#This Row],[Nivel de tensión]]</f>
        <v>CALAMA_23</v>
      </c>
    </row>
    <row r="552" spans="1:16">
      <c r="A552" t="s">
        <v>168</v>
      </c>
      <c r="B552">
        <v>110</v>
      </c>
      <c r="C552">
        <v>1907</v>
      </c>
      <c r="D552" t="s">
        <v>5882</v>
      </c>
      <c r="E552" t="s">
        <v>5883</v>
      </c>
      <c r="F552" t="s">
        <v>5881</v>
      </c>
      <c r="G552">
        <v>16301</v>
      </c>
      <c r="H552" t="s">
        <v>3443</v>
      </c>
      <c r="I552" t="s">
        <v>3391</v>
      </c>
      <c r="J552" t="s">
        <v>3392</v>
      </c>
      <c r="K552" t="s">
        <v>3300</v>
      </c>
      <c r="L552" t="s">
        <v>6778</v>
      </c>
      <c r="M552" t="s">
        <v>6779</v>
      </c>
      <c r="N552" t="s">
        <v>6792</v>
      </c>
      <c r="O552">
        <v>1</v>
      </c>
      <c r="P552" t="str">
        <f>+BARRAS[[#This Row],[Barra]]&amp;"_"&amp;BARRAS[[#This Row],[Nivel de tensión]]</f>
        <v>CALAMA_110</v>
      </c>
    </row>
    <row r="553" spans="1:16">
      <c r="A553" t="s">
        <v>168</v>
      </c>
      <c r="B553">
        <v>220</v>
      </c>
      <c r="C553">
        <v>1</v>
      </c>
      <c r="D553" t="s">
        <v>3397</v>
      </c>
      <c r="E553" t="s">
        <v>5884</v>
      </c>
      <c r="F553" t="s">
        <v>3420</v>
      </c>
      <c r="G553">
        <v>16301</v>
      </c>
      <c r="H553" t="s">
        <v>3405</v>
      </c>
      <c r="I553" t="s">
        <v>3391</v>
      </c>
      <c r="J553" t="s">
        <v>3392</v>
      </c>
      <c r="K553" t="s">
        <v>6315</v>
      </c>
      <c r="L553" t="s">
        <v>6778</v>
      </c>
      <c r="M553" t="s">
        <v>6779</v>
      </c>
      <c r="N553" t="s">
        <v>6792</v>
      </c>
      <c r="O553">
        <v>1</v>
      </c>
      <c r="P553" t="str">
        <f>+BARRAS[[#This Row],[Barra]]&amp;"_"&amp;BARRAS[[#This Row],[Nivel de tensión]]</f>
        <v>CALAMA_220</v>
      </c>
    </row>
    <row r="554" spans="1:16">
      <c r="A554" t="s">
        <v>5885</v>
      </c>
      <c r="B554">
        <v>13</v>
      </c>
      <c r="C554">
        <v>399</v>
      </c>
      <c r="D554" t="s">
        <v>5886</v>
      </c>
      <c r="E554" t="s">
        <v>5887</v>
      </c>
      <c r="F554" t="s">
        <v>5888</v>
      </c>
      <c r="G554">
        <v>16301</v>
      </c>
      <c r="H554" t="s">
        <v>3390</v>
      </c>
      <c r="I554" t="s">
        <v>3391</v>
      </c>
      <c r="J554" t="s">
        <v>3392</v>
      </c>
      <c r="K554" t="s">
        <v>3305</v>
      </c>
      <c r="L554" t="s">
        <v>6778</v>
      </c>
      <c r="M554" t="s">
        <v>6779</v>
      </c>
      <c r="N554" t="s">
        <v>6792</v>
      </c>
      <c r="O554">
        <v>1</v>
      </c>
      <c r="P554" t="str">
        <f>+BARRAS[[#This Row],[Barra]]&amp;"_"&amp;BARRAS[[#This Row],[Nivel de tensión]]</f>
        <v>CALBUCO_13</v>
      </c>
    </row>
    <row r="555" spans="1:16">
      <c r="A555" t="s">
        <v>6031</v>
      </c>
      <c r="B555">
        <v>23</v>
      </c>
      <c r="C555">
        <v>2006</v>
      </c>
      <c r="D555" t="s">
        <v>6032</v>
      </c>
      <c r="E555" t="s">
        <v>6033</v>
      </c>
      <c r="F555" t="s">
        <v>6034</v>
      </c>
      <c r="G555">
        <v>16301</v>
      </c>
      <c r="H555" t="s">
        <v>3443</v>
      </c>
      <c r="I555" t="s">
        <v>3391</v>
      </c>
      <c r="J555" t="s">
        <v>3392</v>
      </c>
      <c r="K555" t="s">
        <v>3300</v>
      </c>
      <c r="L555" t="s">
        <v>6778</v>
      </c>
      <c r="M555" t="s">
        <v>6779</v>
      </c>
      <c r="N555" t="s">
        <v>6792</v>
      </c>
      <c r="O555">
        <v>1</v>
      </c>
      <c r="P555" t="str">
        <f>+BARRAS[[#This Row],[Barra]]&amp;"_"&amp;BARRAS[[#This Row],[Nivel de tensión]]</f>
        <v>CENTRO_23</v>
      </c>
    </row>
    <row r="556" spans="1:16">
      <c r="A556" t="s">
        <v>6031</v>
      </c>
      <c r="B556">
        <v>110</v>
      </c>
      <c r="C556">
        <v>2003</v>
      </c>
      <c r="D556" t="s">
        <v>6035</v>
      </c>
      <c r="E556" t="s">
        <v>6036</v>
      </c>
      <c r="F556" t="s">
        <v>6034</v>
      </c>
      <c r="G556">
        <v>16301</v>
      </c>
      <c r="H556" t="s">
        <v>3443</v>
      </c>
      <c r="I556" t="s">
        <v>3391</v>
      </c>
      <c r="J556" t="s">
        <v>3392</v>
      </c>
      <c r="K556" t="s">
        <v>3300</v>
      </c>
      <c r="L556" t="s">
        <v>6778</v>
      </c>
      <c r="M556" t="s">
        <v>6779</v>
      </c>
      <c r="N556" t="s">
        <v>6792</v>
      </c>
      <c r="O556">
        <v>1</v>
      </c>
      <c r="P556" t="str">
        <f>+BARRAS[[#This Row],[Barra]]&amp;"_"&amp;BARRAS[[#This Row],[Nivel de tensión]]</f>
        <v>CENTRO_110</v>
      </c>
    </row>
    <row r="557" spans="1:16">
      <c r="A557" t="s">
        <v>228</v>
      </c>
      <c r="B557">
        <v>13</v>
      </c>
      <c r="C557">
        <v>537</v>
      </c>
      <c r="D557" t="s">
        <v>6037</v>
      </c>
      <c r="E557" t="s">
        <v>6038</v>
      </c>
      <c r="F557" t="s">
        <v>6039</v>
      </c>
      <c r="G557">
        <v>16301</v>
      </c>
      <c r="H557" t="s">
        <v>3400</v>
      </c>
      <c r="I557" t="s">
        <v>3391</v>
      </c>
      <c r="J557" t="s">
        <v>3392</v>
      </c>
      <c r="K557" t="s">
        <v>3301</v>
      </c>
      <c r="L557" t="s">
        <v>6778</v>
      </c>
      <c r="M557" t="s">
        <v>6779</v>
      </c>
      <c r="N557" t="s">
        <v>6792</v>
      </c>
      <c r="O557">
        <v>1</v>
      </c>
      <c r="P557" t="str">
        <f>+BARRAS[[#This Row],[Barra]]&amp;"_"&amp;BARRAS[[#This Row],[Nivel de tensión]]</f>
        <v>CERRILLOS_13</v>
      </c>
    </row>
    <row r="558" spans="1:16">
      <c r="A558" t="s">
        <v>228</v>
      </c>
      <c r="B558">
        <v>110</v>
      </c>
      <c r="C558">
        <v>1</v>
      </c>
      <c r="D558" t="s">
        <v>3397</v>
      </c>
      <c r="E558" t="s">
        <v>6040</v>
      </c>
      <c r="F558" t="s">
        <v>3420</v>
      </c>
      <c r="G558">
        <v>16301</v>
      </c>
      <c r="H558" t="s">
        <v>3396</v>
      </c>
      <c r="I558" t="s">
        <v>3391</v>
      </c>
      <c r="J558" t="s">
        <v>3392</v>
      </c>
      <c r="K558" t="s">
        <v>6315</v>
      </c>
      <c r="L558" t="s">
        <v>6778</v>
      </c>
      <c r="M558" t="s">
        <v>6779</v>
      </c>
      <c r="N558" t="s">
        <v>6792</v>
      </c>
      <c r="O558">
        <v>1</v>
      </c>
      <c r="P558" t="str">
        <f>+BARRAS[[#This Row],[Barra]]&amp;"_"&amp;BARRAS[[#This Row],[Nivel de tensión]]</f>
        <v>CERRILLOS_110</v>
      </c>
    </row>
    <row r="559" spans="1:16">
      <c r="A559" t="s">
        <v>6041</v>
      </c>
      <c r="B559">
        <v>66</v>
      </c>
      <c r="C559">
        <v>1</v>
      </c>
      <c r="D559" t="s">
        <v>3397</v>
      </c>
      <c r="E559" t="s">
        <v>3419</v>
      </c>
      <c r="F559" t="s">
        <v>3420</v>
      </c>
      <c r="G559">
        <v>16301</v>
      </c>
      <c r="H559" t="s">
        <v>3414</v>
      </c>
      <c r="I559" t="s">
        <v>3391</v>
      </c>
      <c r="J559" t="s">
        <v>3392</v>
      </c>
      <c r="K559" t="s">
        <v>3304</v>
      </c>
      <c r="L559" t="s">
        <v>6778</v>
      </c>
      <c r="M559" t="s">
        <v>6779</v>
      </c>
      <c r="N559" t="s">
        <v>6792</v>
      </c>
      <c r="O559">
        <v>1</v>
      </c>
      <c r="P559" t="str">
        <f>+BARRAS[[#This Row],[Barra]]&amp;"_"&amp;BARRAS[[#This Row],[Nivel de tensión]]</f>
        <v>CERRO_CHEPE1_66</v>
      </c>
    </row>
    <row r="560" spans="1:16">
      <c r="A560" t="s">
        <v>6042</v>
      </c>
      <c r="B560">
        <v>66</v>
      </c>
      <c r="C560">
        <v>1</v>
      </c>
      <c r="D560" t="s">
        <v>3397</v>
      </c>
      <c r="E560" t="s">
        <v>3419</v>
      </c>
      <c r="F560" t="s">
        <v>3420</v>
      </c>
      <c r="G560">
        <v>16301</v>
      </c>
      <c r="H560" t="s">
        <v>3414</v>
      </c>
      <c r="I560" t="s">
        <v>3391</v>
      </c>
      <c r="J560" t="s">
        <v>3392</v>
      </c>
      <c r="K560" t="s">
        <v>3304</v>
      </c>
      <c r="L560" t="s">
        <v>6778</v>
      </c>
      <c r="M560" t="s">
        <v>6779</v>
      </c>
      <c r="N560" t="s">
        <v>6792</v>
      </c>
      <c r="O560">
        <v>1</v>
      </c>
      <c r="P560" t="str">
        <f>+BARRAS[[#This Row],[Barra]]&amp;"_"&amp;BARRAS[[#This Row],[Nivel de tensión]]</f>
        <v>CERRO_CHEPE2_66</v>
      </c>
    </row>
    <row r="561" spans="1:16">
      <c r="A561" t="s">
        <v>6043</v>
      </c>
      <c r="B561">
        <v>220</v>
      </c>
      <c r="C561">
        <v>1409</v>
      </c>
      <c r="D561" t="s">
        <v>6044</v>
      </c>
      <c r="E561" t="s">
        <v>6045</v>
      </c>
      <c r="F561" t="s">
        <v>6046</v>
      </c>
      <c r="G561">
        <v>16301</v>
      </c>
      <c r="H561" t="s">
        <v>3405</v>
      </c>
      <c r="I561" t="s">
        <v>3391</v>
      </c>
      <c r="J561" t="s">
        <v>3392</v>
      </c>
      <c r="K561" t="s">
        <v>6315</v>
      </c>
      <c r="L561" t="s">
        <v>6778</v>
      </c>
      <c r="M561" t="s">
        <v>6779</v>
      </c>
      <c r="N561" t="s">
        <v>6792</v>
      </c>
      <c r="O561">
        <v>1</v>
      </c>
      <c r="P561" t="str">
        <f>+BARRAS[[#This Row],[Barra]]&amp;"_"&amp;BARRAS[[#This Row],[Nivel de tensión]]</f>
        <v>CERRONEGRONOR_220</v>
      </c>
    </row>
    <row r="562" spans="1:16">
      <c r="A562" t="s">
        <v>234</v>
      </c>
      <c r="B562">
        <v>13</v>
      </c>
      <c r="C562">
        <v>1451</v>
      </c>
      <c r="D562" t="s">
        <v>6047</v>
      </c>
      <c r="E562" t="s">
        <v>6048</v>
      </c>
      <c r="F562" t="s">
        <v>6049</v>
      </c>
      <c r="G562">
        <v>16301</v>
      </c>
      <c r="H562" t="s">
        <v>3469</v>
      </c>
      <c r="I562" t="s">
        <v>3391</v>
      </c>
      <c r="J562" t="s">
        <v>3392</v>
      </c>
      <c r="K562" t="s">
        <v>3303</v>
      </c>
      <c r="L562" t="s">
        <v>6778</v>
      </c>
      <c r="M562" t="s">
        <v>6779</v>
      </c>
      <c r="N562" t="s">
        <v>6792</v>
      </c>
      <c r="O562">
        <v>1</v>
      </c>
      <c r="P562" t="str">
        <f>+BARRAS[[#This Row],[Barra]]&amp;"_"&amp;BARRAS[[#This Row],[Nivel de tensión]]</f>
        <v>CHACABUCO_13</v>
      </c>
    </row>
    <row r="563" spans="1:16">
      <c r="A563" t="s">
        <v>234</v>
      </c>
      <c r="B563">
        <v>23</v>
      </c>
      <c r="C563">
        <v>708</v>
      </c>
      <c r="D563" t="s">
        <v>6050</v>
      </c>
      <c r="E563" t="s">
        <v>6051</v>
      </c>
      <c r="F563" t="s">
        <v>6049</v>
      </c>
      <c r="G563">
        <v>16301</v>
      </c>
      <c r="H563" t="s">
        <v>3469</v>
      </c>
      <c r="I563" t="s">
        <v>3391</v>
      </c>
      <c r="J563" t="s">
        <v>3392</v>
      </c>
      <c r="K563" t="s">
        <v>3303</v>
      </c>
      <c r="L563" t="s">
        <v>6778</v>
      </c>
      <c r="M563" t="s">
        <v>6779</v>
      </c>
      <c r="N563" t="s">
        <v>6792</v>
      </c>
      <c r="O563">
        <v>1</v>
      </c>
      <c r="P563" t="str">
        <f>+BARRAS[[#This Row],[Barra]]&amp;"_"&amp;BARRAS[[#This Row],[Nivel de tensión]]</f>
        <v>CHACABUCO_23</v>
      </c>
    </row>
    <row r="564" spans="1:16">
      <c r="A564" t="s">
        <v>234</v>
      </c>
      <c r="B564">
        <v>110</v>
      </c>
      <c r="C564">
        <v>1</v>
      </c>
      <c r="D564" t="s">
        <v>3397</v>
      </c>
      <c r="E564" t="s">
        <v>6052</v>
      </c>
      <c r="F564" t="s">
        <v>3420</v>
      </c>
      <c r="G564">
        <v>16301</v>
      </c>
      <c r="H564" t="s">
        <v>3469</v>
      </c>
      <c r="I564" t="s">
        <v>3391</v>
      </c>
      <c r="J564" t="s">
        <v>3392</v>
      </c>
      <c r="K564" t="s">
        <v>3303</v>
      </c>
      <c r="L564" t="s">
        <v>6778</v>
      </c>
      <c r="M564" t="s">
        <v>6779</v>
      </c>
      <c r="N564" t="s">
        <v>6792</v>
      </c>
      <c r="O564">
        <v>1</v>
      </c>
      <c r="P564" t="str">
        <f>+BARRAS[[#This Row],[Barra]]&amp;"_"&amp;BARRAS[[#This Row],[Nivel de tensión]]</f>
        <v>CHACABUCO_110</v>
      </c>
    </row>
    <row r="565" spans="1:16">
      <c r="A565" t="s">
        <v>238</v>
      </c>
      <c r="B565">
        <v>13</v>
      </c>
      <c r="C565">
        <v>206</v>
      </c>
      <c r="D565" t="s">
        <v>6053</v>
      </c>
      <c r="E565" t="s">
        <v>6054</v>
      </c>
      <c r="F565" t="s">
        <v>6055</v>
      </c>
      <c r="G565">
        <v>16301</v>
      </c>
      <c r="H565" t="s">
        <v>3414</v>
      </c>
      <c r="I565" t="s">
        <v>3391</v>
      </c>
      <c r="J565" t="s">
        <v>3392</v>
      </c>
      <c r="K565" t="s">
        <v>3304</v>
      </c>
      <c r="L565" t="s">
        <v>6778</v>
      </c>
      <c r="M565" t="s">
        <v>6779</v>
      </c>
      <c r="N565" t="s">
        <v>6792</v>
      </c>
      <c r="O565">
        <v>1</v>
      </c>
      <c r="P565" t="str">
        <f>+BARRAS[[#This Row],[Barra]]&amp;"_"&amp;BARRAS[[#This Row],[Nivel de tensión]]</f>
        <v>CHACAHUIN_13</v>
      </c>
    </row>
    <row r="566" spans="1:16">
      <c r="A566" t="s">
        <v>238</v>
      </c>
      <c r="B566">
        <v>66</v>
      </c>
      <c r="C566">
        <v>1</v>
      </c>
      <c r="D566" t="s">
        <v>3397</v>
      </c>
      <c r="E566" t="s">
        <v>6056</v>
      </c>
      <c r="F566" t="s">
        <v>3420</v>
      </c>
      <c r="G566">
        <v>16301</v>
      </c>
      <c r="H566" t="s">
        <v>3414</v>
      </c>
      <c r="I566" t="s">
        <v>3391</v>
      </c>
      <c r="J566" t="s">
        <v>3392</v>
      </c>
      <c r="K566" t="s">
        <v>3304</v>
      </c>
      <c r="L566" t="s">
        <v>6778</v>
      </c>
      <c r="M566" t="s">
        <v>6779</v>
      </c>
      <c r="N566" t="s">
        <v>6792</v>
      </c>
      <c r="O566">
        <v>1</v>
      </c>
      <c r="P566" t="str">
        <f>+BARRAS[[#This Row],[Barra]]&amp;"_"&amp;BARRAS[[#This Row],[Nivel de tensión]]</f>
        <v>CHACAHUIN_66</v>
      </c>
    </row>
    <row r="567" spans="1:16">
      <c r="A567" t="s">
        <v>6057</v>
      </c>
      <c r="B567">
        <v>4</v>
      </c>
      <c r="D567" t="s">
        <v>3680</v>
      </c>
      <c r="E567" t="s">
        <v>3681</v>
      </c>
      <c r="F567" t="s">
        <v>6058</v>
      </c>
      <c r="G567">
        <v>16301</v>
      </c>
      <c r="H567" t="s">
        <v>3405</v>
      </c>
      <c r="I567" t="s">
        <v>3391</v>
      </c>
      <c r="J567" t="s">
        <v>1767</v>
      </c>
      <c r="K567" t="s">
        <v>6315</v>
      </c>
      <c r="L567" t="s">
        <v>6778</v>
      </c>
      <c r="M567" t="s">
        <v>6779</v>
      </c>
      <c r="N567" t="s">
        <v>6792</v>
      </c>
      <c r="O567">
        <v>1</v>
      </c>
      <c r="P567" t="str">
        <f>+BARRAS[[#This Row],[Barra]]&amp;"_"&amp;BARRAS[[#This Row],[Nivel de tensión]]</f>
        <v>CHACAYA_4</v>
      </c>
    </row>
    <row r="568" spans="1:16">
      <c r="A568" t="s">
        <v>6057</v>
      </c>
      <c r="B568">
        <v>110</v>
      </c>
      <c r="C568">
        <v>2012</v>
      </c>
      <c r="D568" t="s">
        <v>6059</v>
      </c>
      <c r="E568" t="s">
        <v>6060</v>
      </c>
      <c r="F568" t="s">
        <v>6058</v>
      </c>
      <c r="G568">
        <v>16301</v>
      </c>
      <c r="H568" t="s">
        <v>3405</v>
      </c>
      <c r="I568" t="s">
        <v>3391</v>
      </c>
      <c r="J568" t="s">
        <v>3392</v>
      </c>
      <c r="K568" t="s">
        <v>6315</v>
      </c>
      <c r="L568" t="s">
        <v>6778</v>
      </c>
      <c r="M568" t="s">
        <v>6779</v>
      </c>
      <c r="N568" t="s">
        <v>6792</v>
      </c>
      <c r="O568">
        <v>1</v>
      </c>
      <c r="P568" t="str">
        <f>+BARRAS[[#This Row],[Barra]]&amp;"_"&amp;BARRAS[[#This Row],[Nivel de tensión]]</f>
        <v>CHACAYA_110</v>
      </c>
    </row>
    <row r="569" spans="1:16">
      <c r="A569" t="s">
        <v>6057</v>
      </c>
      <c r="B569">
        <v>220</v>
      </c>
      <c r="C569">
        <v>2015</v>
      </c>
      <c r="D569" t="s">
        <v>6061</v>
      </c>
      <c r="E569" t="s">
        <v>6062</v>
      </c>
      <c r="F569" t="s">
        <v>6058</v>
      </c>
      <c r="G569">
        <v>16301</v>
      </c>
      <c r="H569" t="s">
        <v>3405</v>
      </c>
      <c r="I569" t="s">
        <v>3391</v>
      </c>
      <c r="J569" t="s">
        <v>3392</v>
      </c>
      <c r="K569" t="s">
        <v>6315</v>
      </c>
      <c r="L569" t="s">
        <v>6778</v>
      </c>
      <c r="M569" t="s">
        <v>6779</v>
      </c>
      <c r="N569" t="s">
        <v>6792</v>
      </c>
      <c r="O569">
        <v>1</v>
      </c>
      <c r="P569" t="str">
        <f>+BARRAS[[#This Row],[Barra]]&amp;"_"&amp;BARRAS[[#This Row],[Nivel de tensión]]</f>
        <v>CHACAYA_220</v>
      </c>
    </row>
    <row r="570" spans="1:16">
      <c r="A570" t="s">
        <v>6063</v>
      </c>
      <c r="B570">
        <v>110</v>
      </c>
      <c r="C570">
        <v>2013</v>
      </c>
      <c r="D570" t="s">
        <v>6064</v>
      </c>
      <c r="E570" t="s">
        <v>6060</v>
      </c>
      <c r="F570" t="s">
        <v>6058</v>
      </c>
      <c r="G570">
        <v>16301</v>
      </c>
      <c r="H570" t="s">
        <v>3405</v>
      </c>
      <c r="I570" t="s">
        <v>3391</v>
      </c>
      <c r="J570" t="s">
        <v>1767</v>
      </c>
      <c r="K570" t="s">
        <v>6315</v>
      </c>
      <c r="L570" t="s">
        <v>6778</v>
      </c>
      <c r="M570" t="s">
        <v>6779</v>
      </c>
      <c r="N570" t="s">
        <v>6792</v>
      </c>
      <c r="O570">
        <v>1</v>
      </c>
      <c r="P570" t="str">
        <f>+BARRAS[[#This Row],[Barra]]&amp;"_"&amp;BARRAS[[#This Row],[Nivel de tensión]]</f>
        <v>CHACAYA2_110</v>
      </c>
    </row>
    <row r="571" spans="1:16">
      <c r="A571" t="s">
        <v>6065</v>
      </c>
      <c r="B571">
        <v>110</v>
      </c>
      <c r="C571">
        <v>1106</v>
      </c>
      <c r="D571" t="s">
        <v>6066</v>
      </c>
      <c r="E571" t="s">
        <v>6067</v>
      </c>
      <c r="F571" t="s">
        <v>6068</v>
      </c>
      <c r="G571">
        <v>16301</v>
      </c>
      <c r="H571" t="s">
        <v>3418</v>
      </c>
      <c r="I571" t="s">
        <v>3391</v>
      </c>
      <c r="J571" t="s">
        <v>3392</v>
      </c>
      <c r="K571" t="s">
        <v>3302</v>
      </c>
      <c r="L571" t="s">
        <v>6778</v>
      </c>
      <c r="M571" t="s">
        <v>6779</v>
      </c>
      <c r="N571" t="s">
        <v>6792</v>
      </c>
      <c r="O571">
        <v>1</v>
      </c>
      <c r="P571" t="str">
        <f>+BARRAS[[#This Row],[Barra]]&amp;"_"&amp;BARRAS[[#This Row],[Nivel de tensión]]</f>
        <v>CHAGRES_110</v>
      </c>
    </row>
    <row r="572" spans="1:16">
      <c r="A572" t="s">
        <v>243</v>
      </c>
      <c r="B572">
        <v>23</v>
      </c>
      <c r="C572">
        <v>1</v>
      </c>
      <c r="D572" t="s">
        <v>3397</v>
      </c>
      <c r="E572" t="s">
        <v>3419</v>
      </c>
      <c r="F572" t="s">
        <v>3420</v>
      </c>
      <c r="G572">
        <v>16301</v>
      </c>
      <c r="H572" t="s">
        <v>3405</v>
      </c>
      <c r="I572" t="s">
        <v>3391</v>
      </c>
      <c r="J572" t="s">
        <v>3392</v>
      </c>
      <c r="K572" t="s">
        <v>6315</v>
      </c>
      <c r="L572" t="s">
        <v>6778</v>
      </c>
      <c r="M572" t="s">
        <v>6779</v>
      </c>
      <c r="N572" t="s">
        <v>6792</v>
      </c>
      <c r="O572">
        <v>1</v>
      </c>
      <c r="P572" t="str">
        <f>+BARRAS[[#This Row],[Barra]]&amp;"_"&amp;BARRAS[[#This Row],[Nivel de tensión]]</f>
        <v>CHAGUAL_23</v>
      </c>
    </row>
    <row r="573" spans="1:16">
      <c r="A573" t="s">
        <v>243</v>
      </c>
      <c r="B573">
        <v>220</v>
      </c>
      <c r="C573">
        <v>1</v>
      </c>
      <c r="D573" t="s">
        <v>3397</v>
      </c>
      <c r="E573" t="s">
        <v>3419</v>
      </c>
      <c r="F573" t="s">
        <v>3420</v>
      </c>
      <c r="G573">
        <v>16301</v>
      </c>
      <c r="H573" t="s">
        <v>3405</v>
      </c>
      <c r="I573" t="s">
        <v>3391</v>
      </c>
      <c r="J573" t="s">
        <v>3392</v>
      </c>
      <c r="K573" t="s">
        <v>6315</v>
      </c>
      <c r="L573" t="s">
        <v>6778</v>
      </c>
      <c r="M573" t="s">
        <v>6779</v>
      </c>
      <c r="N573" t="s">
        <v>6792</v>
      </c>
      <c r="O573">
        <v>1</v>
      </c>
      <c r="P573" t="str">
        <f>+BARRAS[[#This Row],[Barra]]&amp;"_"&amp;BARRAS[[#This Row],[Nivel de tensión]]</f>
        <v>CHAGUAL_220</v>
      </c>
    </row>
    <row r="574" spans="1:16">
      <c r="A574" t="s">
        <v>245</v>
      </c>
      <c r="B574">
        <v>13</v>
      </c>
      <c r="C574">
        <v>2573</v>
      </c>
      <c r="D574" t="s">
        <v>6069</v>
      </c>
      <c r="E574" t="s">
        <v>6070</v>
      </c>
      <c r="F574" t="s">
        <v>3484</v>
      </c>
      <c r="G574">
        <v>16301</v>
      </c>
      <c r="H574" t="s">
        <v>3443</v>
      </c>
      <c r="I574" t="s">
        <v>3391</v>
      </c>
      <c r="J574" t="s">
        <v>3392</v>
      </c>
      <c r="K574" t="s">
        <v>3300</v>
      </c>
      <c r="L574" t="s">
        <v>6778</v>
      </c>
      <c r="M574" t="s">
        <v>6779</v>
      </c>
      <c r="N574" t="s">
        <v>6792</v>
      </c>
      <c r="O574">
        <v>1</v>
      </c>
      <c r="P574" t="str">
        <f>+BARRAS[[#This Row],[Barra]]&amp;"_"&amp;BARRAS[[#This Row],[Nivel de tensión]]</f>
        <v>CHAPIQUINA_13</v>
      </c>
    </row>
    <row r="575" spans="1:16">
      <c r="A575" t="s">
        <v>245</v>
      </c>
      <c r="B575">
        <v>66</v>
      </c>
      <c r="C575">
        <v>1930</v>
      </c>
      <c r="D575" t="s">
        <v>6071</v>
      </c>
      <c r="E575" t="s">
        <v>6072</v>
      </c>
      <c r="F575" t="s">
        <v>6073</v>
      </c>
      <c r="G575">
        <v>16301</v>
      </c>
      <c r="H575" t="s">
        <v>3405</v>
      </c>
      <c r="I575" t="s">
        <v>3391</v>
      </c>
      <c r="J575" t="s">
        <v>3392</v>
      </c>
      <c r="K575" t="s">
        <v>6315</v>
      </c>
      <c r="L575" t="s">
        <v>6778</v>
      </c>
      <c r="M575" t="s">
        <v>6779</v>
      </c>
      <c r="N575" t="s">
        <v>6792</v>
      </c>
      <c r="O575">
        <v>1</v>
      </c>
      <c r="P575" t="str">
        <f>+BARRAS[[#This Row],[Barra]]&amp;"_"&amp;BARRAS[[#This Row],[Nivel de tensión]]</f>
        <v>CHAPIQUINA_66</v>
      </c>
    </row>
    <row r="576" spans="1:16">
      <c r="A576" t="s">
        <v>248</v>
      </c>
      <c r="B576">
        <v>13</v>
      </c>
      <c r="C576">
        <v>473</v>
      </c>
      <c r="D576" t="s">
        <v>6074</v>
      </c>
      <c r="E576" t="s">
        <v>6075</v>
      </c>
      <c r="F576" t="s">
        <v>6076</v>
      </c>
      <c r="G576">
        <v>16301</v>
      </c>
      <c r="H576" t="s">
        <v>3414</v>
      </c>
      <c r="I576" t="s">
        <v>3391</v>
      </c>
      <c r="J576" t="s">
        <v>3392</v>
      </c>
      <c r="K576" t="s">
        <v>3304</v>
      </c>
      <c r="L576" t="s">
        <v>6778</v>
      </c>
      <c r="M576" t="s">
        <v>6779</v>
      </c>
      <c r="N576" t="s">
        <v>6792</v>
      </c>
      <c r="O576">
        <v>1</v>
      </c>
      <c r="P576" t="str">
        <f>+BARRAS[[#This Row],[Barra]]&amp;"_"&amp;BARRAS[[#This Row],[Nivel de tensión]]</f>
        <v>CHARRUA_13</v>
      </c>
    </row>
    <row r="577" spans="1:16">
      <c r="A577" t="s">
        <v>248</v>
      </c>
      <c r="B577">
        <v>66</v>
      </c>
      <c r="C577">
        <v>477</v>
      </c>
      <c r="D577" t="s">
        <v>6077</v>
      </c>
      <c r="E577" t="s">
        <v>6078</v>
      </c>
      <c r="F577" t="s">
        <v>6076</v>
      </c>
      <c r="G577">
        <v>16301</v>
      </c>
      <c r="H577" t="s">
        <v>3414</v>
      </c>
      <c r="I577" t="s">
        <v>3391</v>
      </c>
      <c r="J577" t="s">
        <v>3392</v>
      </c>
      <c r="K577" t="s">
        <v>3304</v>
      </c>
      <c r="L577" t="s">
        <v>6778</v>
      </c>
      <c r="M577" t="s">
        <v>6779</v>
      </c>
      <c r="N577" t="s">
        <v>6792</v>
      </c>
      <c r="O577">
        <v>1</v>
      </c>
      <c r="P577" t="str">
        <f>+BARRAS[[#This Row],[Barra]]&amp;"_"&amp;BARRAS[[#This Row],[Nivel de tensión]]</f>
        <v>CHARRUA_66</v>
      </c>
    </row>
    <row r="578" spans="1:16">
      <c r="A578" t="s">
        <v>248</v>
      </c>
      <c r="B578">
        <v>154</v>
      </c>
      <c r="C578">
        <v>474</v>
      </c>
      <c r="D578" t="s">
        <v>6079</v>
      </c>
      <c r="E578" t="s">
        <v>6080</v>
      </c>
      <c r="F578" t="s">
        <v>6076</v>
      </c>
      <c r="G578">
        <v>16301</v>
      </c>
      <c r="H578" t="s">
        <v>3414</v>
      </c>
      <c r="I578" t="s">
        <v>3391</v>
      </c>
      <c r="J578" t="s">
        <v>3392</v>
      </c>
      <c r="K578" t="s">
        <v>3304</v>
      </c>
      <c r="L578" t="s">
        <v>6778</v>
      </c>
      <c r="M578" t="s">
        <v>6779</v>
      </c>
      <c r="N578" t="s">
        <v>6792</v>
      </c>
      <c r="O578">
        <v>1</v>
      </c>
      <c r="P578" t="str">
        <f>+BARRAS[[#This Row],[Barra]]&amp;"_"&amp;BARRAS[[#This Row],[Nivel de tensión]]</f>
        <v>CHARRUA_154</v>
      </c>
    </row>
    <row r="579" spans="1:16">
      <c r="A579" t="s">
        <v>248</v>
      </c>
      <c r="B579">
        <v>220</v>
      </c>
      <c r="C579">
        <v>475</v>
      </c>
      <c r="D579" t="s">
        <v>6081</v>
      </c>
      <c r="E579" t="s">
        <v>6082</v>
      </c>
      <c r="F579" t="s">
        <v>6076</v>
      </c>
      <c r="G579">
        <v>16301</v>
      </c>
      <c r="H579" t="s">
        <v>3405</v>
      </c>
      <c r="I579" t="s">
        <v>3391</v>
      </c>
      <c r="J579" t="s">
        <v>3392</v>
      </c>
      <c r="K579" t="s">
        <v>6315</v>
      </c>
      <c r="L579" t="s">
        <v>6778</v>
      </c>
      <c r="M579" t="s">
        <v>6779</v>
      </c>
      <c r="N579" t="s">
        <v>6792</v>
      </c>
      <c r="O579">
        <v>1</v>
      </c>
      <c r="P579" t="str">
        <f>+BARRAS[[#This Row],[Barra]]&amp;"_"&amp;BARRAS[[#This Row],[Nivel de tensión]]</f>
        <v>CHARRUA_220</v>
      </c>
    </row>
    <row r="580" spans="1:16">
      <c r="A580" t="s">
        <v>248</v>
      </c>
      <c r="B580">
        <v>500</v>
      </c>
      <c r="C580">
        <v>1</v>
      </c>
      <c r="D580" t="s">
        <v>3397</v>
      </c>
      <c r="E580" t="s">
        <v>6083</v>
      </c>
      <c r="F580" t="s">
        <v>3420</v>
      </c>
      <c r="G580">
        <v>16301</v>
      </c>
      <c r="H580" t="s">
        <v>3409</v>
      </c>
      <c r="I580" t="s">
        <v>3391</v>
      </c>
      <c r="J580" t="s">
        <v>3392</v>
      </c>
      <c r="K580" t="s">
        <v>6315</v>
      </c>
      <c r="L580" t="s">
        <v>6778</v>
      </c>
      <c r="M580" t="s">
        <v>6779</v>
      </c>
      <c r="N580" t="s">
        <v>6792</v>
      </c>
      <c r="O580">
        <v>1</v>
      </c>
      <c r="P580" t="str">
        <f>+BARRAS[[#This Row],[Barra]]&amp;"_"&amp;BARRAS[[#This Row],[Nivel de tensión]]</f>
        <v>CHARRUA_500</v>
      </c>
    </row>
    <row r="581" spans="1:16">
      <c r="A581" t="s">
        <v>288</v>
      </c>
      <c r="B581">
        <v>66</v>
      </c>
      <c r="C581">
        <v>1</v>
      </c>
      <c r="D581" t="s">
        <v>3397</v>
      </c>
      <c r="E581" t="s">
        <v>6140</v>
      </c>
      <c r="F581" t="s">
        <v>3420</v>
      </c>
      <c r="G581">
        <v>16301</v>
      </c>
      <c r="H581" t="s">
        <v>3414</v>
      </c>
      <c r="I581" t="s">
        <v>3391</v>
      </c>
      <c r="J581" t="s">
        <v>3392</v>
      </c>
      <c r="K581" t="s">
        <v>3304</v>
      </c>
      <c r="L581" t="s">
        <v>6778</v>
      </c>
      <c r="M581" t="s">
        <v>6779</v>
      </c>
      <c r="N581" t="s">
        <v>6792</v>
      </c>
      <c r="O581">
        <v>1</v>
      </c>
      <c r="P581" t="str">
        <f>+BARRAS[[#This Row],[Barra]]&amp;"_"&amp;BARRAS[[#This Row],[Nivel de tensión]]</f>
        <v>CHUMAQUITO_66</v>
      </c>
    </row>
    <row r="582" spans="1:16">
      <c r="A582" t="s">
        <v>6141</v>
      </c>
      <c r="B582">
        <v>66</v>
      </c>
      <c r="C582">
        <v>1110</v>
      </c>
      <c r="D582" t="s">
        <v>6142</v>
      </c>
      <c r="E582" t="s">
        <v>6143</v>
      </c>
      <c r="F582" t="s">
        <v>6144</v>
      </c>
      <c r="G582">
        <v>16301</v>
      </c>
      <c r="H582" t="s">
        <v>3405</v>
      </c>
      <c r="I582" t="s">
        <v>3391</v>
      </c>
      <c r="J582" t="s">
        <v>3392</v>
      </c>
      <c r="K582" t="s">
        <v>6315</v>
      </c>
      <c r="L582" t="s">
        <v>6778</v>
      </c>
      <c r="M582" t="s">
        <v>6779</v>
      </c>
      <c r="N582" t="s">
        <v>6792</v>
      </c>
      <c r="O582">
        <v>1</v>
      </c>
      <c r="P582" t="str">
        <f>+BARRAS[[#This Row],[Barra]]&amp;"_"&amp;BARRAS[[#This Row],[Nivel de tensión]]</f>
        <v>CHUMPULLO_66</v>
      </c>
    </row>
    <row r="583" spans="1:16">
      <c r="A583" t="s">
        <v>292</v>
      </c>
      <c r="B583">
        <v>100</v>
      </c>
      <c r="C583">
        <v>2029</v>
      </c>
      <c r="D583" t="s">
        <v>6145</v>
      </c>
      <c r="E583" t="s">
        <v>6146</v>
      </c>
      <c r="F583" t="s">
        <v>6147</v>
      </c>
      <c r="G583">
        <v>16301</v>
      </c>
      <c r="H583" t="s">
        <v>3405</v>
      </c>
      <c r="I583" t="s">
        <v>3391</v>
      </c>
      <c r="J583" t="s">
        <v>3392</v>
      </c>
      <c r="K583" t="s">
        <v>6315</v>
      </c>
      <c r="L583" t="s">
        <v>6778</v>
      </c>
      <c r="M583" t="s">
        <v>6779</v>
      </c>
      <c r="N583" t="s">
        <v>6792</v>
      </c>
      <c r="O583">
        <v>1</v>
      </c>
      <c r="P583" t="str">
        <f>+BARRAS[[#This Row],[Barra]]&amp;"_"&amp;BARRAS[[#This Row],[Nivel de tensión]]</f>
        <v>CHUQUICAMATA_100</v>
      </c>
    </row>
    <row r="584" spans="1:16">
      <c r="A584" t="s">
        <v>292</v>
      </c>
      <c r="B584">
        <v>220</v>
      </c>
      <c r="C584">
        <v>2031</v>
      </c>
      <c r="D584" t="s">
        <v>6148</v>
      </c>
      <c r="E584" t="s">
        <v>6149</v>
      </c>
      <c r="F584" t="s">
        <v>6147</v>
      </c>
      <c r="G584">
        <v>16301</v>
      </c>
      <c r="H584" t="s">
        <v>3409</v>
      </c>
      <c r="I584" t="s">
        <v>3391</v>
      </c>
      <c r="J584" t="s">
        <v>3392</v>
      </c>
      <c r="K584" t="s">
        <v>6315</v>
      </c>
      <c r="L584" t="s">
        <v>6778</v>
      </c>
      <c r="M584" t="s">
        <v>6779</v>
      </c>
      <c r="N584" t="s">
        <v>6792</v>
      </c>
      <c r="O584">
        <v>1</v>
      </c>
      <c r="P584" t="str">
        <f>+BARRAS[[#This Row],[Barra]]&amp;"_"&amp;BARRAS[[#This Row],[Nivel de tensión]]</f>
        <v>CHUQUICAMATA_220</v>
      </c>
    </row>
    <row r="585" spans="1:16">
      <c r="A585" t="s">
        <v>6150</v>
      </c>
      <c r="B585">
        <v>110</v>
      </c>
      <c r="C585">
        <v>1</v>
      </c>
      <c r="D585" t="s">
        <v>3397</v>
      </c>
      <c r="E585" t="s">
        <v>6151</v>
      </c>
      <c r="F585" t="s">
        <v>3420</v>
      </c>
      <c r="G585">
        <v>16301</v>
      </c>
      <c r="H585" t="s">
        <v>3396</v>
      </c>
      <c r="I585" t="s">
        <v>3391</v>
      </c>
      <c r="J585" t="s">
        <v>3392</v>
      </c>
      <c r="K585" t="s">
        <v>6315</v>
      </c>
      <c r="L585" t="s">
        <v>6778</v>
      </c>
      <c r="M585" t="s">
        <v>6779</v>
      </c>
      <c r="N585" t="s">
        <v>6792</v>
      </c>
      <c r="O585">
        <v>1</v>
      </c>
      <c r="P585" t="str">
        <f>+BARRAS[[#This Row],[Barra]]&amp;"_"&amp;BARRAS[[#This Row],[Nivel de tensión]]</f>
        <v>CHUSCHA_110</v>
      </c>
    </row>
    <row r="586" spans="1:16">
      <c r="A586" t="s">
        <v>6152</v>
      </c>
      <c r="B586">
        <v>154</v>
      </c>
      <c r="C586">
        <v>1364</v>
      </c>
      <c r="D586" t="s">
        <v>6153</v>
      </c>
      <c r="E586" t="s">
        <v>6154</v>
      </c>
      <c r="F586" t="s">
        <v>6155</v>
      </c>
      <c r="G586">
        <v>16301</v>
      </c>
      <c r="H586" t="s">
        <v>3405</v>
      </c>
      <c r="I586" t="s">
        <v>3391</v>
      </c>
      <c r="J586" t="s">
        <v>3392</v>
      </c>
      <c r="K586" t="s">
        <v>6315</v>
      </c>
      <c r="L586" t="s">
        <v>6778</v>
      </c>
      <c r="M586" t="s">
        <v>6779</v>
      </c>
      <c r="N586" t="s">
        <v>6792</v>
      </c>
      <c r="O586">
        <v>1</v>
      </c>
      <c r="P586" t="str">
        <f>+BARRAS[[#This Row],[Barra]]&amp;"_"&amp;BARRAS[[#This Row],[Nivel de tensión]]</f>
        <v>CIPRESES_154</v>
      </c>
    </row>
    <row r="587" spans="1:16">
      <c r="A587" t="s">
        <v>6156</v>
      </c>
      <c r="B587">
        <v>13</v>
      </c>
      <c r="C587">
        <v>1057</v>
      </c>
      <c r="D587" t="s">
        <v>6157</v>
      </c>
      <c r="E587" t="s">
        <v>6158</v>
      </c>
      <c r="F587" t="s">
        <v>6159</v>
      </c>
      <c r="G587">
        <v>16301</v>
      </c>
      <c r="H587" t="s">
        <v>3414</v>
      </c>
      <c r="I587" t="s">
        <v>3391</v>
      </c>
      <c r="J587" t="s">
        <v>3392</v>
      </c>
      <c r="K587" t="s">
        <v>3304</v>
      </c>
      <c r="L587" t="s">
        <v>6778</v>
      </c>
      <c r="M587" t="s">
        <v>6779</v>
      </c>
      <c r="N587" t="s">
        <v>6792</v>
      </c>
      <c r="O587">
        <v>1</v>
      </c>
      <c r="P587" t="str">
        <f>+BARRAS[[#This Row],[Barra]]&amp;"_"&amp;BARRAS[[#This Row],[Nivel de tensión]]</f>
        <v>CIRUELITOS_13</v>
      </c>
    </row>
    <row r="588" spans="1:16">
      <c r="A588" t="s">
        <v>6156</v>
      </c>
      <c r="B588">
        <v>33</v>
      </c>
      <c r="C588">
        <v>1</v>
      </c>
      <c r="D588" t="s">
        <v>3397</v>
      </c>
      <c r="E588" t="s">
        <v>6160</v>
      </c>
      <c r="F588" t="s">
        <v>3420</v>
      </c>
      <c r="G588">
        <v>16301</v>
      </c>
      <c r="H588" t="s">
        <v>3414</v>
      </c>
      <c r="I588" t="s">
        <v>3391</v>
      </c>
      <c r="J588" t="s">
        <v>3392</v>
      </c>
      <c r="K588" t="s">
        <v>3304</v>
      </c>
      <c r="L588" t="s">
        <v>6778</v>
      </c>
      <c r="M588" t="s">
        <v>6779</v>
      </c>
      <c r="N588" t="s">
        <v>6792</v>
      </c>
      <c r="O588">
        <v>1</v>
      </c>
      <c r="P588" t="str">
        <f>+BARRAS[[#This Row],[Barra]]&amp;"_"&amp;BARRAS[[#This Row],[Nivel de tensión]]</f>
        <v>CIRUELITOS_33</v>
      </c>
    </row>
    <row r="589" spans="1:16">
      <c r="A589" t="s">
        <v>298</v>
      </c>
      <c r="B589">
        <v>220</v>
      </c>
      <c r="C589">
        <v>2432</v>
      </c>
      <c r="D589" t="s">
        <v>6161</v>
      </c>
      <c r="E589" t="s">
        <v>6162</v>
      </c>
      <c r="F589" t="s">
        <v>6163</v>
      </c>
      <c r="G589">
        <v>16301</v>
      </c>
      <c r="H589" t="s">
        <v>3409</v>
      </c>
      <c r="I589" t="s">
        <v>3391</v>
      </c>
      <c r="J589" t="s">
        <v>3392</v>
      </c>
      <c r="K589" t="s">
        <v>6315</v>
      </c>
      <c r="L589" t="s">
        <v>6778</v>
      </c>
      <c r="M589" t="s">
        <v>6779</v>
      </c>
      <c r="N589" t="s">
        <v>6792</v>
      </c>
      <c r="O589">
        <v>1</v>
      </c>
      <c r="P589" t="str">
        <f>+BARRAS[[#This Row],[Barra]]&amp;"_"&amp;BARRAS[[#This Row],[Nivel de tensión]]</f>
        <v>CIRUELOS_220</v>
      </c>
    </row>
    <row r="590" spans="1:16">
      <c r="A590" t="s">
        <v>6425</v>
      </c>
      <c r="B590">
        <v>220</v>
      </c>
      <c r="C590">
        <v>3471</v>
      </c>
      <c r="D590" t="s">
        <v>3680</v>
      </c>
      <c r="E590" t="s">
        <v>3925</v>
      </c>
      <c r="F590" t="s">
        <v>6426</v>
      </c>
      <c r="G590">
        <v>2201</v>
      </c>
      <c r="H590" t="s">
        <v>3405</v>
      </c>
      <c r="I590" t="s">
        <v>3683</v>
      </c>
      <c r="J590" t="s">
        <v>6427</v>
      </c>
      <c r="K590" t="s">
        <v>6315</v>
      </c>
      <c r="L590" t="s">
        <v>6778</v>
      </c>
      <c r="M590" t="s">
        <v>6779</v>
      </c>
      <c r="N590" t="s">
        <v>6792</v>
      </c>
      <c r="O590">
        <v>1</v>
      </c>
      <c r="P590" t="str">
        <f>+BARRAS[[#This Row],[Barra]]&amp;"_"&amp;BARRAS[[#This Row],[Nivel de tensión]]</f>
        <v>CKHURI_220</v>
      </c>
    </row>
    <row r="591" spans="1:16">
      <c r="A591" t="s">
        <v>6164</v>
      </c>
      <c r="B591">
        <v>220</v>
      </c>
      <c r="C591">
        <v>2721</v>
      </c>
      <c r="D591" t="s">
        <v>3397</v>
      </c>
      <c r="E591" t="s">
        <v>6165</v>
      </c>
      <c r="F591" t="s">
        <v>6166</v>
      </c>
      <c r="G591">
        <v>3303</v>
      </c>
      <c r="H591" t="s">
        <v>3405</v>
      </c>
      <c r="I591" t="s">
        <v>3391</v>
      </c>
      <c r="J591" t="s">
        <v>6167</v>
      </c>
      <c r="K591" t="s">
        <v>6315</v>
      </c>
      <c r="L591" t="s">
        <v>6778</v>
      </c>
      <c r="M591" t="s">
        <v>6779</v>
      </c>
      <c r="N591" t="s">
        <v>6792</v>
      </c>
      <c r="O591">
        <v>1</v>
      </c>
      <c r="P591" t="str">
        <f>+BARRAS[[#This Row],[Barra]]&amp;"_"&amp;BARRAS[[#This Row],[Nivel de tensión]]</f>
        <v>CLEONES_1_220</v>
      </c>
    </row>
    <row r="592" spans="1:16">
      <c r="A592" t="s">
        <v>6168</v>
      </c>
      <c r="B592">
        <v>13</v>
      </c>
      <c r="C592">
        <v>720</v>
      </c>
      <c r="D592" t="s">
        <v>6169</v>
      </c>
      <c r="E592" t="s">
        <v>6170</v>
      </c>
      <c r="F592" t="s">
        <v>6171</v>
      </c>
      <c r="G592">
        <v>16301</v>
      </c>
      <c r="H592" t="s">
        <v>3469</v>
      </c>
      <c r="I592" t="s">
        <v>3391</v>
      </c>
      <c r="J592" t="s">
        <v>3392</v>
      </c>
      <c r="K592" t="s">
        <v>3303</v>
      </c>
      <c r="L592" t="s">
        <v>6778</v>
      </c>
      <c r="M592" t="s">
        <v>6779</v>
      </c>
      <c r="N592" t="s">
        <v>6792</v>
      </c>
      <c r="O592">
        <v>1</v>
      </c>
      <c r="P592" t="str">
        <f>+BARRAS[[#This Row],[Barra]]&amp;"_"&amp;BARRAS[[#This Row],[Nivel de tensión]]</f>
        <v>CLUB_HIPICO_13</v>
      </c>
    </row>
    <row r="593" spans="1:16">
      <c r="A593" t="s">
        <v>6168</v>
      </c>
      <c r="B593">
        <v>110</v>
      </c>
      <c r="C593">
        <v>1</v>
      </c>
      <c r="D593" t="s">
        <v>3397</v>
      </c>
      <c r="E593" t="s">
        <v>6172</v>
      </c>
      <c r="F593" t="s">
        <v>3420</v>
      </c>
      <c r="G593">
        <v>16301</v>
      </c>
      <c r="H593" t="s">
        <v>3469</v>
      </c>
      <c r="I593" t="s">
        <v>3391</v>
      </c>
      <c r="J593" t="s">
        <v>3392</v>
      </c>
      <c r="K593" t="s">
        <v>3303</v>
      </c>
      <c r="L593" t="s">
        <v>6778</v>
      </c>
      <c r="M593" t="s">
        <v>6779</v>
      </c>
      <c r="N593" t="s">
        <v>6792</v>
      </c>
      <c r="O593">
        <v>1</v>
      </c>
      <c r="P593" t="str">
        <f>+BARRAS[[#This Row],[Barra]]&amp;"_"&amp;BARRAS[[#This Row],[Nivel de tensión]]</f>
        <v>CLUB_HIPICO_110</v>
      </c>
    </row>
    <row r="594" spans="1:16">
      <c r="A594" t="s">
        <v>6173</v>
      </c>
      <c r="B594">
        <v>15</v>
      </c>
      <c r="C594">
        <v>1</v>
      </c>
      <c r="D594" t="s">
        <v>3857</v>
      </c>
      <c r="E594" t="s">
        <v>3858</v>
      </c>
      <c r="F594" t="s">
        <v>3484</v>
      </c>
      <c r="G594">
        <v>16301</v>
      </c>
      <c r="H594" t="s">
        <v>3405</v>
      </c>
      <c r="I594" t="s">
        <v>3391</v>
      </c>
      <c r="J594" t="s">
        <v>3392</v>
      </c>
      <c r="K594" t="s">
        <v>6315</v>
      </c>
      <c r="L594" t="s">
        <v>6778</v>
      </c>
      <c r="M594" t="s">
        <v>6779</v>
      </c>
      <c r="N594" t="s">
        <v>6792</v>
      </c>
      <c r="O594">
        <v>1</v>
      </c>
      <c r="P594" t="str">
        <f>+BARRAS[[#This Row],[Barra]]&amp;"_"&amp;BARRAS[[#This Row],[Nivel de tensión]]</f>
        <v>CNTALTAL_15</v>
      </c>
    </row>
    <row r="595" spans="1:16">
      <c r="A595" t="s">
        <v>6173</v>
      </c>
      <c r="B595">
        <v>220</v>
      </c>
      <c r="C595">
        <v>1</v>
      </c>
      <c r="D595" t="s">
        <v>3397</v>
      </c>
      <c r="E595" t="s">
        <v>3860</v>
      </c>
      <c r="F595" t="s">
        <v>3420</v>
      </c>
      <c r="G595">
        <v>16301</v>
      </c>
      <c r="H595" t="s">
        <v>3405</v>
      </c>
      <c r="I595" t="s">
        <v>3391</v>
      </c>
      <c r="J595" t="s">
        <v>3392</v>
      </c>
      <c r="K595" t="s">
        <v>6315</v>
      </c>
      <c r="L595" t="s">
        <v>6778</v>
      </c>
      <c r="M595" t="s">
        <v>6779</v>
      </c>
      <c r="N595" t="s">
        <v>6792</v>
      </c>
      <c r="O595">
        <v>1</v>
      </c>
      <c r="P595" t="str">
        <f>+BARRAS[[#This Row],[Barra]]&amp;"_"&amp;BARRAS[[#This Row],[Nivel de tensión]]</f>
        <v>CNTALTAL_220</v>
      </c>
    </row>
    <row r="596" spans="1:16">
      <c r="A596" t="s">
        <v>304</v>
      </c>
      <c r="B596">
        <v>13</v>
      </c>
      <c r="C596">
        <v>1055</v>
      </c>
      <c r="D596" t="s">
        <v>6174</v>
      </c>
      <c r="E596" t="s">
        <v>6175</v>
      </c>
      <c r="F596" t="s">
        <v>6176</v>
      </c>
      <c r="G596">
        <v>16301</v>
      </c>
      <c r="H596" t="s">
        <v>3414</v>
      </c>
      <c r="I596" t="s">
        <v>3391</v>
      </c>
      <c r="J596" t="s">
        <v>3392</v>
      </c>
      <c r="K596" t="s">
        <v>3304</v>
      </c>
      <c r="L596" t="s">
        <v>6778</v>
      </c>
      <c r="M596" t="s">
        <v>6779</v>
      </c>
      <c r="N596" t="s">
        <v>6792</v>
      </c>
      <c r="O596">
        <v>1</v>
      </c>
      <c r="P596" t="str">
        <f>+BARRAS[[#This Row],[Barra]]&amp;"_"&amp;BARRAS[[#This Row],[Nivel de tensión]]</f>
        <v>COCHARCAS_13</v>
      </c>
    </row>
    <row r="597" spans="1:16">
      <c r="A597" t="s">
        <v>304</v>
      </c>
      <c r="B597">
        <v>66</v>
      </c>
      <c r="C597">
        <v>1814</v>
      </c>
      <c r="D597" t="s">
        <v>6177</v>
      </c>
      <c r="E597" t="s">
        <v>6178</v>
      </c>
      <c r="F597" t="s">
        <v>6179</v>
      </c>
      <c r="G597">
        <v>16301</v>
      </c>
      <c r="H597" t="s">
        <v>3414</v>
      </c>
      <c r="I597" t="s">
        <v>3391</v>
      </c>
      <c r="J597" t="s">
        <v>3392</v>
      </c>
      <c r="K597" t="s">
        <v>3304</v>
      </c>
      <c r="L597" t="s">
        <v>6778</v>
      </c>
      <c r="M597" t="s">
        <v>6779</v>
      </c>
      <c r="N597" t="s">
        <v>6792</v>
      </c>
      <c r="O597">
        <v>1</v>
      </c>
      <c r="P597" t="str">
        <f>+BARRAS[[#This Row],[Barra]]&amp;"_"&amp;BARRAS[[#This Row],[Nivel de tensión]]</f>
        <v>COCHARCAS_66</v>
      </c>
    </row>
    <row r="598" spans="1:16">
      <c r="A598" t="s">
        <v>307</v>
      </c>
      <c r="B598">
        <v>13</v>
      </c>
      <c r="C598">
        <v>213</v>
      </c>
      <c r="D598" t="s">
        <v>6180</v>
      </c>
      <c r="E598" t="s">
        <v>6181</v>
      </c>
      <c r="F598" t="s">
        <v>6179</v>
      </c>
      <c r="G598">
        <v>16301</v>
      </c>
      <c r="H598" t="s">
        <v>3414</v>
      </c>
      <c r="I598" t="s">
        <v>3391</v>
      </c>
      <c r="J598" t="s">
        <v>3392</v>
      </c>
      <c r="K598" t="s">
        <v>3304</v>
      </c>
      <c r="L598" t="s">
        <v>6778</v>
      </c>
      <c r="M598" t="s">
        <v>6779</v>
      </c>
      <c r="N598" t="s">
        <v>6792</v>
      </c>
      <c r="O598">
        <v>1</v>
      </c>
      <c r="P598" t="str">
        <f>+BARRAS[[#This Row],[Barra]]&amp;"_"&amp;BARRAS[[#This Row],[Nivel de tensión]]</f>
        <v>COCHARCAS2_13</v>
      </c>
    </row>
    <row r="599" spans="1:16">
      <c r="A599" t="s">
        <v>6182</v>
      </c>
      <c r="B599">
        <v>220</v>
      </c>
      <c r="C599">
        <v>1</v>
      </c>
      <c r="D599" t="s">
        <v>3397</v>
      </c>
      <c r="E599" t="s">
        <v>6183</v>
      </c>
      <c r="F599" t="s">
        <v>3420</v>
      </c>
      <c r="G599">
        <v>16301</v>
      </c>
      <c r="H599" t="s">
        <v>3405</v>
      </c>
      <c r="I599" t="s">
        <v>3391</v>
      </c>
      <c r="J599" t="s">
        <v>3392</v>
      </c>
      <c r="K599" t="s">
        <v>6315</v>
      </c>
      <c r="L599" t="s">
        <v>6778</v>
      </c>
      <c r="M599" t="s">
        <v>6779</v>
      </c>
      <c r="N599" t="s">
        <v>6792</v>
      </c>
      <c r="O599">
        <v>1</v>
      </c>
      <c r="P599" t="str">
        <f>+BARRAS[[#This Row],[Barra]]&amp;"_"&amp;BARRAS[[#This Row],[Nivel de tensión]]</f>
        <v>COCHRANE_220</v>
      </c>
    </row>
    <row r="600" spans="1:16">
      <c r="A600" t="s">
        <v>6184</v>
      </c>
      <c r="B600">
        <v>66</v>
      </c>
      <c r="C600">
        <v>1</v>
      </c>
      <c r="D600" t="s">
        <v>6185</v>
      </c>
      <c r="E600" t="s">
        <v>6186</v>
      </c>
      <c r="F600" t="s">
        <v>6187</v>
      </c>
      <c r="G600">
        <v>6102</v>
      </c>
      <c r="H600" t="s">
        <v>3414</v>
      </c>
      <c r="I600" t="s">
        <v>3391</v>
      </c>
      <c r="J600" t="s">
        <v>3392</v>
      </c>
      <c r="K600" t="s">
        <v>6315</v>
      </c>
      <c r="L600" t="s">
        <v>6778</v>
      </c>
      <c r="M600" t="s">
        <v>6779</v>
      </c>
      <c r="N600" t="s">
        <v>6792</v>
      </c>
      <c r="O600">
        <v>1</v>
      </c>
      <c r="P600" t="str">
        <f>+BARRAS[[#This Row],[Barra]]&amp;"_"&amp;BARRAS[[#This Row],[Nivel de tensión]]</f>
        <v>CODEGUA_66</v>
      </c>
    </row>
    <row r="601" spans="1:16">
      <c r="A601" t="s">
        <v>6184</v>
      </c>
      <c r="B601">
        <v>110</v>
      </c>
      <c r="C601">
        <v>1</v>
      </c>
      <c r="D601" t="s">
        <v>6188</v>
      </c>
      <c r="E601" t="s">
        <v>6189</v>
      </c>
      <c r="F601" t="s">
        <v>6187</v>
      </c>
      <c r="G601">
        <v>6102</v>
      </c>
      <c r="H601" t="s">
        <v>3414</v>
      </c>
      <c r="I601" t="s">
        <v>3391</v>
      </c>
      <c r="J601" t="s">
        <v>3392</v>
      </c>
      <c r="K601" t="s">
        <v>6315</v>
      </c>
      <c r="L601" t="s">
        <v>6778</v>
      </c>
      <c r="M601" t="s">
        <v>6779</v>
      </c>
      <c r="N601" t="s">
        <v>6792</v>
      </c>
      <c r="O601">
        <v>1</v>
      </c>
      <c r="P601" t="str">
        <f>+BARRAS[[#This Row],[Barra]]&amp;"_"&amp;BARRAS[[#This Row],[Nivel de tensión]]</f>
        <v>CODEGUA_110</v>
      </c>
    </row>
    <row r="602" spans="1:16">
      <c r="A602" t="s">
        <v>3424</v>
      </c>
      <c r="B602">
        <v>13</v>
      </c>
      <c r="C602">
        <v>409</v>
      </c>
      <c r="D602" t="s">
        <v>3425</v>
      </c>
      <c r="E602" t="s">
        <v>3426</v>
      </c>
      <c r="F602" t="s">
        <v>3427</v>
      </c>
      <c r="G602">
        <v>16301</v>
      </c>
      <c r="H602" t="s">
        <v>3390</v>
      </c>
      <c r="I602" t="s">
        <v>3391</v>
      </c>
      <c r="J602" t="s">
        <v>3392</v>
      </c>
      <c r="K602" t="s">
        <v>3305</v>
      </c>
      <c r="L602" t="s">
        <v>6778</v>
      </c>
      <c r="M602" t="s">
        <v>6779</v>
      </c>
      <c r="N602" t="s">
        <v>6792</v>
      </c>
      <c r="O602">
        <v>1</v>
      </c>
      <c r="P602" t="str">
        <f>+BARRAS[[#This Row],[Barra]]&amp;"_"&amp;BARRAS[[#This Row],[Nivel de tensión]]</f>
        <v>COLACO_13</v>
      </c>
    </row>
    <row r="603" spans="1:16">
      <c r="A603" t="s">
        <v>3424</v>
      </c>
      <c r="B603">
        <v>110</v>
      </c>
      <c r="C603">
        <v>1</v>
      </c>
      <c r="D603" t="s">
        <v>3397</v>
      </c>
      <c r="E603" t="s">
        <v>6190</v>
      </c>
      <c r="F603" t="s">
        <v>3420</v>
      </c>
      <c r="G603">
        <v>16301</v>
      </c>
      <c r="H603" t="s">
        <v>3390</v>
      </c>
      <c r="I603" t="s">
        <v>3391</v>
      </c>
      <c r="J603" t="s">
        <v>3392</v>
      </c>
      <c r="K603" t="s">
        <v>3305</v>
      </c>
      <c r="L603" t="s">
        <v>6778</v>
      </c>
      <c r="M603" t="s">
        <v>6779</v>
      </c>
      <c r="N603" t="s">
        <v>6792</v>
      </c>
      <c r="O603">
        <v>1</v>
      </c>
      <c r="P603" t="str">
        <f>+BARRAS[[#This Row],[Barra]]&amp;"_"&amp;BARRAS[[#This Row],[Nivel de tensión]]</f>
        <v>COLACO_110</v>
      </c>
    </row>
    <row r="604" spans="1:16">
      <c r="A604" t="s">
        <v>312</v>
      </c>
      <c r="B604">
        <v>13</v>
      </c>
      <c r="C604">
        <v>30</v>
      </c>
      <c r="D604" t="s">
        <v>6191</v>
      </c>
      <c r="E604" t="s">
        <v>6192</v>
      </c>
      <c r="F604" t="s">
        <v>6193</v>
      </c>
      <c r="G604">
        <v>16301</v>
      </c>
      <c r="H604" t="s">
        <v>3414</v>
      </c>
      <c r="I604" t="s">
        <v>3391</v>
      </c>
      <c r="J604" t="s">
        <v>3392</v>
      </c>
      <c r="K604" t="s">
        <v>3304</v>
      </c>
      <c r="L604" t="s">
        <v>6778</v>
      </c>
      <c r="M604" t="s">
        <v>6779</v>
      </c>
      <c r="N604" t="s">
        <v>6792</v>
      </c>
      <c r="O604">
        <v>1</v>
      </c>
      <c r="P604" t="str">
        <f>+BARRAS[[#This Row],[Barra]]&amp;"_"&amp;BARRAS[[#This Row],[Nivel de tensión]]</f>
        <v>COLBUN_13</v>
      </c>
    </row>
    <row r="605" spans="1:16">
      <c r="A605" t="s">
        <v>312</v>
      </c>
      <c r="B605">
        <v>220</v>
      </c>
      <c r="C605">
        <v>1615</v>
      </c>
      <c r="D605" t="s">
        <v>6194</v>
      </c>
      <c r="E605" t="s">
        <v>6195</v>
      </c>
      <c r="F605" t="s">
        <v>6193</v>
      </c>
      <c r="G605">
        <v>16301</v>
      </c>
      <c r="H605" t="s">
        <v>3405</v>
      </c>
      <c r="I605" t="s">
        <v>3391</v>
      </c>
      <c r="J605" t="s">
        <v>3392</v>
      </c>
      <c r="K605" t="s">
        <v>6315</v>
      </c>
      <c r="L605" t="s">
        <v>6778</v>
      </c>
      <c r="M605" t="s">
        <v>6779</v>
      </c>
      <c r="N605" t="s">
        <v>6792</v>
      </c>
      <c r="O605">
        <v>1</v>
      </c>
      <c r="P605" t="str">
        <f>+BARRAS[[#This Row],[Barra]]&amp;"_"&amp;BARRAS[[#This Row],[Nivel de tensión]]</f>
        <v>COLBUN_220</v>
      </c>
    </row>
    <row r="606" spans="1:16">
      <c r="A606" t="s">
        <v>6259</v>
      </c>
      <c r="B606">
        <v>110</v>
      </c>
      <c r="C606">
        <v>1</v>
      </c>
      <c r="D606" t="s">
        <v>3397</v>
      </c>
      <c r="E606" t="s">
        <v>6260</v>
      </c>
      <c r="F606" t="s">
        <v>3420</v>
      </c>
      <c r="G606">
        <v>16301</v>
      </c>
      <c r="H606" t="s">
        <v>3405</v>
      </c>
      <c r="I606" t="s">
        <v>3391</v>
      </c>
      <c r="J606" t="s">
        <v>3392</v>
      </c>
      <c r="K606" t="s">
        <v>6315</v>
      </c>
      <c r="L606" t="s">
        <v>6778</v>
      </c>
      <c r="M606" t="s">
        <v>6779</v>
      </c>
      <c r="N606" t="s">
        <v>6792</v>
      </c>
      <c r="O606">
        <v>1</v>
      </c>
      <c r="P606" t="str">
        <f>+BARRAS[[#This Row],[Barra]]&amp;"_"&amp;BARRAS[[#This Row],[Nivel de tensión]]</f>
        <v>COPIHUES_110</v>
      </c>
    </row>
    <row r="607" spans="1:16">
      <c r="A607" t="s">
        <v>6261</v>
      </c>
      <c r="B607">
        <v>15</v>
      </c>
      <c r="C607">
        <v>316</v>
      </c>
      <c r="D607" t="s">
        <v>6262</v>
      </c>
      <c r="E607" t="s">
        <v>6263</v>
      </c>
      <c r="F607" t="s">
        <v>6264</v>
      </c>
      <c r="G607">
        <v>16301</v>
      </c>
      <c r="H607" t="s">
        <v>3414</v>
      </c>
      <c r="I607" t="s">
        <v>3391</v>
      </c>
      <c r="J607" t="s">
        <v>3392</v>
      </c>
      <c r="K607" t="s">
        <v>3304</v>
      </c>
      <c r="L607" t="s">
        <v>6778</v>
      </c>
      <c r="M607" t="s">
        <v>6779</v>
      </c>
      <c r="N607" t="s">
        <v>6792</v>
      </c>
      <c r="O607">
        <v>1</v>
      </c>
      <c r="P607" t="str">
        <f>+BARRAS[[#This Row],[Barra]]&amp;"_"&amp;BARRAS[[#This Row],[Nivel de tensión]]</f>
        <v>CORONEL_15</v>
      </c>
    </row>
    <row r="608" spans="1:16">
      <c r="A608" t="s">
        <v>6261</v>
      </c>
      <c r="B608">
        <v>66</v>
      </c>
      <c r="C608">
        <v>1</v>
      </c>
      <c r="D608" t="s">
        <v>3397</v>
      </c>
      <c r="E608" t="s">
        <v>6265</v>
      </c>
      <c r="F608" t="s">
        <v>3420</v>
      </c>
      <c r="G608">
        <v>16301</v>
      </c>
      <c r="H608" t="s">
        <v>3414</v>
      </c>
      <c r="I608" t="s">
        <v>3391</v>
      </c>
      <c r="J608" t="s">
        <v>3392</v>
      </c>
      <c r="K608" t="s">
        <v>3304</v>
      </c>
      <c r="L608" t="s">
        <v>6778</v>
      </c>
      <c r="M608" t="s">
        <v>6779</v>
      </c>
      <c r="N608" t="s">
        <v>6792</v>
      </c>
      <c r="O608">
        <v>1</v>
      </c>
      <c r="P608" t="str">
        <f>+BARRAS[[#This Row],[Barra]]&amp;"_"&amp;BARRAS[[#This Row],[Nivel de tensión]]</f>
        <v>CORONEL_66</v>
      </c>
    </row>
    <row r="609" spans="1:16">
      <c r="A609" t="s">
        <v>6261</v>
      </c>
      <c r="B609">
        <v>154</v>
      </c>
      <c r="C609">
        <v>1</v>
      </c>
      <c r="D609" t="s">
        <v>3397</v>
      </c>
      <c r="E609" t="s">
        <v>6266</v>
      </c>
      <c r="F609" t="s">
        <v>3420</v>
      </c>
      <c r="G609">
        <v>16301</v>
      </c>
      <c r="H609" t="s">
        <v>3414</v>
      </c>
      <c r="I609" t="s">
        <v>3391</v>
      </c>
      <c r="J609" t="s">
        <v>3392</v>
      </c>
      <c r="K609" t="s">
        <v>3304</v>
      </c>
      <c r="L609" t="s">
        <v>6778</v>
      </c>
      <c r="M609" t="s">
        <v>6779</v>
      </c>
      <c r="N609" t="s">
        <v>6792</v>
      </c>
      <c r="O609">
        <v>1</v>
      </c>
      <c r="P609" t="str">
        <f>+BARRAS[[#This Row],[Barra]]&amp;"_"&amp;BARRAS[[#This Row],[Nivel de tensión]]</f>
        <v>CORONEL_154</v>
      </c>
    </row>
    <row r="610" spans="1:16">
      <c r="A610" t="s">
        <v>6267</v>
      </c>
      <c r="B610">
        <v>23</v>
      </c>
      <c r="C610">
        <v>411</v>
      </c>
      <c r="D610" t="s">
        <v>6268</v>
      </c>
      <c r="E610" t="s">
        <v>6269</v>
      </c>
      <c r="F610" t="s">
        <v>6270</v>
      </c>
      <c r="G610">
        <v>16301</v>
      </c>
      <c r="H610" t="s">
        <v>3390</v>
      </c>
      <c r="I610" t="s">
        <v>3391</v>
      </c>
      <c r="J610" t="s">
        <v>3392</v>
      </c>
      <c r="K610" t="s">
        <v>3305</v>
      </c>
      <c r="L610" t="s">
        <v>6778</v>
      </c>
      <c r="M610" t="s">
        <v>6779</v>
      </c>
      <c r="N610" t="s">
        <v>6792</v>
      </c>
      <c r="O610">
        <v>1</v>
      </c>
      <c r="P610" t="str">
        <f>+BARRAS[[#This Row],[Barra]]&amp;"_"&amp;BARRAS[[#This Row],[Nivel de tensión]]</f>
        <v>CORRAL_23</v>
      </c>
    </row>
    <row r="611" spans="1:16">
      <c r="A611" t="s">
        <v>6267</v>
      </c>
      <c r="B611">
        <v>66</v>
      </c>
      <c r="C611">
        <v>1</v>
      </c>
      <c r="D611" t="s">
        <v>3397</v>
      </c>
      <c r="E611" t="s">
        <v>6271</v>
      </c>
      <c r="F611" t="s">
        <v>3420</v>
      </c>
      <c r="G611">
        <v>16301</v>
      </c>
      <c r="H611" t="s">
        <v>3390</v>
      </c>
      <c r="I611" t="s">
        <v>3391</v>
      </c>
      <c r="J611" t="s">
        <v>3392</v>
      </c>
      <c r="K611" t="s">
        <v>3305</v>
      </c>
      <c r="L611" t="s">
        <v>6778</v>
      </c>
      <c r="M611" t="s">
        <v>6779</v>
      </c>
      <c r="N611" t="s">
        <v>6792</v>
      </c>
      <c r="O611">
        <v>1</v>
      </c>
      <c r="P611" t="str">
        <f>+BARRAS[[#This Row],[Barra]]&amp;"_"&amp;BARRAS[[#This Row],[Nivel de tensión]]</f>
        <v>CORRAL_66</v>
      </c>
    </row>
    <row r="612" spans="1:16">
      <c r="A612" t="s">
        <v>355</v>
      </c>
      <c r="B612">
        <v>23</v>
      </c>
      <c r="C612">
        <v>1</v>
      </c>
      <c r="D612" t="s">
        <v>3397</v>
      </c>
      <c r="E612" t="s">
        <v>3419</v>
      </c>
      <c r="F612" t="s">
        <v>3420</v>
      </c>
      <c r="G612">
        <v>16301</v>
      </c>
      <c r="H612" t="s">
        <v>3405</v>
      </c>
      <c r="I612" t="s">
        <v>3391</v>
      </c>
      <c r="J612" t="s">
        <v>3392</v>
      </c>
      <c r="K612" t="s">
        <v>3303</v>
      </c>
      <c r="L612" t="s">
        <v>6778</v>
      </c>
      <c r="M612" t="s">
        <v>6779</v>
      </c>
      <c r="N612" t="s">
        <v>6792</v>
      </c>
      <c r="O612">
        <v>1</v>
      </c>
      <c r="P612" t="str">
        <f>+BARRAS[[#This Row],[Barra]]&amp;"_"&amp;BARRAS[[#This Row],[Nivel de tensión]]</f>
        <v>CORRALES_23</v>
      </c>
    </row>
    <row r="613" spans="1:16">
      <c r="A613" t="s">
        <v>6272</v>
      </c>
      <c r="B613">
        <v>12</v>
      </c>
      <c r="C613">
        <v>1062</v>
      </c>
      <c r="D613" t="s">
        <v>6273</v>
      </c>
      <c r="E613" t="s">
        <v>6274</v>
      </c>
      <c r="F613" t="s">
        <v>6275</v>
      </c>
      <c r="G613">
        <v>16301</v>
      </c>
      <c r="H613" t="s">
        <v>3469</v>
      </c>
      <c r="I613" t="s">
        <v>3391</v>
      </c>
      <c r="J613" t="s">
        <v>3392</v>
      </c>
      <c r="K613" t="s">
        <v>3303</v>
      </c>
      <c r="L613" t="s">
        <v>6778</v>
      </c>
      <c r="M613" t="s">
        <v>6779</v>
      </c>
      <c r="N613" t="s">
        <v>6792</v>
      </c>
      <c r="O613">
        <v>1</v>
      </c>
      <c r="P613" t="str">
        <f>+BARRAS[[#This Row],[Barra]]&amp;"_"&amp;BARRAS[[#This Row],[Nivel de tensión]]</f>
        <v>COSTANERA_12</v>
      </c>
    </row>
    <row r="614" spans="1:16">
      <c r="A614" t="s">
        <v>6272</v>
      </c>
      <c r="B614">
        <v>110</v>
      </c>
      <c r="C614">
        <v>1</v>
      </c>
      <c r="D614" t="s">
        <v>3397</v>
      </c>
      <c r="E614" t="s">
        <v>6276</v>
      </c>
      <c r="F614" t="s">
        <v>3420</v>
      </c>
      <c r="G614">
        <v>16301</v>
      </c>
      <c r="H614" t="s">
        <v>3469</v>
      </c>
      <c r="I614" t="s">
        <v>3391</v>
      </c>
      <c r="J614" t="s">
        <v>3392</v>
      </c>
      <c r="K614" t="s">
        <v>3303</v>
      </c>
      <c r="L614" t="s">
        <v>6778</v>
      </c>
      <c r="M614" t="s">
        <v>6779</v>
      </c>
      <c r="N614" t="s">
        <v>6792</v>
      </c>
      <c r="O614">
        <v>1</v>
      </c>
      <c r="P614" t="str">
        <f>+BARRAS[[#This Row],[Barra]]&amp;"_"&amp;BARRAS[[#This Row],[Nivel de tensión]]</f>
        <v>COSTANERA_110</v>
      </c>
    </row>
    <row r="615" spans="1:16">
      <c r="A615" t="s">
        <v>6627</v>
      </c>
      <c r="B615">
        <v>33</v>
      </c>
      <c r="D615" t="s">
        <v>3680</v>
      </c>
      <c r="E615" t="s">
        <v>3925</v>
      </c>
      <c r="F615" t="s">
        <v>6628</v>
      </c>
      <c r="G615">
        <v>2101</v>
      </c>
      <c r="H615" t="s">
        <v>3405</v>
      </c>
      <c r="I615" t="s">
        <v>3683</v>
      </c>
      <c r="J615" t="s">
        <v>6629</v>
      </c>
      <c r="K615" t="s">
        <v>6315</v>
      </c>
      <c r="L615" t="s">
        <v>6778</v>
      </c>
      <c r="M615" t="s">
        <v>6779</v>
      </c>
      <c r="N615" t="s">
        <v>6792</v>
      </c>
      <c r="O615">
        <v>1</v>
      </c>
      <c r="P615" t="str">
        <f>+BARRAS[[#This Row],[Barra]]&amp;"_"&amp;BARRAS[[#This Row],[Nivel de tensión]]</f>
        <v>CRISTALES_33</v>
      </c>
    </row>
    <row r="616" spans="1:16">
      <c r="A616" t="s">
        <v>6627</v>
      </c>
      <c r="B616">
        <v>220</v>
      </c>
      <c r="D616" t="s">
        <v>3680</v>
      </c>
      <c r="E616" t="s">
        <v>3925</v>
      </c>
      <c r="F616" t="s">
        <v>6628</v>
      </c>
      <c r="G616">
        <v>2101</v>
      </c>
      <c r="H616" t="s">
        <v>3405</v>
      </c>
      <c r="I616" t="s">
        <v>3683</v>
      </c>
      <c r="J616" t="s">
        <v>6629</v>
      </c>
      <c r="K616" t="s">
        <v>6315</v>
      </c>
      <c r="L616" t="s">
        <v>6778</v>
      </c>
      <c r="M616" t="s">
        <v>6779</v>
      </c>
      <c r="N616" t="s">
        <v>6792</v>
      </c>
      <c r="O616">
        <v>1</v>
      </c>
      <c r="P616" t="str">
        <f>+BARRAS[[#This Row],[Barra]]&amp;"_"&amp;BARRAS[[#This Row],[Nivel de tensión]]</f>
        <v>CRISTALES_220</v>
      </c>
    </row>
    <row r="617" spans="1:16">
      <c r="A617" t="s">
        <v>359</v>
      </c>
      <c r="B617">
        <v>220</v>
      </c>
      <c r="C617">
        <v>1</v>
      </c>
      <c r="D617" t="s">
        <v>3397</v>
      </c>
      <c r="E617" t="s">
        <v>6277</v>
      </c>
      <c r="F617" t="s">
        <v>3420</v>
      </c>
      <c r="G617">
        <v>16301</v>
      </c>
      <c r="H617" t="s">
        <v>3405</v>
      </c>
      <c r="I617" t="s">
        <v>3391</v>
      </c>
      <c r="J617" t="s">
        <v>3392</v>
      </c>
      <c r="K617" t="s">
        <v>6315</v>
      </c>
      <c r="L617" t="s">
        <v>6778</v>
      </c>
      <c r="M617" t="s">
        <v>6779</v>
      </c>
      <c r="N617" t="s">
        <v>6792</v>
      </c>
      <c r="O617">
        <v>1</v>
      </c>
      <c r="P617" t="str">
        <f>+BARRAS[[#This Row],[Barra]]&amp;"_"&amp;BARRAS[[#This Row],[Nivel de tensión]]</f>
        <v>CRUCERO_220</v>
      </c>
    </row>
    <row r="618" spans="1:16">
      <c r="A618" t="s">
        <v>6278</v>
      </c>
      <c r="B618">
        <v>220</v>
      </c>
      <c r="C618">
        <v>2811</v>
      </c>
      <c r="D618" t="s">
        <v>3397</v>
      </c>
      <c r="E618" t="s">
        <v>6279</v>
      </c>
      <c r="F618" t="s">
        <v>6280</v>
      </c>
      <c r="G618">
        <v>16301</v>
      </c>
      <c r="H618" t="s">
        <v>3405</v>
      </c>
      <c r="I618" t="s">
        <v>3391</v>
      </c>
      <c r="J618" t="s">
        <v>3392</v>
      </c>
      <c r="K618" t="s">
        <v>6315</v>
      </c>
      <c r="L618" t="s">
        <v>6778</v>
      </c>
      <c r="M618" t="s">
        <v>6779</v>
      </c>
      <c r="N618" t="s">
        <v>6792</v>
      </c>
      <c r="O618">
        <v>1</v>
      </c>
      <c r="P618" t="str">
        <f>+BARRAS[[#This Row],[Barra]]&amp;"_"&amp;BARRAS[[#This Row],[Nivel de tensión]]</f>
        <v>CSP.C.DOMINAD_220</v>
      </c>
    </row>
    <row r="619" spans="1:16">
      <c r="A619" t="s">
        <v>6281</v>
      </c>
      <c r="B619">
        <v>220</v>
      </c>
      <c r="C619">
        <v>1</v>
      </c>
      <c r="D619" t="s">
        <v>3397</v>
      </c>
      <c r="E619" t="s">
        <v>6282</v>
      </c>
      <c r="F619" t="s">
        <v>3420</v>
      </c>
      <c r="G619">
        <v>16301</v>
      </c>
      <c r="H619" t="s">
        <v>3405</v>
      </c>
      <c r="I619" t="s">
        <v>3391</v>
      </c>
      <c r="J619" t="s">
        <v>3392</v>
      </c>
      <c r="K619" t="s">
        <v>6315</v>
      </c>
      <c r="L619" t="s">
        <v>6778</v>
      </c>
      <c r="M619" t="s">
        <v>6779</v>
      </c>
      <c r="N619" t="s">
        <v>6792</v>
      </c>
      <c r="O619">
        <v>1</v>
      </c>
      <c r="P619" t="str">
        <f>+BARRAS[[#This Row],[Barra]]&amp;"_"&amp;BARRAS[[#This Row],[Nivel de tensión]]</f>
        <v>CTIGRE_220</v>
      </c>
    </row>
    <row r="620" spans="1:16">
      <c r="A620" t="s">
        <v>361</v>
      </c>
      <c r="B620">
        <v>220</v>
      </c>
      <c r="C620">
        <v>33</v>
      </c>
      <c r="D620" t="s">
        <v>6283</v>
      </c>
      <c r="E620" t="s">
        <v>6284</v>
      </c>
      <c r="F620" t="s">
        <v>6285</v>
      </c>
      <c r="G620">
        <v>7402</v>
      </c>
      <c r="H620" t="s">
        <v>3405</v>
      </c>
      <c r="I620" t="s">
        <v>3391</v>
      </c>
      <c r="J620" t="s">
        <v>2258</v>
      </c>
      <c r="K620" t="s">
        <v>6315</v>
      </c>
      <c r="L620" t="s">
        <v>6778</v>
      </c>
      <c r="M620" t="s">
        <v>6779</v>
      </c>
      <c r="N620" t="s">
        <v>6792</v>
      </c>
      <c r="O620">
        <v>1</v>
      </c>
      <c r="P620" t="str">
        <f>+BARRAS[[#This Row],[Barra]]&amp;"_"&amp;BARRAS[[#This Row],[Nivel de tensión]]</f>
        <v>CTR_MACHICURA_220</v>
      </c>
    </row>
    <row r="621" spans="1:16">
      <c r="A621" t="s">
        <v>6286</v>
      </c>
      <c r="B621">
        <v>220</v>
      </c>
      <c r="C621">
        <v>1</v>
      </c>
      <c r="D621" t="s">
        <v>3397</v>
      </c>
      <c r="E621" t="s">
        <v>6287</v>
      </c>
      <c r="F621" t="s">
        <v>3420</v>
      </c>
      <c r="G621">
        <v>16301</v>
      </c>
      <c r="H621" t="s">
        <v>3701</v>
      </c>
      <c r="I621" t="s">
        <v>3391</v>
      </c>
      <c r="J621" t="s">
        <v>3392</v>
      </c>
      <c r="K621" t="s">
        <v>6315</v>
      </c>
      <c r="L621" t="s">
        <v>6778</v>
      </c>
      <c r="M621" t="s">
        <v>6779</v>
      </c>
      <c r="N621" t="s">
        <v>6792</v>
      </c>
      <c r="O621">
        <v>1</v>
      </c>
      <c r="P621" t="str">
        <f>+BARRAS[[#This Row],[Barra]]&amp;"_"&amp;BARRAS[[#This Row],[Nivel de tensión]]</f>
        <v>CUMBRES_220</v>
      </c>
    </row>
    <row r="622" spans="1:16">
      <c r="A622" t="s">
        <v>6286</v>
      </c>
      <c r="B622">
        <v>500</v>
      </c>
      <c r="C622">
        <v>1</v>
      </c>
      <c r="D622" t="s">
        <v>3397</v>
      </c>
      <c r="E622" t="s">
        <v>6288</v>
      </c>
      <c r="F622" t="s">
        <v>3420</v>
      </c>
      <c r="G622">
        <v>16301</v>
      </c>
      <c r="H622" t="s">
        <v>3701</v>
      </c>
      <c r="I622" t="s">
        <v>3391</v>
      </c>
      <c r="J622" t="s">
        <v>3392</v>
      </c>
      <c r="K622" t="s">
        <v>6315</v>
      </c>
      <c r="L622" t="s">
        <v>6778</v>
      </c>
      <c r="M622" t="s">
        <v>6779</v>
      </c>
      <c r="N622" t="s">
        <v>6792</v>
      </c>
      <c r="O622">
        <v>1</v>
      </c>
      <c r="P622" t="str">
        <f>+BARRAS[[#This Row],[Barra]]&amp;"_"&amp;BARRAS[[#This Row],[Nivel de tensión]]</f>
        <v>CUMBRES_500</v>
      </c>
    </row>
    <row r="623" spans="1:16">
      <c r="A623" t="s">
        <v>365</v>
      </c>
      <c r="B623">
        <v>23</v>
      </c>
      <c r="C623">
        <v>2840</v>
      </c>
      <c r="D623" t="s">
        <v>3397</v>
      </c>
      <c r="E623" t="s">
        <v>6289</v>
      </c>
      <c r="F623" t="s">
        <v>6290</v>
      </c>
      <c r="G623">
        <v>16301</v>
      </c>
      <c r="H623" t="s">
        <v>3414</v>
      </c>
      <c r="I623" t="s">
        <v>3391</v>
      </c>
      <c r="J623" t="s">
        <v>3392</v>
      </c>
      <c r="K623" t="s">
        <v>3304</v>
      </c>
      <c r="L623" t="s">
        <v>6778</v>
      </c>
      <c r="M623" t="s">
        <v>6779</v>
      </c>
      <c r="N623" t="s">
        <v>6792</v>
      </c>
      <c r="O623">
        <v>1</v>
      </c>
      <c r="P623" t="str">
        <f>+BARRAS[[#This Row],[Barra]]&amp;"_"&amp;BARRAS[[#This Row],[Nivel de tensión]]</f>
        <v>CUNCO_23</v>
      </c>
    </row>
    <row r="624" spans="1:16">
      <c r="A624" t="s">
        <v>365</v>
      </c>
      <c r="B624">
        <v>110</v>
      </c>
      <c r="C624">
        <v>2839</v>
      </c>
      <c r="D624" t="s">
        <v>3397</v>
      </c>
      <c r="E624" t="s">
        <v>6291</v>
      </c>
      <c r="F624" t="s">
        <v>6290</v>
      </c>
      <c r="G624">
        <v>16301</v>
      </c>
      <c r="H624" t="s">
        <v>3414</v>
      </c>
      <c r="I624" t="s">
        <v>3391</v>
      </c>
      <c r="J624" t="s">
        <v>3392</v>
      </c>
      <c r="K624" t="s">
        <v>3304</v>
      </c>
      <c r="L624" t="s">
        <v>6778</v>
      </c>
      <c r="M624" t="s">
        <v>6779</v>
      </c>
      <c r="N624" t="s">
        <v>6792</v>
      </c>
      <c r="O624">
        <v>1</v>
      </c>
      <c r="P624" t="str">
        <f>+BARRAS[[#This Row],[Barra]]&amp;"_"&amp;BARRAS[[#This Row],[Nivel de tensión]]</f>
        <v>CUNCO_110</v>
      </c>
    </row>
    <row r="625" spans="1:16">
      <c r="A625" t="s">
        <v>368</v>
      </c>
      <c r="B625">
        <v>13</v>
      </c>
      <c r="C625">
        <v>125</v>
      </c>
      <c r="D625" t="s">
        <v>6292</v>
      </c>
      <c r="E625" t="s">
        <v>6293</v>
      </c>
      <c r="F625" t="s">
        <v>6294</v>
      </c>
      <c r="G625">
        <v>16301</v>
      </c>
      <c r="H625" t="s">
        <v>3414</v>
      </c>
      <c r="I625" t="s">
        <v>3391</v>
      </c>
      <c r="J625" t="s">
        <v>3392</v>
      </c>
      <c r="K625" t="s">
        <v>3304</v>
      </c>
      <c r="L625" t="s">
        <v>6778</v>
      </c>
      <c r="M625" t="s">
        <v>6779</v>
      </c>
      <c r="N625" t="s">
        <v>6792</v>
      </c>
      <c r="O625">
        <v>1</v>
      </c>
      <c r="P625" t="str">
        <f>+BARRAS[[#This Row],[Barra]]&amp;"_"&amp;BARRAS[[#This Row],[Nivel de tensión]]</f>
        <v>CURACAUTIN_13</v>
      </c>
    </row>
    <row r="626" spans="1:16">
      <c r="A626" t="s">
        <v>368</v>
      </c>
      <c r="B626">
        <v>66</v>
      </c>
      <c r="C626">
        <v>1</v>
      </c>
      <c r="D626" t="s">
        <v>3397</v>
      </c>
      <c r="E626" t="s">
        <v>6295</v>
      </c>
      <c r="F626" t="s">
        <v>3420</v>
      </c>
      <c r="G626">
        <v>16301</v>
      </c>
      <c r="H626" t="s">
        <v>3414</v>
      </c>
      <c r="I626" t="s">
        <v>3391</v>
      </c>
      <c r="J626" t="s">
        <v>3392</v>
      </c>
      <c r="K626" t="s">
        <v>3304</v>
      </c>
      <c r="L626" t="s">
        <v>6778</v>
      </c>
      <c r="M626" t="s">
        <v>6779</v>
      </c>
      <c r="N626" t="s">
        <v>6792</v>
      </c>
      <c r="O626">
        <v>1</v>
      </c>
      <c r="P626" t="str">
        <f>+BARRAS[[#This Row],[Barra]]&amp;"_"&amp;BARRAS[[#This Row],[Nivel de tensión]]</f>
        <v>CURACAUTIN_66</v>
      </c>
    </row>
    <row r="627" spans="1:16">
      <c r="A627" t="s">
        <v>371</v>
      </c>
      <c r="B627">
        <v>12</v>
      </c>
      <c r="C627">
        <v>727</v>
      </c>
      <c r="D627" t="s">
        <v>6296</v>
      </c>
      <c r="E627" t="s">
        <v>6297</v>
      </c>
      <c r="F627" t="s">
        <v>6298</v>
      </c>
      <c r="G627">
        <v>16301</v>
      </c>
      <c r="H627" t="s">
        <v>3469</v>
      </c>
      <c r="I627" t="s">
        <v>3391</v>
      </c>
      <c r="J627" t="s">
        <v>3392</v>
      </c>
      <c r="K627" t="s">
        <v>3303</v>
      </c>
      <c r="L627" t="s">
        <v>6778</v>
      </c>
      <c r="M627" t="s">
        <v>6779</v>
      </c>
      <c r="N627" t="s">
        <v>6792</v>
      </c>
      <c r="O627">
        <v>1</v>
      </c>
      <c r="P627" t="str">
        <f>+BARRAS[[#This Row],[Barra]]&amp;"_"&amp;BARRAS[[#This Row],[Nivel de tensión]]</f>
        <v>CURACAVI_12</v>
      </c>
    </row>
    <row r="628" spans="1:16">
      <c r="A628" t="s">
        <v>371</v>
      </c>
      <c r="B628">
        <v>44</v>
      </c>
      <c r="C628">
        <v>1</v>
      </c>
      <c r="D628" t="s">
        <v>3397</v>
      </c>
      <c r="E628" t="s">
        <v>6299</v>
      </c>
      <c r="F628" t="s">
        <v>3420</v>
      </c>
      <c r="G628">
        <v>16301</v>
      </c>
      <c r="H628" t="s">
        <v>3469</v>
      </c>
      <c r="I628" t="s">
        <v>3391</v>
      </c>
      <c r="J628" t="s">
        <v>3392</v>
      </c>
      <c r="K628" t="s">
        <v>3303</v>
      </c>
      <c r="L628" t="s">
        <v>6778</v>
      </c>
      <c r="M628" t="s">
        <v>6779</v>
      </c>
      <c r="N628" t="s">
        <v>6792</v>
      </c>
      <c r="O628">
        <v>1</v>
      </c>
      <c r="P628" t="str">
        <f>+BARRAS[[#This Row],[Barra]]&amp;"_"&amp;BARRAS[[#This Row],[Nivel de tensión]]</f>
        <v>CURACAVI_44</v>
      </c>
    </row>
    <row r="629" spans="1:16">
      <c r="A629" t="s">
        <v>6300</v>
      </c>
      <c r="B629">
        <v>13</v>
      </c>
      <c r="C629">
        <v>148</v>
      </c>
      <c r="D629" t="s">
        <v>6301</v>
      </c>
      <c r="E629" t="s">
        <v>6302</v>
      </c>
      <c r="F629" t="s">
        <v>6303</v>
      </c>
      <c r="G629">
        <v>16301</v>
      </c>
      <c r="H629" t="s">
        <v>3414</v>
      </c>
      <c r="I629" t="s">
        <v>3391</v>
      </c>
      <c r="J629" t="s">
        <v>3392</v>
      </c>
      <c r="K629" t="s">
        <v>3304</v>
      </c>
      <c r="L629" t="s">
        <v>6778</v>
      </c>
      <c r="M629" t="s">
        <v>6779</v>
      </c>
      <c r="N629" t="s">
        <v>6792</v>
      </c>
      <c r="O629">
        <v>1</v>
      </c>
      <c r="P629" t="str">
        <f>+BARRAS[[#This Row],[Barra]]&amp;"_"&amp;BARRAS[[#This Row],[Nivel de tensión]]</f>
        <v>CURANILAHUE_13</v>
      </c>
    </row>
    <row r="630" spans="1:16">
      <c r="A630" t="s">
        <v>6300</v>
      </c>
      <c r="B630">
        <v>66</v>
      </c>
      <c r="C630">
        <v>1</v>
      </c>
      <c r="D630" t="s">
        <v>3397</v>
      </c>
      <c r="E630" t="s">
        <v>6304</v>
      </c>
      <c r="F630" t="s">
        <v>3420</v>
      </c>
      <c r="G630">
        <v>16301</v>
      </c>
      <c r="H630" t="s">
        <v>3414</v>
      </c>
      <c r="I630" t="s">
        <v>3391</v>
      </c>
      <c r="J630" t="s">
        <v>3392</v>
      </c>
      <c r="K630" t="s">
        <v>3304</v>
      </c>
      <c r="L630" t="s">
        <v>6778</v>
      </c>
      <c r="M630" t="s">
        <v>6779</v>
      </c>
      <c r="N630" t="s">
        <v>6792</v>
      </c>
      <c r="O630">
        <v>1</v>
      </c>
      <c r="P630" t="str">
        <f>+BARRAS[[#This Row],[Barra]]&amp;"_"&amp;BARRAS[[#This Row],[Nivel de tensión]]</f>
        <v>CURANILAHUE_66</v>
      </c>
    </row>
    <row r="631" spans="1:16">
      <c r="A631" t="s">
        <v>6305</v>
      </c>
      <c r="B631">
        <v>66</v>
      </c>
      <c r="C631">
        <v>1</v>
      </c>
      <c r="D631" t="s">
        <v>3397</v>
      </c>
      <c r="E631" t="s">
        <v>6306</v>
      </c>
      <c r="F631" t="s">
        <v>3420</v>
      </c>
      <c r="G631">
        <v>16301</v>
      </c>
      <c r="H631" t="s">
        <v>3414</v>
      </c>
      <c r="I631" t="s">
        <v>3391</v>
      </c>
      <c r="J631" t="s">
        <v>3392</v>
      </c>
      <c r="K631" t="s">
        <v>3304</v>
      </c>
      <c r="L631" t="s">
        <v>6778</v>
      </c>
      <c r="M631" t="s">
        <v>6779</v>
      </c>
      <c r="N631" t="s">
        <v>6792</v>
      </c>
      <c r="O631">
        <v>1</v>
      </c>
      <c r="P631" t="str">
        <f>+BARRAS[[#This Row],[Barra]]&amp;"_"&amp;BARRAS[[#This Row],[Nivel de tensión]]</f>
        <v>CURANILAHUEN_66</v>
      </c>
    </row>
    <row r="632" spans="1:16">
      <c r="A632" t="s">
        <v>401</v>
      </c>
      <c r="B632">
        <v>66</v>
      </c>
      <c r="C632">
        <v>1</v>
      </c>
      <c r="D632" t="s">
        <v>3397</v>
      </c>
      <c r="E632" t="s">
        <v>4824</v>
      </c>
      <c r="F632" t="s">
        <v>3420</v>
      </c>
      <c r="G632">
        <v>16301</v>
      </c>
      <c r="H632" t="s">
        <v>3414</v>
      </c>
      <c r="I632" t="s">
        <v>3391</v>
      </c>
      <c r="J632" t="s">
        <v>3392</v>
      </c>
      <c r="K632" t="s">
        <v>3304</v>
      </c>
      <c r="L632" t="s">
        <v>6778</v>
      </c>
      <c r="M632" t="s">
        <v>6779</v>
      </c>
      <c r="N632" t="s">
        <v>6792</v>
      </c>
      <c r="O632">
        <v>1</v>
      </c>
      <c r="P632" t="str">
        <f>+BARRAS[[#This Row],[Barra]]&amp;"_"&amp;BARRAS[[#This Row],[Nivel de tensión]]</f>
        <v>DUQUECO_66</v>
      </c>
    </row>
    <row r="633" spans="1:16">
      <c r="A633" t="s">
        <v>401</v>
      </c>
      <c r="B633">
        <v>220</v>
      </c>
      <c r="C633">
        <v>1</v>
      </c>
      <c r="D633" t="s">
        <v>3397</v>
      </c>
      <c r="E633" t="s">
        <v>4825</v>
      </c>
      <c r="F633" t="s">
        <v>3420</v>
      </c>
      <c r="G633">
        <v>16301</v>
      </c>
      <c r="H633" t="s">
        <v>3409</v>
      </c>
      <c r="I633" t="s">
        <v>3391</v>
      </c>
      <c r="J633" t="s">
        <v>3392</v>
      </c>
      <c r="K633" t="s">
        <v>6315</v>
      </c>
      <c r="L633" t="s">
        <v>6778</v>
      </c>
      <c r="M633" t="s">
        <v>6779</v>
      </c>
      <c r="N633" t="s">
        <v>6792</v>
      </c>
      <c r="O633">
        <v>1</v>
      </c>
      <c r="P633" t="str">
        <f>+BARRAS[[#This Row],[Barra]]&amp;"_"&amp;BARRAS[[#This Row],[Nivel de tensión]]</f>
        <v>DUQUECO_220</v>
      </c>
    </row>
    <row r="634" spans="1:16">
      <c r="A634" t="s">
        <v>405</v>
      </c>
      <c r="B634">
        <v>13</v>
      </c>
      <c r="C634">
        <v>369</v>
      </c>
      <c r="D634" t="s">
        <v>3433</v>
      </c>
      <c r="E634" t="s">
        <v>3434</v>
      </c>
      <c r="F634" t="s">
        <v>3435</v>
      </c>
      <c r="G634">
        <v>16301</v>
      </c>
      <c r="H634" t="s">
        <v>3400</v>
      </c>
      <c r="I634" t="s">
        <v>3391</v>
      </c>
      <c r="J634" t="s">
        <v>3392</v>
      </c>
      <c r="K634" t="s">
        <v>3301</v>
      </c>
      <c r="L634" t="s">
        <v>6778</v>
      </c>
      <c r="M634" t="s">
        <v>6779</v>
      </c>
      <c r="N634" t="s">
        <v>6792</v>
      </c>
      <c r="O634">
        <v>1</v>
      </c>
      <c r="P634" t="str">
        <f>+BARRAS[[#This Row],[Barra]]&amp;"_"&amp;BARRAS[[#This Row],[Nivel de tensión]]</f>
        <v>E.PENON_13</v>
      </c>
    </row>
    <row r="635" spans="1:16">
      <c r="A635" t="s">
        <v>405</v>
      </c>
      <c r="B635">
        <v>23</v>
      </c>
      <c r="C635">
        <v>228</v>
      </c>
      <c r="D635" t="s">
        <v>4826</v>
      </c>
      <c r="E635" t="s">
        <v>4827</v>
      </c>
      <c r="F635" t="s">
        <v>3435</v>
      </c>
      <c r="G635">
        <v>16301</v>
      </c>
      <c r="H635" t="s">
        <v>3400</v>
      </c>
      <c r="I635" t="s">
        <v>3391</v>
      </c>
      <c r="J635" t="s">
        <v>3392</v>
      </c>
      <c r="K635" t="s">
        <v>3301</v>
      </c>
      <c r="L635" t="s">
        <v>6778</v>
      </c>
      <c r="M635" t="s">
        <v>6779</v>
      </c>
      <c r="N635" t="s">
        <v>6792</v>
      </c>
      <c r="O635">
        <v>1</v>
      </c>
      <c r="P635" t="str">
        <f>+BARRAS[[#This Row],[Barra]]&amp;"_"&amp;BARRAS[[#This Row],[Nivel de tensión]]</f>
        <v>E.PENON_23</v>
      </c>
    </row>
    <row r="636" spans="1:16">
      <c r="A636" t="s">
        <v>405</v>
      </c>
      <c r="B636">
        <v>66</v>
      </c>
      <c r="C636">
        <v>1</v>
      </c>
      <c r="D636" t="s">
        <v>3397</v>
      </c>
      <c r="E636" t="s">
        <v>4828</v>
      </c>
      <c r="F636" t="s">
        <v>3420</v>
      </c>
      <c r="G636">
        <v>16301</v>
      </c>
      <c r="H636" t="s">
        <v>3400</v>
      </c>
      <c r="I636" t="s">
        <v>3391</v>
      </c>
      <c r="J636" t="s">
        <v>3392</v>
      </c>
      <c r="K636" t="s">
        <v>3301</v>
      </c>
      <c r="L636" t="s">
        <v>6778</v>
      </c>
      <c r="M636" t="s">
        <v>6779</v>
      </c>
      <c r="N636" t="s">
        <v>6792</v>
      </c>
      <c r="O636">
        <v>1</v>
      </c>
      <c r="P636" t="str">
        <f>+BARRAS[[#This Row],[Barra]]&amp;"_"&amp;BARRAS[[#This Row],[Nivel de tensión]]</f>
        <v>E.PENON_66</v>
      </c>
    </row>
    <row r="637" spans="1:16">
      <c r="A637" t="s">
        <v>405</v>
      </c>
      <c r="B637">
        <v>110</v>
      </c>
      <c r="C637">
        <v>322</v>
      </c>
      <c r="D637" t="s">
        <v>4829</v>
      </c>
      <c r="E637" t="s">
        <v>4830</v>
      </c>
      <c r="F637" t="s">
        <v>3435</v>
      </c>
      <c r="G637">
        <v>16301</v>
      </c>
      <c r="H637" t="s">
        <v>3400</v>
      </c>
      <c r="I637" t="s">
        <v>3391</v>
      </c>
      <c r="J637" t="s">
        <v>3392</v>
      </c>
      <c r="K637" t="s">
        <v>3301</v>
      </c>
      <c r="L637" t="s">
        <v>6778</v>
      </c>
      <c r="M637" t="s">
        <v>6779</v>
      </c>
      <c r="N637" t="s">
        <v>6792</v>
      </c>
      <c r="O637">
        <v>1</v>
      </c>
      <c r="P637" t="str">
        <f>+BARRAS[[#This Row],[Barra]]&amp;"_"&amp;BARRAS[[#This Row],[Nivel de tensión]]</f>
        <v>E.PENON_110</v>
      </c>
    </row>
    <row r="638" spans="1:16">
      <c r="A638" t="s">
        <v>4831</v>
      </c>
      <c r="B638">
        <v>13</v>
      </c>
      <c r="C638">
        <v>118</v>
      </c>
      <c r="D638" t="s">
        <v>4832</v>
      </c>
      <c r="E638" t="s">
        <v>4833</v>
      </c>
      <c r="F638" t="s">
        <v>4834</v>
      </c>
      <c r="G638">
        <v>16301</v>
      </c>
      <c r="H638" t="s">
        <v>3400</v>
      </c>
      <c r="I638" t="s">
        <v>3391</v>
      </c>
      <c r="J638" t="s">
        <v>3392</v>
      </c>
      <c r="K638" t="s">
        <v>3301</v>
      </c>
      <c r="L638" t="s">
        <v>6778</v>
      </c>
      <c r="M638" t="s">
        <v>6779</v>
      </c>
      <c r="N638" t="s">
        <v>6792</v>
      </c>
      <c r="O638">
        <v>1</v>
      </c>
      <c r="P638" t="str">
        <f>+BARRAS[[#This Row],[Barra]]&amp;"_"&amp;BARRAS[[#This Row],[Nivel de tensión]]</f>
        <v>E.SAUCE_13</v>
      </c>
    </row>
    <row r="639" spans="1:16">
      <c r="A639" t="s">
        <v>4831</v>
      </c>
      <c r="B639">
        <v>66</v>
      </c>
      <c r="C639">
        <v>1</v>
      </c>
      <c r="D639" t="s">
        <v>3397</v>
      </c>
      <c r="E639" t="s">
        <v>4835</v>
      </c>
      <c r="F639" t="s">
        <v>3420</v>
      </c>
      <c r="G639">
        <v>16301</v>
      </c>
      <c r="H639" t="s">
        <v>3400</v>
      </c>
      <c r="I639" t="s">
        <v>3391</v>
      </c>
      <c r="J639" t="s">
        <v>3392</v>
      </c>
      <c r="K639" t="s">
        <v>3301</v>
      </c>
      <c r="L639" t="s">
        <v>6778</v>
      </c>
      <c r="M639" t="s">
        <v>6779</v>
      </c>
      <c r="N639" t="s">
        <v>6792</v>
      </c>
      <c r="O639">
        <v>1</v>
      </c>
      <c r="P639" t="str">
        <f>+BARRAS[[#This Row],[Barra]]&amp;"_"&amp;BARRAS[[#This Row],[Nivel de tensión]]</f>
        <v>E.SAUCE_66</v>
      </c>
    </row>
    <row r="640" spans="1:16">
      <c r="A640" t="s">
        <v>6780</v>
      </c>
      <c r="B640">
        <v>220</v>
      </c>
      <c r="D640" t="s">
        <v>3680</v>
      </c>
      <c r="E640" t="s">
        <v>3925</v>
      </c>
      <c r="F640" t="s">
        <v>6781</v>
      </c>
      <c r="G640">
        <v>2302</v>
      </c>
      <c r="H640" t="s">
        <v>3405</v>
      </c>
      <c r="I640" t="s">
        <v>3683</v>
      </c>
      <c r="J640" t="s">
        <v>6782</v>
      </c>
      <c r="K640" t="s">
        <v>6315</v>
      </c>
      <c r="L640" t="s">
        <v>6778</v>
      </c>
      <c r="M640" t="s">
        <v>6779</v>
      </c>
      <c r="N640" t="s">
        <v>6792</v>
      </c>
      <c r="O640">
        <v>1</v>
      </c>
      <c r="P640" t="str">
        <f>+BARRAS[[#This Row],[Barra]]&amp;"_"&amp;BARRAS[[#This Row],[Nivel de tensión]]</f>
        <v>EB3_220</v>
      </c>
    </row>
    <row r="641" spans="1:16">
      <c r="A641" t="s">
        <v>4836</v>
      </c>
      <c r="B641">
        <v>13</v>
      </c>
      <c r="C641">
        <v>321</v>
      </c>
      <c r="D641" t="s">
        <v>4837</v>
      </c>
      <c r="E641" t="s">
        <v>4838</v>
      </c>
      <c r="F641" t="s">
        <v>4839</v>
      </c>
      <c r="G641">
        <v>16301</v>
      </c>
      <c r="H641" t="s">
        <v>3414</v>
      </c>
      <c r="I641" t="s">
        <v>3391</v>
      </c>
      <c r="J641" t="s">
        <v>3392</v>
      </c>
      <c r="K641" t="s">
        <v>3304</v>
      </c>
      <c r="L641" t="s">
        <v>6778</v>
      </c>
      <c r="M641" t="s">
        <v>6779</v>
      </c>
      <c r="N641" t="s">
        <v>6792</v>
      </c>
      <c r="O641">
        <v>1</v>
      </c>
      <c r="P641" t="str">
        <f>+BARRAS[[#This Row],[Barra]]&amp;"_"&amp;BARRAS[[#This Row],[Nivel de tensión]]</f>
        <v>EJERCITO_13</v>
      </c>
    </row>
    <row r="642" spans="1:16">
      <c r="A642" t="s">
        <v>4836</v>
      </c>
      <c r="B642">
        <v>66</v>
      </c>
      <c r="C642">
        <v>1</v>
      </c>
      <c r="D642" t="s">
        <v>3397</v>
      </c>
      <c r="E642" t="s">
        <v>4840</v>
      </c>
      <c r="F642" t="s">
        <v>3420</v>
      </c>
      <c r="G642">
        <v>16301</v>
      </c>
      <c r="H642" t="s">
        <v>3414</v>
      </c>
      <c r="I642" t="s">
        <v>3391</v>
      </c>
      <c r="J642" t="s">
        <v>3392</v>
      </c>
      <c r="K642" t="s">
        <v>3304</v>
      </c>
      <c r="L642" t="s">
        <v>6778</v>
      </c>
      <c r="M642" t="s">
        <v>6779</v>
      </c>
      <c r="N642" t="s">
        <v>6792</v>
      </c>
      <c r="O642">
        <v>1</v>
      </c>
      <c r="P642" t="str">
        <f>+BARRAS[[#This Row],[Barra]]&amp;"_"&amp;BARRAS[[#This Row],[Nivel de tensión]]</f>
        <v>EJERCITO_66</v>
      </c>
    </row>
    <row r="643" spans="1:16">
      <c r="A643" t="s">
        <v>4841</v>
      </c>
      <c r="B643">
        <v>154</v>
      </c>
      <c r="C643">
        <v>1144</v>
      </c>
      <c r="D643" t="s">
        <v>4842</v>
      </c>
      <c r="E643" t="s">
        <v>4843</v>
      </c>
      <c r="F643" t="s">
        <v>4844</v>
      </c>
      <c r="G643">
        <v>16301</v>
      </c>
      <c r="H643" t="s">
        <v>3405</v>
      </c>
      <c r="I643" t="s">
        <v>3391</v>
      </c>
      <c r="J643" t="s">
        <v>3392</v>
      </c>
      <c r="K643" t="s">
        <v>6315</v>
      </c>
      <c r="L643" t="s">
        <v>6778</v>
      </c>
      <c r="M643" t="s">
        <v>6779</v>
      </c>
      <c r="N643" t="s">
        <v>6792</v>
      </c>
      <c r="O643">
        <v>1</v>
      </c>
      <c r="P643" t="str">
        <f>+BARRAS[[#This Row],[Barra]]&amp;"_"&amp;BARRAS[[#This Row],[Nivel de tensión]]</f>
        <v>EKA.CHILE_154</v>
      </c>
    </row>
    <row r="644" spans="1:16">
      <c r="A644" t="s">
        <v>415</v>
      </c>
      <c r="B644">
        <v>220</v>
      </c>
      <c r="C644">
        <v>1259</v>
      </c>
      <c r="D644" t="s">
        <v>4845</v>
      </c>
      <c r="E644" t="s">
        <v>4846</v>
      </c>
      <c r="F644" t="s">
        <v>4847</v>
      </c>
      <c r="G644">
        <v>16301</v>
      </c>
      <c r="H644" t="s">
        <v>3409</v>
      </c>
      <c r="I644" t="s">
        <v>3391</v>
      </c>
      <c r="J644" t="s">
        <v>3392</v>
      </c>
      <c r="K644" t="s">
        <v>6315</v>
      </c>
      <c r="L644" t="s">
        <v>6778</v>
      </c>
      <c r="M644" t="s">
        <v>6779</v>
      </c>
      <c r="N644" t="s">
        <v>6792</v>
      </c>
      <c r="O644">
        <v>1</v>
      </c>
      <c r="P644" t="str">
        <f>+BARRAS[[#This Row],[Barra]]&amp;"_"&amp;BARRAS[[#This Row],[Nivel de tensión]]</f>
        <v>EL.LLANO_220</v>
      </c>
    </row>
    <row r="645" spans="1:16">
      <c r="A645" t="s">
        <v>4848</v>
      </c>
      <c r="B645">
        <v>23</v>
      </c>
      <c r="C645">
        <v>2079</v>
      </c>
      <c r="D645" t="s">
        <v>4849</v>
      </c>
      <c r="E645" t="s">
        <v>4850</v>
      </c>
      <c r="F645" t="s">
        <v>4851</v>
      </c>
      <c r="G645">
        <v>16301</v>
      </c>
      <c r="H645" t="s">
        <v>3405</v>
      </c>
      <c r="I645" t="s">
        <v>3391</v>
      </c>
      <c r="J645" t="s">
        <v>3392</v>
      </c>
      <c r="K645" t="s">
        <v>6315</v>
      </c>
      <c r="L645" t="s">
        <v>6778</v>
      </c>
      <c r="M645" t="s">
        <v>6779</v>
      </c>
      <c r="N645" t="s">
        <v>6792</v>
      </c>
      <c r="O645">
        <v>1</v>
      </c>
      <c r="P645" t="str">
        <f>+BARRAS[[#This Row],[Barra]]&amp;"_"&amp;BARRAS[[#This Row],[Nivel de tensión]]</f>
        <v>EL_LINCE_23</v>
      </c>
    </row>
    <row r="646" spans="1:16">
      <c r="A646" t="s">
        <v>4848</v>
      </c>
      <c r="B646">
        <v>110</v>
      </c>
      <c r="C646">
        <v>1</v>
      </c>
      <c r="D646" t="s">
        <v>3397</v>
      </c>
      <c r="E646" t="s">
        <v>4852</v>
      </c>
      <c r="F646" t="s">
        <v>3420</v>
      </c>
      <c r="G646">
        <v>16301</v>
      </c>
      <c r="H646" t="s">
        <v>3405</v>
      </c>
      <c r="I646" t="s">
        <v>3391</v>
      </c>
      <c r="J646" t="s">
        <v>3392</v>
      </c>
      <c r="K646" t="s">
        <v>6315</v>
      </c>
      <c r="L646" t="s">
        <v>6778</v>
      </c>
      <c r="M646" t="s">
        <v>6779</v>
      </c>
      <c r="N646" t="s">
        <v>6792</v>
      </c>
      <c r="O646">
        <v>1</v>
      </c>
      <c r="P646" t="str">
        <f>+BARRAS[[#This Row],[Barra]]&amp;"_"&amp;BARRAS[[#This Row],[Nivel de tensión]]</f>
        <v>EL_LINCE_110</v>
      </c>
    </row>
    <row r="647" spans="1:16">
      <c r="A647" t="s">
        <v>419</v>
      </c>
      <c r="B647">
        <v>23</v>
      </c>
      <c r="C647">
        <v>732</v>
      </c>
      <c r="D647" t="s">
        <v>4853</v>
      </c>
      <c r="E647" t="s">
        <v>4854</v>
      </c>
      <c r="F647" t="s">
        <v>4855</v>
      </c>
      <c r="G647">
        <v>16301</v>
      </c>
      <c r="H647" t="s">
        <v>3396</v>
      </c>
      <c r="I647" t="s">
        <v>3391</v>
      </c>
      <c r="J647" t="s">
        <v>3392</v>
      </c>
      <c r="K647" t="s">
        <v>6315</v>
      </c>
      <c r="L647" t="s">
        <v>6778</v>
      </c>
      <c r="M647" t="s">
        <v>6779</v>
      </c>
      <c r="N647" t="s">
        <v>6792</v>
      </c>
      <c r="O647">
        <v>1</v>
      </c>
      <c r="P647" t="str">
        <f>+BARRAS[[#This Row],[Barra]]&amp;"_"&amp;BARRAS[[#This Row],[Nivel de tensión]]</f>
        <v>EL_MANZANO_23</v>
      </c>
    </row>
    <row r="648" spans="1:16">
      <c r="A648" t="s">
        <v>419</v>
      </c>
      <c r="B648">
        <v>220</v>
      </c>
      <c r="C648">
        <v>1</v>
      </c>
      <c r="D648" t="s">
        <v>3397</v>
      </c>
      <c r="E648" t="s">
        <v>4856</v>
      </c>
      <c r="F648" t="s">
        <v>3420</v>
      </c>
      <c r="G648">
        <v>16301</v>
      </c>
      <c r="H648" t="s">
        <v>3396</v>
      </c>
      <c r="I648" t="s">
        <v>3391</v>
      </c>
      <c r="J648" t="s">
        <v>3392</v>
      </c>
      <c r="K648" t="s">
        <v>6315</v>
      </c>
      <c r="L648" t="s">
        <v>6778</v>
      </c>
      <c r="M648" t="s">
        <v>6779</v>
      </c>
      <c r="N648" t="s">
        <v>6792</v>
      </c>
      <c r="O648">
        <v>1</v>
      </c>
      <c r="P648" t="str">
        <f>+BARRAS[[#This Row],[Barra]]&amp;"_"&amp;BARRAS[[#This Row],[Nivel de tensión]]</f>
        <v>EL_MANZANO_220</v>
      </c>
    </row>
    <row r="649" spans="1:16">
      <c r="A649" t="s">
        <v>422</v>
      </c>
      <c r="B649">
        <v>13</v>
      </c>
      <c r="C649">
        <v>1001</v>
      </c>
      <c r="D649" t="s">
        <v>4857</v>
      </c>
      <c r="E649" t="s">
        <v>4858</v>
      </c>
      <c r="F649" t="s">
        <v>4859</v>
      </c>
      <c r="G649">
        <v>16301</v>
      </c>
      <c r="H649" t="s">
        <v>3418</v>
      </c>
      <c r="I649" t="s">
        <v>3391</v>
      </c>
      <c r="J649" t="s">
        <v>3392</v>
      </c>
      <c r="K649" t="s">
        <v>3302</v>
      </c>
      <c r="L649" t="s">
        <v>6778</v>
      </c>
      <c r="M649" t="s">
        <v>6779</v>
      </c>
      <c r="N649" t="s">
        <v>6792</v>
      </c>
      <c r="O649">
        <v>1</v>
      </c>
      <c r="P649" t="str">
        <f>+BARRAS[[#This Row],[Barra]]&amp;"_"&amp;BARRAS[[#This Row],[Nivel de tensión]]</f>
        <v>EL_MELON_13</v>
      </c>
    </row>
    <row r="650" spans="1:16">
      <c r="A650" t="s">
        <v>422</v>
      </c>
      <c r="B650">
        <v>44</v>
      </c>
      <c r="C650">
        <v>1</v>
      </c>
      <c r="D650" t="s">
        <v>3397</v>
      </c>
      <c r="E650" t="s">
        <v>4860</v>
      </c>
      <c r="F650" t="s">
        <v>3420</v>
      </c>
      <c r="G650">
        <v>16301</v>
      </c>
      <c r="H650" t="s">
        <v>3418</v>
      </c>
      <c r="I650" t="s">
        <v>3391</v>
      </c>
      <c r="J650" t="s">
        <v>3392</v>
      </c>
      <c r="K650" t="s">
        <v>3302</v>
      </c>
      <c r="L650" t="s">
        <v>6778</v>
      </c>
      <c r="M650" t="s">
        <v>6779</v>
      </c>
      <c r="N650" t="s">
        <v>6792</v>
      </c>
      <c r="O650">
        <v>1</v>
      </c>
      <c r="P650" t="str">
        <f>+BARRAS[[#This Row],[Barra]]&amp;"_"&amp;BARRAS[[#This Row],[Nivel de tensión]]</f>
        <v>EL_MELON_44</v>
      </c>
    </row>
    <row r="651" spans="1:16">
      <c r="A651" t="s">
        <v>4861</v>
      </c>
      <c r="B651">
        <v>110</v>
      </c>
      <c r="C651">
        <v>2326</v>
      </c>
      <c r="D651" t="s">
        <v>4862</v>
      </c>
      <c r="E651" t="s">
        <v>4863</v>
      </c>
      <c r="F651" t="s">
        <v>4864</v>
      </c>
      <c r="G651">
        <v>16301</v>
      </c>
      <c r="H651" t="s">
        <v>3396</v>
      </c>
      <c r="I651" t="s">
        <v>3391</v>
      </c>
      <c r="J651" t="s">
        <v>3392</v>
      </c>
      <c r="K651" t="s">
        <v>6315</v>
      </c>
      <c r="L651" t="s">
        <v>6778</v>
      </c>
      <c r="M651" t="s">
        <v>6779</v>
      </c>
      <c r="N651" t="s">
        <v>6792</v>
      </c>
      <c r="O651">
        <v>1</v>
      </c>
      <c r="P651" t="str">
        <f>+BARRAS[[#This Row],[Barra]]&amp;"_"&amp;BARRAS[[#This Row],[Nivel de tensión]]</f>
        <v>EL_NEGRO_110</v>
      </c>
    </row>
    <row r="652" spans="1:16">
      <c r="A652" t="s">
        <v>4865</v>
      </c>
      <c r="B652">
        <v>23</v>
      </c>
      <c r="C652">
        <v>1</v>
      </c>
      <c r="D652" t="s">
        <v>3397</v>
      </c>
      <c r="E652" t="s">
        <v>3419</v>
      </c>
      <c r="F652" t="s">
        <v>3420</v>
      </c>
      <c r="G652">
        <v>16301</v>
      </c>
      <c r="H652" t="s">
        <v>3405</v>
      </c>
      <c r="I652" t="s">
        <v>3391</v>
      </c>
      <c r="J652" t="s">
        <v>3392</v>
      </c>
      <c r="K652" t="s">
        <v>6315</v>
      </c>
      <c r="L652" t="s">
        <v>6778</v>
      </c>
      <c r="M652" t="s">
        <v>6779</v>
      </c>
      <c r="N652" t="s">
        <v>6792</v>
      </c>
      <c r="O652">
        <v>1</v>
      </c>
      <c r="P652" t="str">
        <f>+BARRAS[[#This Row],[Barra]]&amp;"_"&amp;BARRAS[[#This Row],[Nivel de tensión]]</f>
        <v>EL_PASO_23</v>
      </c>
    </row>
    <row r="653" spans="1:16">
      <c r="A653" t="s">
        <v>4865</v>
      </c>
      <c r="B653">
        <v>220</v>
      </c>
      <c r="C653">
        <v>1</v>
      </c>
      <c r="D653" t="s">
        <v>3397</v>
      </c>
      <c r="E653" t="s">
        <v>3419</v>
      </c>
      <c r="F653" t="s">
        <v>3420</v>
      </c>
      <c r="G653">
        <v>16301</v>
      </c>
      <c r="H653" t="s">
        <v>3405</v>
      </c>
      <c r="I653" t="s">
        <v>3391</v>
      </c>
      <c r="J653" t="s">
        <v>3392</v>
      </c>
      <c r="K653" t="s">
        <v>6315</v>
      </c>
      <c r="L653" t="s">
        <v>6778</v>
      </c>
      <c r="M653" t="s">
        <v>6779</v>
      </c>
      <c r="N653" t="s">
        <v>6792</v>
      </c>
      <c r="O653">
        <v>1</v>
      </c>
      <c r="P653" t="str">
        <f>+BARRAS[[#This Row],[Barra]]&amp;"_"&amp;BARRAS[[#This Row],[Nivel de tensión]]</f>
        <v>EL_PASO_220</v>
      </c>
    </row>
    <row r="654" spans="1:16">
      <c r="A654" t="s">
        <v>4866</v>
      </c>
      <c r="B654">
        <v>110</v>
      </c>
      <c r="C654">
        <v>1</v>
      </c>
      <c r="D654" t="s">
        <v>3397</v>
      </c>
      <c r="E654" t="s">
        <v>4867</v>
      </c>
      <c r="F654" t="s">
        <v>3420</v>
      </c>
      <c r="G654">
        <v>16301</v>
      </c>
      <c r="H654" t="s">
        <v>3469</v>
      </c>
      <c r="I654" t="s">
        <v>3391</v>
      </c>
      <c r="J654" t="s">
        <v>3392</v>
      </c>
      <c r="K654" t="s">
        <v>3303</v>
      </c>
      <c r="L654" t="s">
        <v>6778</v>
      </c>
      <c r="M654" t="s">
        <v>6779</v>
      </c>
      <c r="N654" t="s">
        <v>6792</v>
      </c>
      <c r="O654">
        <v>1</v>
      </c>
      <c r="P654" t="str">
        <f>+BARRAS[[#This Row],[Barra]]&amp;"_"&amp;BARRAS[[#This Row],[Nivel de tensión]]</f>
        <v>EL_SALTO_110</v>
      </c>
    </row>
    <row r="655" spans="1:16">
      <c r="A655" t="s">
        <v>4866</v>
      </c>
      <c r="B655">
        <v>220</v>
      </c>
      <c r="C655">
        <v>1</v>
      </c>
      <c r="D655" t="s">
        <v>3397</v>
      </c>
      <c r="E655" t="s">
        <v>4868</v>
      </c>
      <c r="F655" t="s">
        <v>3420</v>
      </c>
      <c r="G655">
        <v>16301</v>
      </c>
      <c r="H655" t="s">
        <v>3469</v>
      </c>
      <c r="I655" t="s">
        <v>3391</v>
      </c>
      <c r="J655" t="s">
        <v>3392</v>
      </c>
      <c r="K655" t="s">
        <v>3303</v>
      </c>
      <c r="L655" t="s">
        <v>6778</v>
      </c>
      <c r="M655" t="s">
        <v>6779</v>
      </c>
      <c r="N655" t="s">
        <v>6792</v>
      </c>
      <c r="O655">
        <v>1</v>
      </c>
      <c r="P655" t="str">
        <f>+BARRAS[[#This Row],[Barra]]&amp;"_"&amp;BARRAS[[#This Row],[Nivel de tensión]]</f>
        <v>EL_SALTO_220</v>
      </c>
    </row>
    <row r="656" spans="1:16">
      <c r="A656" t="s">
        <v>4869</v>
      </c>
      <c r="B656">
        <v>220</v>
      </c>
      <c r="C656">
        <v>1</v>
      </c>
      <c r="D656" t="s">
        <v>3397</v>
      </c>
      <c r="E656" t="s">
        <v>4870</v>
      </c>
      <c r="F656" t="s">
        <v>3420</v>
      </c>
      <c r="G656">
        <v>16301</v>
      </c>
      <c r="H656" t="s">
        <v>3405</v>
      </c>
      <c r="I656" t="s">
        <v>3391</v>
      </c>
      <c r="J656" t="s">
        <v>3392</v>
      </c>
      <c r="K656" t="s">
        <v>6315</v>
      </c>
      <c r="L656" t="s">
        <v>6778</v>
      </c>
      <c r="M656" t="s">
        <v>6779</v>
      </c>
      <c r="N656" t="s">
        <v>6792</v>
      </c>
      <c r="O656">
        <v>1</v>
      </c>
      <c r="P656" t="str">
        <f>+BARRAS[[#This Row],[Barra]]&amp;"_"&amp;BARRAS[[#This Row],[Nivel de tensión]]</f>
        <v>EL_TORO_220</v>
      </c>
    </row>
    <row r="657" spans="1:16">
      <c r="A657" t="s">
        <v>4925</v>
      </c>
      <c r="B657">
        <v>220</v>
      </c>
      <c r="C657">
        <v>1</v>
      </c>
      <c r="D657" t="s">
        <v>3397</v>
      </c>
      <c r="E657" t="s">
        <v>3419</v>
      </c>
      <c r="F657" t="s">
        <v>3420</v>
      </c>
      <c r="G657">
        <v>16301</v>
      </c>
      <c r="H657" t="s">
        <v>3409</v>
      </c>
      <c r="I657" t="s">
        <v>3391</v>
      </c>
      <c r="J657" t="s">
        <v>3392</v>
      </c>
      <c r="K657" t="s">
        <v>6315</v>
      </c>
      <c r="L657" t="s">
        <v>6778</v>
      </c>
      <c r="M657" t="s">
        <v>6779</v>
      </c>
      <c r="N657" t="s">
        <v>6792</v>
      </c>
      <c r="O657">
        <v>1</v>
      </c>
      <c r="P657" t="str">
        <f>+BARRAS[[#This Row],[Barra]]&amp;"_"&amp;BARRAS[[#This Row],[Nivel de tensión]]</f>
        <v>ENTRERIOS_220</v>
      </c>
    </row>
    <row r="658" spans="1:16">
      <c r="A658" t="s">
        <v>4925</v>
      </c>
      <c r="B658">
        <v>500</v>
      </c>
      <c r="C658">
        <v>1</v>
      </c>
      <c r="D658" t="s">
        <v>3397</v>
      </c>
      <c r="E658" t="s">
        <v>3419</v>
      </c>
      <c r="F658" t="s">
        <v>3420</v>
      </c>
      <c r="G658">
        <v>16301</v>
      </c>
      <c r="H658" t="s">
        <v>3409</v>
      </c>
      <c r="I658" t="s">
        <v>3391</v>
      </c>
      <c r="J658" t="s">
        <v>3392</v>
      </c>
      <c r="K658" t="s">
        <v>6315</v>
      </c>
      <c r="L658" t="s">
        <v>6778</v>
      </c>
      <c r="M658" t="s">
        <v>6779</v>
      </c>
      <c r="N658" t="s">
        <v>6792</v>
      </c>
      <c r="O658">
        <v>1</v>
      </c>
      <c r="P658" t="str">
        <f>+BARRAS[[#This Row],[Barra]]&amp;"_"&amp;BARRAS[[#This Row],[Nivel de tensión]]</f>
        <v>ENTRERIOS_500</v>
      </c>
    </row>
    <row r="659" spans="1:16">
      <c r="A659" t="s">
        <v>6428</v>
      </c>
      <c r="B659">
        <v>66</v>
      </c>
      <c r="C659">
        <v>4375</v>
      </c>
      <c r="D659" t="s">
        <v>6429</v>
      </c>
      <c r="E659" t="s">
        <v>6430</v>
      </c>
      <c r="F659" t="s">
        <v>6431</v>
      </c>
      <c r="G659">
        <v>9209</v>
      </c>
      <c r="H659" t="s">
        <v>3414</v>
      </c>
      <c r="I659" t="s">
        <v>3391</v>
      </c>
      <c r="J659" t="s">
        <v>3535</v>
      </c>
      <c r="K659" t="s">
        <v>3304</v>
      </c>
      <c r="L659" t="s">
        <v>6778</v>
      </c>
      <c r="M659" t="s">
        <v>6779</v>
      </c>
      <c r="N659" t="s">
        <v>6792</v>
      </c>
      <c r="O659">
        <v>1</v>
      </c>
      <c r="P659" t="str">
        <f>+BARRAS[[#This Row],[Barra]]&amp;"_"&amp;BARRAS[[#This Row],[Nivel de tensión]]</f>
        <v>EPULEUFU_66</v>
      </c>
    </row>
    <row r="660" spans="1:16">
      <c r="A660" t="s">
        <v>6428</v>
      </c>
      <c r="B660">
        <v>220</v>
      </c>
      <c r="C660">
        <v>4373</v>
      </c>
      <c r="D660" t="s">
        <v>6432</v>
      </c>
      <c r="E660" t="s">
        <v>6433</v>
      </c>
      <c r="F660" t="s">
        <v>6431</v>
      </c>
      <c r="G660">
        <v>9209</v>
      </c>
      <c r="H660" t="s">
        <v>3414</v>
      </c>
      <c r="I660" t="s">
        <v>3391</v>
      </c>
      <c r="J660" t="s">
        <v>3535</v>
      </c>
      <c r="K660" t="s">
        <v>3304</v>
      </c>
      <c r="L660" t="s">
        <v>6778</v>
      </c>
      <c r="M660" t="s">
        <v>6779</v>
      </c>
      <c r="N660" t="s">
        <v>6792</v>
      </c>
      <c r="O660">
        <v>1</v>
      </c>
      <c r="P660" t="str">
        <f>+BARRAS[[#This Row],[Barra]]&amp;"_"&amp;BARRAS[[#This Row],[Nivel de tensión]]</f>
        <v>EPULEUFU_220</v>
      </c>
    </row>
    <row r="661" spans="1:16">
      <c r="A661" t="s">
        <v>4926</v>
      </c>
      <c r="B661">
        <v>220</v>
      </c>
      <c r="C661">
        <v>2092</v>
      </c>
      <c r="D661" t="s">
        <v>3402</v>
      </c>
      <c r="E661" t="s">
        <v>4927</v>
      </c>
      <c r="F661" t="s">
        <v>4928</v>
      </c>
      <c r="G661">
        <v>16301</v>
      </c>
      <c r="H661" t="s">
        <v>3405</v>
      </c>
      <c r="I661" t="s">
        <v>3391</v>
      </c>
      <c r="J661" t="s">
        <v>3392</v>
      </c>
      <c r="K661" t="s">
        <v>6315</v>
      </c>
      <c r="L661" t="s">
        <v>6778</v>
      </c>
      <c r="M661" t="s">
        <v>6779</v>
      </c>
      <c r="N661" t="s">
        <v>6792</v>
      </c>
      <c r="O661">
        <v>1</v>
      </c>
      <c r="P661" t="str">
        <f>+BARRAS[[#This Row],[Barra]]&amp;"_"&amp;BARRAS[[#This Row],[Nivel de tensión]]</f>
        <v>ESCONDIDA_220</v>
      </c>
    </row>
    <row r="662" spans="1:16">
      <c r="A662" t="s">
        <v>4929</v>
      </c>
      <c r="B662">
        <v>15</v>
      </c>
      <c r="C662">
        <v>119</v>
      </c>
      <c r="D662" t="s">
        <v>4930</v>
      </c>
      <c r="E662" t="s">
        <v>4931</v>
      </c>
      <c r="F662" t="s">
        <v>4932</v>
      </c>
      <c r="G662">
        <v>16301</v>
      </c>
      <c r="H662" t="s">
        <v>3414</v>
      </c>
      <c r="I662" t="s">
        <v>3391</v>
      </c>
      <c r="J662" t="s">
        <v>3392</v>
      </c>
      <c r="K662" t="s">
        <v>3304</v>
      </c>
      <c r="L662" t="s">
        <v>6778</v>
      </c>
      <c r="M662" t="s">
        <v>6779</v>
      </c>
      <c r="N662" t="s">
        <v>6792</v>
      </c>
      <c r="O662">
        <v>1</v>
      </c>
      <c r="P662" t="str">
        <f>+BARRAS[[#This Row],[Barra]]&amp;"_"&amp;BARRAS[[#This Row],[Nivel de tensión]]</f>
        <v>ESCUADRON_15</v>
      </c>
    </row>
    <row r="663" spans="1:16">
      <c r="A663" t="s">
        <v>4929</v>
      </c>
      <c r="B663">
        <v>66</v>
      </c>
      <c r="C663">
        <v>230</v>
      </c>
      <c r="D663" t="s">
        <v>4933</v>
      </c>
      <c r="E663" t="s">
        <v>4934</v>
      </c>
      <c r="F663" t="s">
        <v>4932</v>
      </c>
      <c r="G663">
        <v>16301</v>
      </c>
      <c r="H663" t="s">
        <v>3414</v>
      </c>
      <c r="I663" t="s">
        <v>3391</v>
      </c>
      <c r="J663" t="s">
        <v>3392</v>
      </c>
      <c r="K663" t="s">
        <v>3304</v>
      </c>
      <c r="L663" t="s">
        <v>6778</v>
      </c>
      <c r="M663" t="s">
        <v>6779</v>
      </c>
      <c r="N663" t="s">
        <v>6792</v>
      </c>
      <c r="O663">
        <v>1</v>
      </c>
      <c r="P663" t="str">
        <f>+BARRAS[[#This Row],[Barra]]&amp;"_"&amp;BARRAS[[#This Row],[Nivel de tensión]]</f>
        <v>ESCUADRON_66</v>
      </c>
    </row>
    <row r="664" spans="1:16">
      <c r="A664" t="s">
        <v>3439</v>
      </c>
      <c r="B664">
        <v>110</v>
      </c>
      <c r="C664">
        <v>2103</v>
      </c>
      <c r="D664" t="s">
        <v>4935</v>
      </c>
      <c r="E664" t="s">
        <v>4936</v>
      </c>
      <c r="F664" t="s">
        <v>3442</v>
      </c>
      <c r="G664">
        <v>16301</v>
      </c>
      <c r="H664" t="s">
        <v>3443</v>
      </c>
      <c r="I664" t="s">
        <v>3391</v>
      </c>
      <c r="J664" t="s">
        <v>3392</v>
      </c>
      <c r="K664" t="s">
        <v>3300</v>
      </c>
      <c r="L664" t="s">
        <v>6778</v>
      </c>
      <c r="M664" t="s">
        <v>6779</v>
      </c>
      <c r="N664" t="s">
        <v>6792</v>
      </c>
      <c r="O664">
        <v>1</v>
      </c>
      <c r="P664" t="str">
        <f>+BARRAS[[#This Row],[Barra]]&amp;"_"&amp;BARRAS[[#This Row],[Nivel de tensión]]</f>
        <v>ESMERALDA_110</v>
      </c>
    </row>
    <row r="665" spans="1:16">
      <c r="A665" t="s">
        <v>3439</v>
      </c>
      <c r="B665">
        <v>220</v>
      </c>
      <c r="C665">
        <v>2105</v>
      </c>
      <c r="D665" t="s">
        <v>3440</v>
      </c>
      <c r="E665" t="s">
        <v>3441</v>
      </c>
      <c r="F665" t="s">
        <v>3442</v>
      </c>
      <c r="G665">
        <v>16301</v>
      </c>
      <c r="H665" t="s">
        <v>3443</v>
      </c>
      <c r="I665" t="s">
        <v>3391</v>
      </c>
      <c r="J665" t="s">
        <v>3392</v>
      </c>
      <c r="K665" t="s">
        <v>3300</v>
      </c>
      <c r="L665" t="s">
        <v>6778</v>
      </c>
      <c r="M665" t="s">
        <v>6779</v>
      </c>
      <c r="N665" t="s">
        <v>6792</v>
      </c>
      <c r="O665">
        <v>1</v>
      </c>
      <c r="P665" t="str">
        <f>+BARRAS[[#This Row],[Barra]]&amp;"_"&amp;BARRAS[[#This Row],[Nivel de tensión]]</f>
        <v>ESMERALDA_220</v>
      </c>
    </row>
    <row r="666" spans="1:16">
      <c r="A666" t="s">
        <v>474</v>
      </c>
      <c r="B666">
        <v>13</v>
      </c>
      <c r="C666">
        <v>2107</v>
      </c>
      <c r="D666" t="s">
        <v>4937</v>
      </c>
      <c r="E666" t="s">
        <v>4938</v>
      </c>
      <c r="F666" t="s">
        <v>4939</v>
      </c>
      <c r="G666">
        <v>16301</v>
      </c>
      <c r="H666" t="s">
        <v>3414</v>
      </c>
      <c r="I666" t="s">
        <v>3391</v>
      </c>
      <c r="J666" t="s">
        <v>3392</v>
      </c>
      <c r="K666" t="s">
        <v>3304</v>
      </c>
      <c r="L666" t="s">
        <v>6778</v>
      </c>
      <c r="M666" t="s">
        <v>6779</v>
      </c>
      <c r="N666" t="s">
        <v>6792</v>
      </c>
      <c r="O666">
        <v>1</v>
      </c>
      <c r="P666" t="str">
        <f>+BARRAS[[#This Row],[Barra]]&amp;"_"&amp;BARRAS[[#This Row],[Nivel de tensión]]</f>
        <v>ESPERANZA_13</v>
      </c>
    </row>
    <row r="667" spans="1:16">
      <c r="A667" t="s">
        <v>474</v>
      </c>
      <c r="B667">
        <v>62</v>
      </c>
      <c r="C667">
        <v>75</v>
      </c>
      <c r="D667" t="s">
        <v>4940</v>
      </c>
      <c r="E667" t="s">
        <v>4941</v>
      </c>
      <c r="F667" t="s">
        <v>4942</v>
      </c>
      <c r="G667">
        <v>16301</v>
      </c>
      <c r="H667" t="s">
        <v>3405</v>
      </c>
      <c r="I667" t="s">
        <v>3391</v>
      </c>
      <c r="J667" t="s">
        <v>3392</v>
      </c>
      <c r="K667" t="s">
        <v>6315</v>
      </c>
      <c r="L667" t="s">
        <v>6778</v>
      </c>
      <c r="M667" t="s">
        <v>6779</v>
      </c>
      <c r="N667" t="s">
        <v>6792</v>
      </c>
      <c r="O667">
        <v>1</v>
      </c>
      <c r="P667" t="str">
        <f>+BARRAS[[#This Row],[Barra]]&amp;"_"&amp;BARRAS[[#This Row],[Nivel de tensión]]</f>
        <v>ESPERANZA_62</v>
      </c>
    </row>
    <row r="668" spans="1:16">
      <c r="A668" t="s">
        <v>474</v>
      </c>
      <c r="B668">
        <v>66</v>
      </c>
      <c r="C668">
        <v>1</v>
      </c>
      <c r="D668" t="s">
        <v>3397</v>
      </c>
      <c r="E668" t="s">
        <v>4941</v>
      </c>
      <c r="F668" t="s">
        <v>3420</v>
      </c>
      <c r="G668">
        <v>16301</v>
      </c>
      <c r="H668" t="s">
        <v>3414</v>
      </c>
      <c r="I668" t="s">
        <v>3391</v>
      </c>
      <c r="J668" t="s">
        <v>3392</v>
      </c>
      <c r="K668" t="s">
        <v>3304</v>
      </c>
      <c r="L668" t="s">
        <v>6778</v>
      </c>
      <c r="M668" t="s">
        <v>6779</v>
      </c>
      <c r="N668" t="s">
        <v>6792</v>
      </c>
      <c r="O668">
        <v>1</v>
      </c>
      <c r="P668" t="str">
        <f>+BARRAS[[#This Row],[Barra]]&amp;"_"&amp;BARRAS[[#This Row],[Nivel de tensión]]</f>
        <v>ESPERANZA_66</v>
      </c>
    </row>
    <row r="669" spans="1:16">
      <c r="A669" t="s">
        <v>474</v>
      </c>
      <c r="B669">
        <v>110</v>
      </c>
      <c r="C669">
        <v>1</v>
      </c>
      <c r="D669" t="s">
        <v>3397</v>
      </c>
      <c r="E669" t="s">
        <v>4943</v>
      </c>
      <c r="F669" t="s">
        <v>3420</v>
      </c>
      <c r="G669">
        <v>16301</v>
      </c>
      <c r="H669" t="s">
        <v>3405</v>
      </c>
      <c r="I669" t="s">
        <v>3391</v>
      </c>
      <c r="J669" t="s">
        <v>3392</v>
      </c>
      <c r="K669" t="s">
        <v>6315</v>
      </c>
      <c r="L669" t="s">
        <v>6778</v>
      </c>
      <c r="M669" t="s">
        <v>6779</v>
      </c>
      <c r="N669" t="s">
        <v>6792</v>
      </c>
      <c r="O669">
        <v>1</v>
      </c>
      <c r="P669" t="str">
        <f>+BARRAS[[#This Row],[Barra]]&amp;"_"&amp;BARRAS[[#This Row],[Nivel de tensión]]</f>
        <v>ESPERANZA_110</v>
      </c>
    </row>
    <row r="670" spans="1:16">
      <c r="A670" t="s">
        <v>479</v>
      </c>
      <c r="B670">
        <v>220</v>
      </c>
      <c r="C670">
        <v>2106</v>
      </c>
      <c r="D670" t="s">
        <v>3397</v>
      </c>
      <c r="E670" t="s">
        <v>4944</v>
      </c>
      <c r="F670" t="s">
        <v>4939</v>
      </c>
      <c r="G670">
        <v>16301</v>
      </c>
      <c r="H670" t="s">
        <v>3405</v>
      </c>
      <c r="I670" t="s">
        <v>3391</v>
      </c>
      <c r="J670" t="s">
        <v>3392</v>
      </c>
      <c r="K670" t="s">
        <v>6315</v>
      </c>
      <c r="L670" t="s">
        <v>6778</v>
      </c>
      <c r="M670" t="s">
        <v>6779</v>
      </c>
      <c r="N670" t="s">
        <v>6792</v>
      </c>
      <c r="O670">
        <v>1</v>
      </c>
      <c r="P670" t="str">
        <f>+BARRAS[[#This Row],[Barra]]&amp;"_"&amp;BARRAS[[#This Row],[Nivel de tensión]]</f>
        <v>ESPERANZA_SNG_220</v>
      </c>
    </row>
    <row r="671" spans="1:16">
      <c r="A671" t="s">
        <v>4945</v>
      </c>
      <c r="B671">
        <v>13</v>
      </c>
      <c r="C671">
        <v>385</v>
      </c>
      <c r="D671" t="s">
        <v>3397</v>
      </c>
      <c r="E671" t="s">
        <v>4946</v>
      </c>
      <c r="F671" t="s">
        <v>4947</v>
      </c>
      <c r="G671">
        <v>16301</v>
      </c>
      <c r="H671" t="s">
        <v>3400</v>
      </c>
      <c r="I671" t="s">
        <v>3391</v>
      </c>
      <c r="J671" t="s">
        <v>3392</v>
      </c>
      <c r="K671" t="s">
        <v>3301</v>
      </c>
      <c r="L671" t="s">
        <v>6778</v>
      </c>
      <c r="M671" t="s">
        <v>6779</v>
      </c>
      <c r="N671" t="s">
        <v>6792</v>
      </c>
      <c r="O671">
        <v>1</v>
      </c>
      <c r="P671" t="str">
        <f>+BARRAS[[#This Row],[Barra]]&amp;"_"&amp;BARRAS[[#This Row],[Nivel de tensión]]</f>
        <v>ESPINO_13</v>
      </c>
    </row>
    <row r="672" spans="1:16">
      <c r="A672" t="s">
        <v>4945</v>
      </c>
      <c r="B672">
        <v>66</v>
      </c>
      <c r="C672">
        <v>1</v>
      </c>
      <c r="D672" t="s">
        <v>4948</v>
      </c>
      <c r="E672" t="s">
        <v>4949</v>
      </c>
      <c r="F672" t="s">
        <v>3484</v>
      </c>
      <c r="G672">
        <v>16301</v>
      </c>
      <c r="H672" t="s">
        <v>3400</v>
      </c>
      <c r="I672" t="s">
        <v>3391</v>
      </c>
      <c r="J672" t="s">
        <v>3392</v>
      </c>
      <c r="K672" t="s">
        <v>3301</v>
      </c>
      <c r="L672" t="s">
        <v>6778</v>
      </c>
      <c r="M672" t="s">
        <v>6779</v>
      </c>
      <c r="N672" t="s">
        <v>6792</v>
      </c>
      <c r="O672">
        <v>1</v>
      </c>
      <c r="P672" t="str">
        <f>+BARRAS[[#This Row],[Barra]]&amp;"_"&amp;BARRAS[[#This Row],[Nivel de tensión]]</f>
        <v>ESPINO_66</v>
      </c>
    </row>
    <row r="673" spans="1:16">
      <c r="A673" t="s">
        <v>4950</v>
      </c>
      <c r="B673">
        <v>110</v>
      </c>
      <c r="C673">
        <v>1</v>
      </c>
      <c r="D673" t="s">
        <v>3397</v>
      </c>
      <c r="E673" t="s">
        <v>3419</v>
      </c>
      <c r="F673" t="s">
        <v>3420</v>
      </c>
      <c r="G673">
        <v>16301</v>
      </c>
      <c r="H673" t="s">
        <v>3405</v>
      </c>
      <c r="I673" t="s">
        <v>3391</v>
      </c>
      <c r="J673" t="s">
        <v>3392</v>
      </c>
      <c r="K673" t="s">
        <v>6315</v>
      </c>
      <c r="L673" t="s">
        <v>6778</v>
      </c>
      <c r="M673" t="s">
        <v>6779</v>
      </c>
      <c r="N673" t="s">
        <v>6792</v>
      </c>
      <c r="O673">
        <v>1</v>
      </c>
      <c r="P673" t="str">
        <f>+BARRAS[[#This Row],[Barra]]&amp;"_"&amp;BARRAS[[#This Row],[Nivel de tensión]]</f>
        <v>EST_66_110</v>
      </c>
    </row>
    <row r="674" spans="1:16">
      <c r="A674" t="s">
        <v>4951</v>
      </c>
      <c r="B674">
        <v>110</v>
      </c>
      <c r="C674">
        <v>1</v>
      </c>
      <c r="D674" t="s">
        <v>3397</v>
      </c>
      <c r="E674" t="s">
        <v>3419</v>
      </c>
      <c r="F674" t="s">
        <v>3420</v>
      </c>
      <c r="G674">
        <v>16301</v>
      </c>
      <c r="H674" t="s">
        <v>3405</v>
      </c>
      <c r="I674" t="s">
        <v>3391</v>
      </c>
      <c r="J674" t="s">
        <v>3392</v>
      </c>
      <c r="K674" t="s">
        <v>6315</v>
      </c>
      <c r="L674" t="s">
        <v>6778</v>
      </c>
      <c r="M674" t="s">
        <v>6779</v>
      </c>
      <c r="N674" t="s">
        <v>6792</v>
      </c>
      <c r="O674">
        <v>1</v>
      </c>
      <c r="P674" t="str">
        <f>+BARRAS[[#This Row],[Barra]]&amp;"_"&amp;BARRAS[[#This Row],[Nivel de tensión]]</f>
        <v>EST_68_110</v>
      </c>
    </row>
    <row r="675" spans="1:16">
      <c r="A675" t="s">
        <v>4952</v>
      </c>
      <c r="B675">
        <v>220</v>
      </c>
      <c r="C675">
        <v>1</v>
      </c>
      <c r="D675" t="s">
        <v>3397</v>
      </c>
      <c r="E675" t="s">
        <v>3419</v>
      </c>
      <c r="F675" t="s">
        <v>3420</v>
      </c>
      <c r="G675">
        <v>16301</v>
      </c>
      <c r="H675" t="s">
        <v>3409</v>
      </c>
      <c r="I675" t="s">
        <v>3391</v>
      </c>
      <c r="J675" t="s">
        <v>3392</v>
      </c>
      <c r="K675" t="s">
        <v>6315</v>
      </c>
      <c r="L675" t="s">
        <v>6778</v>
      </c>
      <c r="M675" t="s">
        <v>6779</v>
      </c>
      <c r="N675" t="s">
        <v>6792</v>
      </c>
      <c r="O675">
        <v>1</v>
      </c>
      <c r="P675" t="str">
        <f>+BARRAS[[#This Row],[Barra]]&amp;"_"&amp;BARRAS[[#This Row],[Nivel de tensión]]</f>
        <v>EST_L1A_220</v>
      </c>
    </row>
    <row r="676" spans="1:16">
      <c r="A676" t="s">
        <v>4953</v>
      </c>
      <c r="B676">
        <v>220</v>
      </c>
      <c r="C676">
        <v>1</v>
      </c>
      <c r="D676" t="s">
        <v>3397</v>
      </c>
      <c r="E676" t="s">
        <v>3419</v>
      </c>
      <c r="F676" t="s">
        <v>3420</v>
      </c>
      <c r="G676">
        <v>16301</v>
      </c>
      <c r="H676" t="s">
        <v>3409</v>
      </c>
      <c r="I676" t="s">
        <v>3391</v>
      </c>
      <c r="J676" t="s">
        <v>3392</v>
      </c>
      <c r="K676" t="s">
        <v>6315</v>
      </c>
      <c r="L676" t="s">
        <v>6778</v>
      </c>
      <c r="M676" t="s">
        <v>6779</v>
      </c>
      <c r="N676" t="s">
        <v>6792</v>
      </c>
      <c r="O676">
        <v>1</v>
      </c>
      <c r="P676" t="str">
        <f>+BARRAS[[#This Row],[Barra]]&amp;"_"&amp;BARRAS[[#This Row],[Nivel de tensión]]</f>
        <v>EST_L1A2_220</v>
      </c>
    </row>
    <row r="677" spans="1:16">
      <c r="A677" t="s">
        <v>4954</v>
      </c>
      <c r="B677">
        <v>220</v>
      </c>
      <c r="C677">
        <v>1</v>
      </c>
      <c r="D677" t="s">
        <v>3397</v>
      </c>
      <c r="E677" t="s">
        <v>3419</v>
      </c>
      <c r="F677" t="s">
        <v>3420</v>
      </c>
      <c r="G677">
        <v>16301</v>
      </c>
      <c r="H677" t="s">
        <v>3409</v>
      </c>
      <c r="I677" t="s">
        <v>3391</v>
      </c>
      <c r="J677" t="s">
        <v>3392</v>
      </c>
      <c r="K677" t="s">
        <v>6315</v>
      </c>
      <c r="L677" t="s">
        <v>6778</v>
      </c>
      <c r="M677" t="s">
        <v>6779</v>
      </c>
      <c r="N677" t="s">
        <v>6792</v>
      </c>
      <c r="O677">
        <v>1</v>
      </c>
      <c r="P677" t="str">
        <f>+BARRAS[[#This Row],[Barra]]&amp;"_"&amp;BARRAS[[#This Row],[Nivel de tensión]]</f>
        <v>EST_L1B_220</v>
      </c>
    </row>
    <row r="678" spans="1:16">
      <c r="A678" t="s">
        <v>4955</v>
      </c>
      <c r="B678">
        <v>220</v>
      </c>
      <c r="C678">
        <v>1</v>
      </c>
      <c r="D678" t="s">
        <v>3397</v>
      </c>
      <c r="E678" t="s">
        <v>3419</v>
      </c>
      <c r="F678" t="s">
        <v>3420</v>
      </c>
      <c r="G678">
        <v>16301</v>
      </c>
      <c r="H678" t="s">
        <v>3409</v>
      </c>
      <c r="I678" t="s">
        <v>3391</v>
      </c>
      <c r="J678" t="s">
        <v>3392</v>
      </c>
      <c r="K678" t="s">
        <v>6315</v>
      </c>
      <c r="L678" t="s">
        <v>6778</v>
      </c>
      <c r="M678" t="s">
        <v>6779</v>
      </c>
      <c r="N678" t="s">
        <v>6792</v>
      </c>
      <c r="O678">
        <v>1</v>
      </c>
      <c r="P678" t="str">
        <f>+BARRAS[[#This Row],[Barra]]&amp;"_"&amp;BARRAS[[#This Row],[Nivel de tensión]]</f>
        <v>EST_L1B2_220</v>
      </c>
    </row>
    <row r="679" spans="1:16">
      <c r="A679" t="s">
        <v>4956</v>
      </c>
      <c r="B679">
        <v>220</v>
      </c>
      <c r="C679">
        <v>1</v>
      </c>
      <c r="D679" t="s">
        <v>3397</v>
      </c>
      <c r="E679" t="s">
        <v>3419</v>
      </c>
      <c r="F679" t="s">
        <v>3420</v>
      </c>
      <c r="G679">
        <v>16301</v>
      </c>
      <c r="H679" t="s">
        <v>3409</v>
      </c>
      <c r="I679" t="s">
        <v>3391</v>
      </c>
      <c r="J679" t="s">
        <v>3392</v>
      </c>
      <c r="K679" t="s">
        <v>6315</v>
      </c>
      <c r="L679" t="s">
        <v>6778</v>
      </c>
      <c r="M679" t="s">
        <v>6779</v>
      </c>
      <c r="N679" t="s">
        <v>6792</v>
      </c>
      <c r="O679">
        <v>1</v>
      </c>
      <c r="P679" t="str">
        <f>+BARRAS[[#This Row],[Barra]]&amp;"_"&amp;BARRAS[[#This Row],[Nivel de tensión]]</f>
        <v>EST_N4_220</v>
      </c>
    </row>
    <row r="680" spans="1:16">
      <c r="A680" t="s">
        <v>4957</v>
      </c>
      <c r="B680">
        <v>220</v>
      </c>
      <c r="C680">
        <v>1</v>
      </c>
      <c r="D680" t="s">
        <v>3397</v>
      </c>
      <c r="E680" t="s">
        <v>3419</v>
      </c>
      <c r="F680" t="s">
        <v>3420</v>
      </c>
      <c r="G680">
        <v>16301</v>
      </c>
      <c r="H680" t="s">
        <v>3405</v>
      </c>
      <c r="I680" t="s">
        <v>3391</v>
      </c>
      <c r="J680" t="s">
        <v>3392</v>
      </c>
      <c r="K680" t="s">
        <v>6315</v>
      </c>
      <c r="L680" t="s">
        <v>6778</v>
      </c>
      <c r="M680" t="s">
        <v>6779</v>
      </c>
      <c r="N680" t="s">
        <v>6792</v>
      </c>
      <c r="O680">
        <v>1</v>
      </c>
      <c r="P680" t="str">
        <f>+BARRAS[[#This Row],[Barra]]&amp;"_"&amp;BARRAS[[#This Row],[Nivel de tensión]]</f>
        <v>EST1_IBRTACAM_220</v>
      </c>
    </row>
    <row r="681" spans="1:16">
      <c r="A681" t="s">
        <v>6007</v>
      </c>
      <c r="B681">
        <v>66</v>
      </c>
      <c r="C681">
        <v>1</v>
      </c>
      <c r="D681" t="s">
        <v>3397</v>
      </c>
      <c r="E681" t="s">
        <v>6011</v>
      </c>
      <c r="F681" t="s">
        <v>3420</v>
      </c>
      <c r="G681">
        <v>16301</v>
      </c>
      <c r="H681" t="s">
        <v>3405</v>
      </c>
      <c r="I681" t="s">
        <v>3391</v>
      </c>
      <c r="J681" t="s">
        <v>3392</v>
      </c>
      <c r="K681" t="s">
        <v>6315</v>
      </c>
      <c r="L681" t="s">
        <v>6778</v>
      </c>
      <c r="M681" t="s">
        <v>6779</v>
      </c>
      <c r="N681" t="s">
        <v>6792</v>
      </c>
      <c r="O681">
        <v>1</v>
      </c>
      <c r="P681" t="str">
        <f>+BARRAS[[#This Row],[Barra]]&amp;"_"&amp;BARRAS[[#This Row],[Nivel de tensión]]</f>
        <v>AG.BLANCAS_66</v>
      </c>
    </row>
    <row r="682" spans="1:16">
      <c r="A682" t="s">
        <v>5743</v>
      </c>
      <c r="B682">
        <v>13</v>
      </c>
      <c r="C682">
        <v>670</v>
      </c>
      <c r="D682" t="s">
        <v>5744</v>
      </c>
      <c r="E682" t="s">
        <v>5745</v>
      </c>
      <c r="F682" t="s">
        <v>5746</v>
      </c>
      <c r="G682">
        <v>16301</v>
      </c>
      <c r="H682" t="s">
        <v>3469</v>
      </c>
      <c r="I682" t="s">
        <v>3391</v>
      </c>
      <c r="J682" t="s">
        <v>3392</v>
      </c>
      <c r="K682" t="s">
        <v>3303</v>
      </c>
      <c r="L682" t="s">
        <v>6778</v>
      </c>
      <c r="M682" t="s">
        <v>6779</v>
      </c>
      <c r="N682" t="s">
        <v>6792</v>
      </c>
      <c r="O682">
        <v>1</v>
      </c>
      <c r="P682" t="str">
        <f>+BARRAS[[#This Row],[Barra]]&amp;"_"&amp;BARRAS[[#This Row],[Nivel de tensión]]</f>
        <v>APOQUINDO_13</v>
      </c>
    </row>
    <row r="683" spans="1:16">
      <c r="A683" t="s">
        <v>5792</v>
      </c>
      <c r="B683">
        <v>4</v>
      </c>
      <c r="C683">
        <v>1</v>
      </c>
      <c r="D683" t="s">
        <v>3397</v>
      </c>
      <c r="E683" t="s">
        <v>3419</v>
      </c>
      <c r="F683" t="s">
        <v>3420</v>
      </c>
      <c r="G683">
        <v>16301</v>
      </c>
      <c r="H683" t="s">
        <v>3405</v>
      </c>
      <c r="I683" t="s">
        <v>3391</v>
      </c>
      <c r="J683" t="s">
        <v>3392</v>
      </c>
      <c r="K683" t="s">
        <v>6315</v>
      </c>
      <c r="L683" t="s">
        <v>6778</v>
      </c>
      <c r="M683" t="s">
        <v>6779</v>
      </c>
      <c r="N683" t="s">
        <v>6792</v>
      </c>
      <c r="O683">
        <v>1</v>
      </c>
      <c r="P683" t="str">
        <f>+BARRAS[[#This Row],[Barra]]&amp;"_"&amp;BARRAS[[#This Row],[Nivel de tensión]]</f>
        <v>BOCAMINA_4</v>
      </c>
    </row>
    <row r="684" spans="1:16">
      <c r="A684" t="s">
        <v>5885</v>
      </c>
      <c r="B684">
        <v>110</v>
      </c>
      <c r="C684">
        <v>1</v>
      </c>
      <c r="D684" t="s">
        <v>3397</v>
      </c>
      <c r="E684" t="s">
        <v>5889</v>
      </c>
      <c r="F684" t="s">
        <v>3420</v>
      </c>
      <c r="G684">
        <v>16301</v>
      </c>
      <c r="H684" t="s">
        <v>3390</v>
      </c>
      <c r="I684" t="s">
        <v>3391</v>
      </c>
      <c r="J684" t="s">
        <v>3392</v>
      </c>
      <c r="K684" t="s">
        <v>3305</v>
      </c>
      <c r="L684" t="s">
        <v>6778</v>
      </c>
      <c r="M684" t="s">
        <v>6779</v>
      </c>
      <c r="N684" t="s">
        <v>6792</v>
      </c>
      <c r="O684">
        <v>1</v>
      </c>
      <c r="P684" t="str">
        <f>+BARRAS[[#This Row],[Barra]]&amp;"_"&amp;BARRAS[[#This Row],[Nivel de tensión]]</f>
        <v>CALBUCO_110</v>
      </c>
    </row>
    <row r="685" spans="1:16">
      <c r="A685" t="s">
        <v>195</v>
      </c>
      <c r="B685">
        <v>110</v>
      </c>
      <c r="C685">
        <v>1209</v>
      </c>
      <c r="D685" t="s">
        <v>5929</v>
      </c>
      <c r="E685" t="s">
        <v>5930</v>
      </c>
      <c r="F685" t="s">
        <v>3484</v>
      </c>
      <c r="G685">
        <v>16301</v>
      </c>
      <c r="H685" t="s">
        <v>3400</v>
      </c>
      <c r="I685" t="s">
        <v>3391</v>
      </c>
      <c r="J685" t="s">
        <v>3392</v>
      </c>
      <c r="K685" t="s">
        <v>3301</v>
      </c>
      <c r="L685" t="s">
        <v>6778</v>
      </c>
      <c r="M685" t="s">
        <v>6779</v>
      </c>
      <c r="N685" t="s">
        <v>6792</v>
      </c>
      <c r="O685">
        <v>1</v>
      </c>
      <c r="P685" t="str">
        <f>+BARRAS[[#This Row],[Barra]]&amp;"_"&amp;BARRAS[[#This Row],[Nivel de tensión]]</f>
        <v>CARDONES_110</v>
      </c>
    </row>
    <row r="686" spans="1:16">
      <c r="A686" t="s">
        <v>6084</v>
      </c>
      <c r="B686">
        <v>23</v>
      </c>
      <c r="C686">
        <v>2478</v>
      </c>
      <c r="D686" t="s">
        <v>6085</v>
      </c>
      <c r="E686" t="s">
        <v>6086</v>
      </c>
      <c r="F686" t="s">
        <v>6087</v>
      </c>
      <c r="G686">
        <v>16301</v>
      </c>
      <c r="H686" t="s">
        <v>3469</v>
      </c>
      <c r="I686" t="s">
        <v>3391</v>
      </c>
      <c r="J686" t="s">
        <v>3392</v>
      </c>
      <c r="K686" t="s">
        <v>3303</v>
      </c>
      <c r="L686" t="s">
        <v>6778</v>
      </c>
      <c r="M686" t="s">
        <v>6779</v>
      </c>
      <c r="N686" t="s">
        <v>6792</v>
      </c>
      <c r="O686">
        <v>1</v>
      </c>
      <c r="P686" t="str">
        <f>+BARRAS[[#This Row],[Barra]]&amp;"_"&amp;BARRAS[[#This Row],[Nivel de tensión]]</f>
        <v>CHICUREO_23</v>
      </c>
    </row>
    <row r="687" spans="1:16">
      <c r="A687" t="s">
        <v>315</v>
      </c>
      <c r="B687">
        <v>15</v>
      </c>
      <c r="C687">
        <v>153</v>
      </c>
      <c r="D687" t="s">
        <v>6196</v>
      </c>
      <c r="E687" t="s">
        <v>6197</v>
      </c>
      <c r="F687" t="s">
        <v>6198</v>
      </c>
      <c r="G687">
        <v>16301</v>
      </c>
      <c r="H687" t="s">
        <v>3414</v>
      </c>
      <c r="I687" t="s">
        <v>3391</v>
      </c>
      <c r="J687" t="s">
        <v>3392</v>
      </c>
      <c r="K687" t="s">
        <v>3304</v>
      </c>
      <c r="L687" t="s">
        <v>6778</v>
      </c>
      <c r="M687" t="s">
        <v>6779</v>
      </c>
      <c r="N687" t="s">
        <v>6792</v>
      </c>
      <c r="O687">
        <v>1</v>
      </c>
      <c r="P687" t="str">
        <f>+BARRAS[[#This Row],[Barra]]&amp;"_"&amp;BARRAS[[#This Row],[Nivel de tensión]]</f>
        <v>COLCHAGUA_15</v>
      </c>
    </row>
    <row r="688" spans="1:16">
      <c r="A688" t="s">
        <v>377</v>
      </c>
      <c r="B688">
        <v>13</v>
      </c>
      <c r="C688">
        <v>1450</v>
      </c>
      <c r="D688" t="s">
        <v>3430</v>
      </c>
      <c r="E688" t="s">
        <v>3431</v>
      </c>
      <c r="F688" t="s">
        <v>3432</v>
      </c>
      <c r="G688">
        <v>16301</v>
      </c>
      <c r="H688" t="s">
        <v>3414</v>
      </c>
      <c r="I688" t="s">
        <v>3391</v>
      </c>
      <c r="J688" t="s">
        <v>3392</v>
      </c>
      <c r="K688" t="s">
        <v>3304</v>
      </c>
      <c r="L688" t="s">
        <v>6778</v>
      </c>
      <c r="M688" t="s">
        <v>6779</v>
      </c>
      <c r="N688" t="s">
        <v>6792</v>
      </c>
      <c r="O688">
        <v>1</v>
      </c>
      <c r="P688" t="str">
        <f>+BARRAS[[#This Row],[Barra]]&amp;"_"&amp;BARRAS[[#This Row],[Nivel de tensión]]</f>
        <v>CURICO_13</v>
      </c>
    </row>
    <row r="689" spans="1:16">
      <c r="A689" t="s">
        <v>4871</v>
      </c>
      <c r="B689">
        <v>220</v>
      </c>
      <c r="C689">
        <v>2073</v>
      </c>
      <c r="D689" t="s">
        <v>4872</v>
      </c>
      <c r="E689" t="s">
        <v>4873</v>
      </c>
      <c r="F689" t="s">
        <v>4874</v>
      </c>
      <c r="G689">
        <v>16301</v>
      </c>
      <c r="H689" t="s">
        <v>3405</v>
      </c>
      <c r="I689" t="s">
        <v>3391</v>
      </c>
      <c r="J689" t="s">
        <v>3392</v>
      </c>
      <c r="K689" t="s">
        <v>6315</v>
      </c>
      <c r="L689" t="s">
        <v>6778</v>
      </c>
      <c r="M689" t="s">
        <v>6779</v>
      </c>
      <c r="N689" t="s">
        <v>6792</v>
      </c>
      <c r="O689">
        <v>1</v>
      </c>
      <c r="P689" t="str">
        <f>+BARRAS[[#This Row],[Barra]]&amp;"_"&amp;BARRAS[[#This Row],[Nivel de tensión]]</f>
        <v>ELABRA_220</v>
      </c>
    </row>
    <row r="690" spans="1:16">
      <c r="A690" t="s">
        <v>4958</v>
      </c>
      <c r="B690">
        <v>44</v>
      </c>
      <c r="C690">
        <v>3783</v>
      </c>
      <c r="D690" t="s">
        <v>3397</v>
      </c>
      <c r="E690" t="s">
        <v>3419</v>
      </c>
      <c r="F690" t="s">
        <v>4959</v>
      </c>
      <c r="G690">
        <v>5702</v>
      </c>
      <c r="H690" t="s">
        <v>3418</v>
      </c>
      <c r="I690" t="s">
        <v>3391</v>
      </c>
      <c r="J690" t="s">
        <v>4960</v>
      </c>
      <c r="K690" t="s">
        <v>6315</v>
      </c>
      <c r="L690" t="s">
        <v>6778</v>
      </c>
      <c r="M690" t="s">
        <v>6779</v>
      </c>
      <c r="N690" t="s">
        <v>6792</v>
      </c>
      <c r="O690">
        <v>1</v>
      </c>
      <c r="P690" t="str">
        <f>+BARRAS[[#This Row],[Barra]]&amp;"_"&amp;BARRAS[[#This Row],[Nivel de tensión]]</f>
        <v>ESTANCILLA_44</v>
      </c>
    </row>
    <row r="691" spans="1:16">
      <c r="A691" t="s">
        <v>525</v>
      </c>
      <c r="B691">
        <v>33</v>
      </c>
      <c r="C691">
        <v>1</v>
      </c>
      <c r="D691" t="s">
        <v>3397</v>
      </c>
      <c r="E691" t="s">
        <v>5055</v>
      </c>
      <c r="F691" t="s">
        <v>3420</v>
      </c>
      <c r="G691">
        <v>16301</v>
      </c>
      <c r="H691" t="s">
        <v>3414</v>
      </c>
      <c r="I691" t="s">
        <v>3391</v>
      </c>
      <c r="J691" t="s">
        <v>3392</v>
      </c>
      <c r="K691" t="s">
        <v>3304</v>
      </c>
      <c r="L691" t="s">
        <v>6778</v>
      </c>
      <c r="M691" t="s">
        <v>6779</v>
      </c>
      <c r="N691" t="s">
        <v>6792</v>
      </c>
      <c r="O691">
        <v>1</v>
      </c>
      <c r="P691" t="str">
        <f>+BARRAS[[#This Row],[Barra]]&amp;"_"&amp;BARRAS[[#This Row],[Nivel de tensión]]</f>
        <v>HUALTE_33</v>
      </c>
    </row>
    <row r="692" spans="1:16">
      <c r="A692" t="s">
        <v>5155</v>
      </c>
      <c r="B692">
        <v>13</v>
      </c>
      <c r="C692">
        <v>424</v>
      </c>
      <c r="D692" t="s">
        <v>5156</v>
      </c>
      <c r="E692" t="s">
        <v>5157</v>
      </c>
      <c r="F692" t="s">
        <v>5158</v>
      </c>
      <c r="G692">
        <v>16301</v>
      </c>
      <c r="H692" t="s">
        <v>3390</v>
      </c>
      <c r="I692" t="s">
        <v>3391</v>
      </c>
      <c r="J692" t="s">
        <v>3392</v>
      </c>
      <c r="K692" t="s">
        <v>3305</v>
      </c>
      <c r="L692" t="s">
        <v>6778</v>
      </c>
      <c r="M692" t="s">
        <v>6779</v>
      </c>
      <c r="N692" t="s">
        <v>6792</v>
      </c>
      <c r="O692">
        <v>1</v>
      </c>
      <c r="P692" t="str">
        <f>+BARRAS[[#This Row],[Barra]]&amp;"_"&amp;BARRAS[[#This Row],[Nivel de tensión]]</f>
        <v>L.LAGOS_13</v>
      </c>
    </row>
    <row r="693" spans="1:16">
      <c r="A693" t="s">
        <v>639</v>
      </c>
      <c r="B693">
        <v>66</v>
      </c>
      <c r="C693">
        <v>2497</v>
      </c>
      <c r="D693" t="s">
        <v>3459</v>
      </c>
      <c r="E693" t="s">
        <v>3460</v>
      </c>
      <c r="F693" t="s">
        <v>3461</v>
      </c>
      <c r="G693">
        <v>16301</v>
      </c>
      <c r="H693" t="s">
        <v>3414</v>
      </c>
      <c r="I693" t="s">
        <v>3391</v>
      </c>
      <c r="J693" t="s">
        <v>3392</v>
      </c>
      <c r="K693" t="s">
        <v>3304</v>
      </c>
      <c r="L693" t="s">
        <v>6778</v>
      </c>
      <c r="M693" t="s">
        <v>6779</v>
      </c>
      <c r="N693" t="s">
        <v>6792</v>
      </c>
      <c r="O693">
        <v>1</v>
      </c>
      <c r="P693" t="str">
        <f>+BARRAS[[#This Row],[Barra]]&amp;"_"&amp;BARRAS[[#This Row],[Nivel de tensión]]</f>
        <v>LAJA_66</v>
      </c>
    </row>
    <row r="694" spans="1:16">
      <c r="A694" t="s">
        <v>699</v>
      </c>
      <c r="B694">
        <v>13</v>
      </c>
      <c r="C694">
        <v>1084</v>
      </c>
      <c r="D694" t="s">
        <v>5362</v>
      </c>
      <c r="E694" t="s">
        <v>5363</v>
      </c>
      <c r="F694" t="s">
        <v>5364</v>
      </c>
      <c r="G694">
        <v>16301</v>
      </c>
      <c r="H694" t="s">
        <v>3414</v>
      </c>
      <c r="I694" t="s">
        <v>3391</v>
      </c>
      <c r="J694" t="s">
        <v>3392</v>
      </c>
      <c r="K694" t="s">
        <v>3304</v>
      </c>
      <c r="L694" t="s">
        <v>6778</v>
      </c>
      <c r="M694" t="s">
        <v>6779</v>
      </c>
      <c r="N694" t="s">
        <v>6792</v>
      </c>
      <c r="O694">
        <v>1</v>
      </c>
      <c r="P694" t="str">
        <f>+BARRAS[[#This Row],[Barra]]&amp;"_"&amp;BARRAS[[#This Row],[Nivel de tensión]]</f>
        <v>LIN.NORTE_13</v>
      </c>
    </row>
    <row r="695" spans="1:16">
      <c r="A695" t="s">
        <v>754</v>
      </c>
      <c r="B695">
        <v>13</v>
      </c>
      <c r="C695">
        <v>3313</v>
      </c>
      <c r="D695" t="s">
        <v>3397</v>
      </c>
      <c r="E695" t="s">
        <v>5456</v>
      </c>
      <c r="F695" t="s">
        <v>5457</v>
      </c>
      <c r="G695">
        <v>16301</v>
      </c>
      <c r="H695" t="s">
        <v>3414</v>
      </c>
      <c r="I695" t="s">
        <v>3391</v>
      </c>
      <c r="J695" t="s">
        <v>3392</v>
      </c>
      <c r="K695" t="s">
        <v>3304</v>
      </c>
      <c r="L695" t="s">
        <v>6778</v>
      </c>
      <c r="M695" t="s">
        <v>6779</v>
      </c>
      <c r="N695" t="s">
        <v>6792</v>
      </c>
      <c r="O695">
        <v>1</v>
      </c>
      <c r="P695" t="str">
        <f>+BARRAS[[#This Row],[Barra]]&amp;"_"&amp;BARRAS[[#This Row],[Nivel de tensión]]</f>
        <v>LOS_MAQUIS_13</v>
      </c>
    </row>
    <row r="696" spans="1:16">
      <c r="A696" t="s">
        <v>816</v>
      </c>
      <c r="B696">
        <v>13</v>
      </c>
      <c r="C696">
        <v>597</v>
      </c>
      <c r="D696" t="s">
        <v>5560</v>
      </c>
      <c r="E696" t="s">
        <v>5561</v>
      </c>
      <c r="F696" t="s">
        <v>5562</v>
      </c>
      <c r="G696">
        <v>16301</v>
      </c>
      <c r="H696" t="s">
        <v>3414</v>
      </c>
      <c r="I696" t="s">
        <v>3391</v>
      </c>
      <c r="J696" t="s">
        <v>3392</v>
      </c>
      <c r="K696" t="s">
        <v>3304</v>
      </c>
      <c r="L696" t="s">
        <v>6778</v>
      </c>
      <c r="M696" t="s">
        <v>6779</v>
      </c>
      <c r="N696" t="s">
        <v>6792</v>
      </c>
      <c r="O696">
        <v>1</v>
      </c>
      <c r="P696" t="str">
        <f>+BARRAS[[#This Row],[Barra]]&amp;"_"&amp;BARRAS[[#This Row],[Nivel de tensión]]</f>
        <v>MARCHIHUE_13</v>
      </c>
    </row>
    <row r="697" spans="1:16">
      <c r="A697" t="s">
        <v>3929</v>
      </c>
      <c r="B697">
        <v>154</v>
      </c>
      <c r="C697">
        <v>1</v>
      </c>
      <c r="D697" t="s">
        <v>3397</v>
      </c>
      <c r="E697" t="s">
        <v>3931</v>
      </c>
      <c r="F697" t="s">
        <v>3420</v>
      </c>
      <c r="G697">
        <v>16301</v>
      </c>
      <c r="H697" t="s">
        <v>3414</v>
      </c>
      <c r="I697" t="s">
        <v>3391</v>
      </c>
      <c r="J697" t="s">
        <v>3392</v>
      </c>
      <c r="K697" t="s">
        <v>3304</v>
      </c>
      <c r="L697" t="s">
        <v>6778</v>
      </c>
      <c r="M697" t="s">
        <v>6779</v>
      </c>
      <c r="N697" t="s">
        <v>6792</v>
      </c>
      <c r="O697">
        <v>1</v>
      </c>
      <c r="P697" t="str">
        <f>+BARRAS[[#This Row],[Barra]]&amp;"_"&amp;BARRAS[[#This Row],[Nivel de tensión]]</f>
        <v>MONTERRICO_154</v>
      </c>
    </row>
    <row r="698" spans="1:16">
      <c r="A698" t="s">
        <v>935</v>
      </c>
      <c r="B698">
        <v>23</v>
      </c>
      <c r="C698">
        <v>2244</v>
      </c>
      <c r="D698" t="s">
        <v>4062</v>
      </c>
      <c r="E698" t="s">
        <v>4063</v>
      </c>
      <c r="F698" t="s">
        <v>4064</v>
      </c>
      <c r="G698">
        <v>16301</v>
      </c>
      <c r="H698" t="s">
        <v>3443</v>
      </c>
      <c r="I698" t="s">
        <v>3391</v>
      </c>
      <c r="J698" t="s">
        <v>3392</v>
      </c>
      <c r="K698" t="s">
        <v>3300</v>
      </c>
      <c r="L698" t="s">
        <v>6778</v>
      </c>
      <c r="M698" t="s">
        <v>6779</v>
      </c>
      <c r="N698" t="s">
        <v>6792</v>
      </c>
      <c r="O698">
        <v>1</v>
      </c>
      <c r="P698" t="str">
        <f>+BARRAS[[#This Row],[Barra]]&amp;"_"&amp;BARRAS[[#This Row],[Nivel de tensión]]</f>
        <v>P.ALMONTE_23</v>
      </c>
    </row>
    <row r="699" spans="1:16">
      <c r="A699" t="s">
        <v>4154</v>
      </c>
      <c r="B699">
        <v>66</v>
      </c>
      <c r="C699">
        <v>99</v>
      </c>
      <c r="D699" t="s">
        <v>4156</v>
      </c>
      <c r="E699" t="s">
        <v>4157</v>
      </c>
      <c r="F699" t="s">
        <v>4158</v>
      </c>
      <c r="G699">
        <v>16301</v>
      </c>
      <c r="H699" t="s">
        <v>3414</v>
      </c>
      <c r="I699" t="s">
        <v>3391</v>
      </c>
      <c r="J699" t="s">
        <v>3392</v>
      </c>
      <c r="K699" t="s">
        <v>3304</v>
      </c>
      <c r="L699" t="s">
        <v>6778</v>
      </c>
      <c r="M699" t="s">
        <v>6779</v>
      </c>
      <c r="N699" t="s">
        <v>6792</v>
      </c>
      <c r="O699">
        <v>1</v>
      </c>
      <c r="P699" t="str">
        <f>+BARRAS[[#This Row],[Barra]]&amp;"_"&amp;BARRAS[[#This Row],[Nivel de tensión]]</f>
        <v>PANGUE_66</v>
      </c>
    </row>
    <row r="700" spans="1:16">
      <c r="A700" t="s">
        <v>1056</v>
      </c>
      <c r="B700">
        <v>23</v>
      </c>
      <c r="C700">
        <v>1405</v>
      </c>
      <c r="D700" t="s">
        <v>4261</v>
      </c>
      <c r="E700" t="s">
        <v>4262</v>
      </c>
      <c r="F700" t="s">
        <v>4263</v>
      </c>
      <c r="G700">
        <v>16301</v>
      </c>
      <c r="H700" t="s">
        <v>3414</v>
      </c>
      <c r="I700" t="s">
        <v>3391</v>
      </c>
      <c r="J700" t="s">
        <v>3392</v>
      </c>
      <c r="K700" t="s">
        <v>3304</v>
      </c>
      <c r="L700" t="s">
        <v>6778</v>
      </c>
      <c r="M700" t="s">
        <v>6779</v>
      </c>
      <c r="N700" t="s">
        <v>6792</v>
      </c>
      <c r="O700">
        <v>1</v>
      </c>
      <c r="P700" t="str">
        <f>+BARRAS[[#This Row],[Barra]]&amp;"_"&amp;BARRAS[[#This Row],[Nivel de tensión]]</f>
        <v>PICOLTUE_23</v>
      </c>
    </row>
    <row r="701" spans="1:16">
      <c r="A701" t="s">
        <v>3493</v>
      </c>
      <c r="B701">
        <v>13</v>
      </c>
      <c r="C701">
        <v>2514</v>
      </c>
      <c r="D701" t="s">
        <v>3494</v>
      </c>
      <c r="E701" t="s">
        <v>3495</v>
      </c>
      <c r="F701" t="s">
        <v>3496</v>
      </c>
      <c r="G701">
        <v>16301</v>
      </c>
      <c r="H701" t="s">
        <v>3405</v>
      </c>
      <c r="I701" t="s">
        <v>3391</v>
      </c>
      <c r="J701" t="s">
        <v>3392</v>
      </c>
      <c r="K701" t="s">
        <v>6315</v>
      </c>
      <c r="L701" t="s">
        <v>6778</v>
      </c>
      <c r="M701" t="s">
        <v>6779</v>
      </c>
      <c r="N701" t="s">
        <v>6792</v>
      </c>
      <c r="O701">
        <v>1</v>
      </c>
      <c r="P701" t="str">
        <f>+BARRAS[[#This Row],[Barra]]&amp;"_"&amp;BARRAS[[#This Row],[Nivel de tensión]]</f>
        <v>PUNITAQUI2_13</v>
      </c>
    </row>
    <row r="702" spans="1:16">
      <c r="A702" t="s">
        <v>4479</v>
      </c>
      <c r="B702">
        <v>23</v>
      </c>
      <c r="C702">
        <v>2876</v>
      </c>
      <c r="D702" t="s">
        <v>3397</v>
      </c>
      <c r="E702" t="s">
        <v>4480</v>
      </c>
      <c r="F702" t="s">
        <v>4481</v>
      </c>
      <c r="G702">
        <v>16301</v>
      </c>
      <c r="H702" t="s">
        <v>3390</v>
      </c>
      <c r="I702" t="s">
        <v>3391</v>
      </c>
      <c r="J702" t="s">
        <v>3392</v>
      </c>
      <c r="K702" t="s">
        <v>3305</v>
      </c>
      <c r="L702" t="s">
        <v>6778</v>
      </c>
      <c r="M702" t="s">
        <v>6779</v>
      </c>
      <c r="N702" t="s">
        <v>6792</v>
      </c>
      <c r="O702">
        <v>1</v>
      </c>
      <c r="P702" t="str">
        <f>+BARRAS[[#This Row],[Barra]]&amp;"_"&amp;BARRAS[[#This Row],[Nivel de tensión]]</f>
        <v>R.NEGRO_23</v>
      </c>
    </row>
    <row r="703" spans="1:16">
      <c r="A703" t="s">
        <v>1239</v>
      </c>
      <c r="B703">
        <v>66</v>
      </c>
      <c r="C703">
        <v>1</v>
      </c>
      <c r="D703" t="s">
        <v>3397</v>
      </c>
      <c r="E703" t="s">
        <v>3419</v>
      </c>
      <c r="F703" t="s">
        <v>3420</v>
      </c>
      <c r="G703">
        <v>16301</v>
      </c>
      <c r="H703" t="s">
        <v>3414</v>
      </c>
      <c r="I703" t="s">
        <v>3391</v>
      </c>
      <c r="J703" t="s">
        <v>3392</v>
      </c>
      <c r="K703" t="s">
        <v>3304</v>
      </c>
      <c r="L703" t="s">
        <v>6778</v>
      </c>
      <c r="M703" t="s">
        <v>6779</v>
      </c>
      <c r="N703" t="s">
        <v>6792</v>
      </c>
      <c r="O703">
        <v>1</v>
      </c>
      <c r="P703" t="str">
        <f>+BARRAS[[#This Row],[Barra]]&amp;"_"&amp;BARRAS[[#This Row],[Nivel de tensión]]</f>
        <v>S.CARLOS_66</v>
      </c>
    </row>
    <row r="704" spans="1:16">
      <c r="A704" t="s">
        <v>4695</v>
      </c>
      <c r="B704">
        <v>13</v>
      </c>
      <c r="C704">
        <v>920</v>
      </c>
      <c r="D704" t="s">
        <v>4696</v>
      </c>
      <c r="E704" t="s">
        <v>4697</v>
      </c>
      <c r="F704" t="s">
        <v>4698</v>
      </c>
      <c r="G704">
        <v>16301</v>
      </c>
      <c r="H704" t="s">
        <v>3469</v>
      </c>
      <c r="I704" t="s">
        <v>3391</v>
      </c>
      <c r="J704" t="s">
        <v>3392</v>
      </c>
      <c r="K704" t="s">
        <v>3303</v>
      </c>
      <c r="L704" t="s">
        <v>6778</v>
      </c>
      <c r="M704" t="s">
        <v>6779</v>
      </c>
      <c r="N704" t="s">
        <v>6792</v>
      </c>
      <c r="O704">
        <v>1</v>
      </c>
      <c r="P704" t="str">
        <f>+BARRAS[[#This Row],[Barra]]&amp;"_"&amp;BARRAS[[#This Row],[Nivel de tensión]]</f>
        <v>SAN_JOAQUIN_13</v>
      </c>
    </row>
    <row r="705" spans="1:16">
      <c r="A705" t="s">
        <v>3576</v>
      </c>
      <c r="B705">
        <v>110</v>
      </c>
      <c r="C705">
        <v>1</v>
      </c>
      <c r="D705" t="s">
        <v>3397</v>
      </c>
      <c r="E705" t="s">
        <v>3577</v>
      </c>
      <c r="F705" t="s">
        <v>3420</v>
      </c>
      <c r="G705">
        <v>16301</v>
      </c>
      <c r="H705" t="s">
        <v>3414</v>
      </c>
      <c r="I705" t="s">
        <v>3391</v>
      </c>
      <c r="J705" t="s">
        <v>3392</v>
      </c>
      <c r="K705" t="s">
        <v>3304</v>
      </c>
      <c r="L705" t="s">
        <v>6778</v>
      </c>
      <c r="M705" t="s">
        <v>6779</v>
      </c>
      <c r="N705" t="s">
        <v>6792</v>
      </c>
      <c r="O705">
        <v>1</v>
      </c>
      <c r="P705" t="str">
        <f>+BARRAS[[#This Row],[Barra]]&amp;"_"&amp;BARRAS[[#This Row],[Nivel de tensión]]</f>
        <v>T.A.MELIP_110</v>
      </c>
    </row>
    <row r="706" spans="1:16">
      <c r="A706" t="s">
        <v>3962</v>
      </c>
      <c r="B706">
        <v>110</v>
      </c>
      <c r="C706">
        <v>1</v>
      </c>
      <c r="D706" t="s">
        <v>3397</v>
      </c>
      <c r="E706" t="s">
        <v>3963</v>
      </c>
      <c r="F706" t="s">
        <v>3420</v>
      </c>
      <c r="G706">
        <v>16301</v>
      </c>
      <c r="H706" t="s">
        <v>3469</v>
      </c>
      <c r="I706" t="s">
        <v>3391</v>
      </c>
      <c r="J706" t="s">
        <v>3392</v>
      </c>
      <c r="K706" t="s">
        <v>3303</v>
      </c>
      <c r="L706" t="s">
        <v>6778</v>
      </c>
      <c r="M706" t="s">
        <v>6779</v>
      </c>
      <c r="N706" t="s">
        <v>6792</v>
      </c>
      <c r="O706">
        <v>1</v>
      </c>
      <c r="P706" t="str">
        <f>+BARRAS[[#This Row],[Barra]]&amp;"_"&amp;BARRAS[[#This Row],[Nivel de tensión]]</f>
        <v>TAP_LO_BOZA_110</v>
      </c>
    </row>
    <row r="707" spans="1:16">
      <c r="A707" t="s">
        <v>1242</v>
      </c>
      <c r="B707">
        <v>13</v>
      </c>
      <c r="C707">
        <v>166</v>
      </c>
      <c r="D707" t="s">
        <v>4588</v>
      </c>
      <c r="E707" t="s">
        <v>4589</v>
      </c>
      <c r="F707" t="s">
        <v>4590</v>
      </c>
      <c r="G707">
        <v>16301</v>
      </c>
      <c r="H707" t="s">
        <v>3414</v>
      </c>
      <c r="I707" t="s">
        <v>3391</v>
      </c>
      <c r="J707" t="s">
        <v>3392</v>
      </c>
      <c r="K707" t="s">
        <v>3304</v>
      </c>
      <c r="L707" t="s">
        <v>6778</v>
      </c>
      <c r="M707" t="s">
        <v>6779</v>
      </c>
      <c r="N707" t="s">
        <v>6792</v>
      </c>
      <c r="O707">
        <v>1</v>
      </c>
      <c r="P707" t="str">
        <f>+BARRAS[[#This Row],[Barra]]&amp;"_"&amp;BARRAS[[#This Row],[Nivel de tensión]]</f>
        <v>S.F.MOSTAZAL_13</v>
      </c>
    </row>
    <row r="708" spans="1:16">
      <c r="A708" t="s">
        <v>1242</v>
      </c>
      <c r="B708">
        <v>66</v>
      </c>
      <c r="C708">
        <v>1</v>
      </c>
      <c r="D708" t="s">
        <v>3397</v>
      </c>
      <c r="E708" t="s">
        <v>4591</v>
      </c>
      <c r="F708" t="s">
        <v>3420</v>
      </c>
      <c r="G708">
        <v>16301</v>
      </c>
      <c r="H708" t="s">
        <v>3414</v>
      </c>
      <c r="I708" t="s">
        <v>3391</v>
      </c>
      <c r="J708" t="s">
        <v>3392</v>
      </c>
      <c r="K708" t="s">
        <v>3304</v>
      </c>
      <c r="L708" t="s">
        <v>6778</v>
      </c>
      <c r="M708" t="s">
        <v>6779</v>
      </c>
      <c r="N708" t="s">
        <v>6792</v>
      </c>
      <c r="O708">
        <v>1</v>
      </c>
      <c r="P708" t="str">
        <f>+BARRAS[[#This Row],[Barra]]&amp;"_"&amp;BARRAS[[#This Row],[Nivel de tensión]]</f>
        <v>S.F.MOSTAZAL_66</v>
      </c>
    </row>
    <row r="709" spans="1:16">
      <c r="A709" t="s">
        <v>1245</v>
      </c>
      <c r="B709">
        <v>13</v>
      </c>
      <c r="C709">
        <v>1040</v>
      </c>
      <c r="D709" t="s">
        <v>4592</v>
      </c>
      <c r="E709" t="s">
        <v>4593</v>
      </c>
      <c r="F709" t="s">
        <v>4594</v>
      </c>
      <c r="G709">
        <v>16301</v>
      </c>
      <c r="H709" t="s">
        <v>3418</v>
      </c>
      <c r="I709" t="s">
        <v>3391</v>
      </c>
      <c r="J709" t="s">
        <v>3392</v>
      </c>
      <c r="K709" t="s">
        <v>3302</v>
      </c>
      <c r="L709" t="s">
        <v>6778</v>
      </c>
      <c r="M709" t="s">
        <v>6779</v>
      </c>
      <c r="N709" t="s">
        <v>6792</v>
      </c>
      <c r="O709">
        <v>1</v>
      </c>
      <c r="P709" t="str">
        <f>+BARRAS[[#This Row],[Barra]]&amp;"_"&amp;BARRAS[[#This Row],[Nivel de tensión]]</f>
        <v>S.FELIPE_13</v>
      </c>
    </row>
    <row r="710" spans="1:16">
      <c r="A710" t="s">
        <v>1245</v>
      </c>
      <c r="B710">
        <v>44</v>
      </c>
      <c r="C710">
        <v>1</v>
      </c>
      <c r="D710" t="s">
        <v>3397</v>
      </c>
      <c r="E710" t="s">
        <v>4595</v>
      </c>
      <c r="F710" t="s">
        <v>3420</v>
      </c>
      <c r="G710">
        <v>16301</v>
      </c>
      <c r="H710" t="s">
        <v>3418</v>
      </c>
      <c r="I710" t="s">
        <v>3391</v>
      </c>
      <c r="J710" t="s">
        <v>3392</v>
      </c>
      <c r="K710" t="s">
        <v>3302</v>
      </c>
      <c r="L710" t="s">
        <v>6778</v>
      </c>
      <c r="M710" t="s">
        <v>6779</v>
      </c>
      <c r="N710" t="s">
        <v>6792</v>
      </c>
      <c r="O710">
        <v>1</v>
      </c>
      <c r="P710" t="str">
        <f>+BARRAS[[#This Row],[Barra]]&amp;"_"&amp;BARRAS[[#This Row],[Nivel de tensión]]</f>
        <v>S.FELIPE_44</v>
      </c>
    </row>
    <row r="711" spans="1:16">
      <c r="A711" t="s">
        <v>1245</v>
      </c>
      <c r="B711">
        <v>110</v>
      </c>
      <c r="C711">
        <v>1</v>
      </c>
      <c r="D711" t="s">
        <v>3397</v>
      </c>
      <c r="E711" t="s">
        <v>3502</v>
      </c>
      <c r="F711" t="s">
        <v>3420</v>
      </c>
      <c r="G711">
        <v>16301</v>
      </c>
      <c r="H711" t="s">
        <v>3418</v>
      </c>
      <c r="I711" t="s">
        <v>3391</v>
      </c>
      <c r="J711" t="s">
        <v>3392</v>
      </c>
      <c r="K711" t="s">
        <v>3302</v>
      </c>
      <c r="L711" t="s">
        <v>6778</v>
      </c>
      <c r="M711" t="s">
        <v>6779</v>
      </c>
      <c r="N711" t="s">
        <v>6792</v>
      </c>
      <c r="O711">
        <v>1</v>
      </c>
      <c r="P711" t="str">
        <f>+BARRAS[[#This Row],[Barra]]&amp;"_"&amp;BARRAS[[#This Row],[Nivel de tensión]]</f>
        <v>S.FELIPE_110</v>
      </c>
    </row>
    <row r="712" spans="1:16">
      <c r="A712" t="s">
        <v>4596</v>
      </c>
      <c r="B712">
        <v>15</v>
      </c>
      <c r="C712">
        <v>1757</v>
      </c>
      <c r="D712" t="s">
        <v>4597</v>
      </c>
      <c r="E712" t="s">
        <v>4598</v>
      </c>
      <c r="F712" t="s">
        <v>4599</v>
      </c>
      <c r="G712">
        <v>16301</v>
      </c>
      <c r="H712" t="s">
        <v>3414</v>
      </c>
      <c r="I712" t="s">
        <v>3391</v>
      </c>
      <c r="J712" t="s">
        <v>3392</v>
      </c>
      <c r="K712" t="s">
        <v>3304</v>
      </c>
      <c r="L712" t="s">
        <v>6778</v>
      </c>
      <c r="M712" t="s">
        <v>6779</v>
      </c>
      <c r="N712" t="s">
        <v>6792</v>
      </c>
      <c r="O712">
        <v>1</v>
      </c>
      <c r="P712" t="str">
        <f>+BARRAS[[#This Row],[Barra]]&amp;"_"&amp;BARRAS[[#This Row],[Nivel de tensión]]</f>
        <v>S.FERNANDO_15</v>
      </c>
    </row>
    <row r="713" spans="1:16">
      <c r="A713" t="s">
        <v>4596</v>
      </c>
      <c r="B713">
        <v>66</v>
      </c>
      <c r="C713">
        <v>342</v>
      </c>
      <c r="D713" t="s">
        <v>4597</v>
      </c>
      <c r="E713" t="s">
        <v>4600</v>
      </c>
      <c r="F713" t="s">
        <v>4599</v>
      </c>
      <c r="G713">
        <v>16301</v>
      </c>
      <c r="H713" t="s">
        <v>3414</v>
      </c>
      <c r="I713" t="s">
        <v>3391</v>
      </c>
      <c r="J713" t="s">
        <v>3392</v>
      </c>
      <c r="K713" t="s">
        <v>3304</v>
      </c>
      <c r="L713" t="s">
        <v>6778</v>
      </c>
      <c r="M713" t="s">
        <v>6779</v>
      </c>
      <c r="N713" t="s">
        <v>6792</v>
      </c>
      <c r="O713">
        <v>1</v>
      </c>
      <c r="P713" t="str">
        <f>+BARRAS[[#This Row],[Barra]]&amp;"_"&amp;BARRAS[[#This Row],[Nivel de tensión]]</f>
        <v>S.FERNANDO_66</v>
      </c>
    </row>
    <row r="714" spans="1:16">
      <c r="A714" t="s">
        <v>4596</v>
      </c>
      <c r="B714">
        <v>154</v>
      </c>
      <c r="C714">
        <v>1</v>
      </c>
      <c r="D714" t="s">
        <v>3397</v>
      </c>
      <c r="E714" t="s">
        <v>4601</v>
      </c>
      <c r="F714" t="s">
        <v>3420</v>
      </c>
      <c r="G714">
        <v>16301</v>
      </c>
      <c r="H714" t="s">
        <v>3414</v>
      </c>
      <c r="I714" t="s">
        <v>3391</v>
      </c>
      <c r="J714" t="s">
        <v>3392</v>
      </c>
      <c r="K714" t="s">
        <v>3304</v>
      </c>
      <c r="L714" t="s">
        <v>6778</v>
      </c>
      <c r="M714" t="s">
        <v>6779</v>
      </c>
      <c r="N714" t="s">
        <v>6792</v>
      </c>
      <c r="O714">
        <v>1</v>
      </c>
      <c r="P714" t="str">
        <f>+BARRAS[[#This Row],[Barra]]&amp;"_"&amp;BARRAS[[#This Row],[Nivel de tensión]]</f>
        <v>S.FERNANDO_154</v>
      </c>
    </row>
    <row r="715" spans="1:16">
      <c r="A715" t="s">
        <v>4602</v>
      </c>
      <c r="B715">
        <v>220</v>
      </c>
      <c r="C715">
        <v>1</v>
      </c>
      <c r="D715" t="s">
        <v>3397</v>
      </c>
      <c r="E715" t="s">
        <v>4603</v>
      </c>
      <c r="F715" t="s">
        <v>3420</v>
      </c>
      <c r="G715">
        <v>16301</v>
      </c>
      <c r="H715" t="s">
        <v>3409</v>
      </c>
      <c r="I715" t="s">
        <v>3391</v>
      </c>
      <c r="J715" t="s">
        <v>3392</v>
      </c>
      <c r="K715" t="s">
        <v>6315</v>
      </c>
      <c r="L715" t="s">
        <v>6778</v>
      </c>
      <c r="M715" t="s">
        <v>6779</v>
      </c>
      <c r="N715" t="s">
        <v>6792</v>
      </c>
      <c r="O715">
        <v>1</v>
      </c>
      <c r="P715" t="str">
        <f>+BARRAS[[#This Row],[Barra]]&amp;"_"&amp;BARRAS[[#This Row],[Nivel de tensión]]</f>
        <v>S.FRUTILLAR.N_220</v>
      </c>
    </row>
    <row r="716" spans="1:16">
      <c r="A716" t="s">
        <v>4604</v>
      </c>
      <c r="B716">
        <v>220</v>
      </c>
      <c r="C716">
        <v>2273</v>
      </c>
      <c r="D716" t="s">
        <v>4605</v>
      </c>
      <c r="E716" t="s">
        <v>4606</v>
      </c>
      <c r="F716" t="s">
        <v>4607</v>
      </c>
      <c r="G716">
        <v>16301</v>
      </c>
      <c r="H716" t="s">
        <v>3405</v>
      </c>
      <c r="I716" t="s">
        <v>3391</v>
      </c>
      <c r="J716" t="s">
        <v>3392</v>
      </c>
      <c r="K716" t="s">
        <v>6315</v>
      </c>
      <c r="L716" t="s">
        <v>6778</v>
      </c>
      <c r="M716" t="s">
        <v>6779</v>
      </c>
      <c r="N716" t="s">
        <v>6792</v>
      </c>
      <c r="O716">
        <v>1</v>
      </c>
      <c r="P716" t="str">
        <f>+BARRAS[[#This Row],[Barra]]&amp;"_"&amp;BARRAS[[#This Row],[Nivel de tensión]]</f>
        <v>S.GORDA_220</v>
      </c>
    </row>
    <row r="717" spans="1:16">
      <c r="A717" t="s">
        <v>1253</v>
      </c>
      <c r="B717">
        <v>13</v>
      </c>
      <c r="C717">
        <v>1092</v>
      </c>
      <c r="D717" t="s">
        <v>4608</v>
      </c>
      <c r="E717" t="s">
        <v>4609</v>
      </c>
      <c r="F717" t="s">
        <v>4610</v>
      </c>
      <c r="G717">
        <v>16301</v>
      </c>
      <c r="H717" t="s">
        <v>3414</v>
      </c>
      <c r="I717" t="s">
        <v>3391</v>
      </c>
      <c r="J717" t="s">
        <v>3392</v>
      </c>
      <c r="K717" t="s">
        <v>3304</v>
      </c>
      <c r="L717" t="s">
        <v>6778</v>
      </c>
      <c r="M717" t="s">
        <v>6779</v>
      </c>
      <c r="N717" t="s">
        <v>6792</v>
      </c>
      <c r="O717">
        <v>1</v>
      </c>
      <c r="P717" t="str">
        <f>+BARRAS[[#This Row],[Barra]]&amp;"_"&amp;BARRAS[[#This Row],[Nivel de tensión]]</f>
        <v>S.GREGORIO_13</v>
      </c>
    </row>
    <row r="718" spans="1:16">
      <c r="A718" t="s">
        <v>1253</v>
      </c>
      <c r="B718">
        <v>66</v>
      </c>
      <c r="C718">
        <v>1091</v>
      </c>
      <c r="D718" t="s">
        <v>4611</v>
      </c>
      <c r="E718" t="s">
        <v>4612</v>
      </c>
      <c r="F718" t="s">
        <v>4610</v>
      </c>
      <c r="G718">
        <v>16301</v>
      </c>
      <c r="H718" t="s">
        <v>3414</v>
      </c>
      <c r="I718" t="s">
        <v>3391</v>
      </c>
      <c r="J718" t="s">
        <v>3392</v>
      </c>
      <c r="K718" t="s">
        <v>3304</v>
      </c>
      <c r="L718" t="s">
        <v>6778</v>
      </c>
      <c r="M718" t="s">
        <v>6779</v>
      </c>
      <c r="N718" t="s">
        <v>6792</v>
      </c>
      <c r="O718">
        <v>1</v>
      </c>
      <c r="P718" t="str">
        <f>+BARRAS[[#This Row],[Barra]]&amp;"_"&amp;BARRAS[[#This Row],[Nivel de tensión]]</f>
        <v>S.GREGORIO_66</v>
      </c>
    </row>
    <row r="719" spans="1:16">
      <c r="A719" t="s">
        <v>1256</v>
      </c>
      <c r="B719">
        <v>23</v>
      </c>
      <c r="C719">
        <v>622</v>
      </c>
      <c r="D719" t="s">
        <v>4613</v>
      </c>
      <c r="E719" t="s">
        <v>4614</v>
      </c>
      <c r="F719" t="s">
        <v>4615</v>
      </c>
      <c r="G719">
        <v>16301</v>
      </c>
      <c r="H719" t="s">
        <v>3414</v>
      </c>
      <c r="I719" t="s">
        <v>3391</v>
      </c>
      <c r="J719" t="s">
        <v>3392</v>
      </c>
      <c r="K719" t="s">
        <v>3304</v>
      </c>
      <c r="L719" t="s">
        <v>6778</v>
      </c>
      <c r="M719" t="s">
        <v>6779</v>
      </c>
      <c r="N719" t="s">
        <v>6792</v>
      </c>
      <c r="O719">
        <v>1</v>
      </c>
      <c r="P719" t="str">
        <f>+BARRAS[[#This Row],[Barra]]&amp;"_"&amp;BARRAS[[#This Row],[Nivel de tensión]]</f>
        <v>S.JAVIER_23</v>
      </c>
    </row>
    <row r="720" spans="1:16">
      <c r="A720" t="s">
        <v>1256</v>
      </c>
      <c r="B720">
        <v>66</v>
      </c>
      <c r="C720">
        <v>1</v>
      </c>
      <c r="D720" t="s">
        <v>3397</v>
      </c>
      <c r="E720" t="s">
        <v>3615</v>
      </c>
      <c r="F720" t="s">
        <v>3420</v>
      </c>
      <c r="G720">
        <v>16301</v>
      </c>
      <c r="H720" t="s">
        <v>3414</v>
      </c>
      <c r="I720" t="s">
        <v>3391</v>
      </c>
      <c r="J720" t="s">
        <v>3392</v>
      </c>
      <c r="K720" t="s">
        <v>3304</v>
      </c>
      <c r="L720" t="s">
        <v>6778</v>
      </c>
      <c r="M720" t="s">
        <v>6779</v>
      </c>
      <c r="N720" t="s">
        <v>6792</v>
      </c>
      <c r="O720">
        <v>1</v>
      </c>
      <c r="P720" t="str">
        <f>+BARRAS[[#This Row],[Barra]]&amp;"_"&amp;BARRAS[[#This Row],[Nivel de tensión]]</f>
        <v>S.JAVIER_66</v>
      </c>
    </row>
    <row r="721" spans="1:16">
      <c r="A721" t="s">
        <v>1259</v>
      </c>
      <c r="B721">
        <v>13</v>
      </c>
      <c r="C721">
        <v>1082</v>
      </c>
      <c r="D721" t="s">
        <v>4616</v>
      </c>
      <c r="E721" t="s">
        <v>4617</v>
      </c>
      <c r="F721" t="s">
        <v>4618</v>
      </c>
      <c r="G721">
        <v>16301</v>
      </c>
      <c r="H721" t="s">
        <v>3418</v>
      </c>
      <c r="I721" t="s">
        <v>3391</v>
      </c>
      <c r="J721" t="s">
        <v>3392</v>
      </c>
      <c r="K721" t="s">
        <v>3302</v>
      </c>
      <c r="L721" t="s">
        <v>6778</v>
      </c>
      <c r="M721" t="s">
        <v>6779</v>
      </c>
      <c r="N721" t="s">
        <v>6792</v>
      </c>
      <c r="O721">
        <v>1</v>
      </c>
      <c r="P721" t="str">
        <f>+BARRAS[[#This Row],[Barra]]&amp;"_"&amp;BARRAS[[#This Row],[Nivel de tensión]]</f>
        <v>S.JERONIMO_13</v>
      </c>
    </row>
    <row r="722" spans="1:16">
      <c r="A722" t="s">
        <v>1259</v>
      </c>
      <c r="B722">
        <v>66</v>
      </c>
      <c r="C722">
        <v>1</v>
      </c>
      <c r="D722" t="s">
        <v>3397</v>
      </c>
      <c r="E722" t="s">
        <v>4619</v>
      </c>
      <c r="F722" t="s">
        <v>3420</v>
      </c>
      <c r="G722">
        <v>16301</v>
      </c>
      <c r="H722" t="s">
        <v>3418</v>
      </c>
      <c r="I722" t="s">
        <v>3391</v>
      </c>
      <c r="J722" t="s">
        <v>3392</v>
      </c>
      <c r="K722" t="s">
        <v>3302</v>
      </c>
      <c r="L722" t="s">
        <v>6778</v>
      </c>
      <c r="M722" t="s">
        <v>6779</v>
      </c>
      <c r="N722" t="s">
        <v>6792</v>
      </c>
      <c r="O722">
        <v>1</v>
      </c>
      <c r="P722" t="str">
        <f>+BARRAS[[#This Row],[Barra]]&amp;"_"&amp;BARRAS[[#This Row],[Nivel de tensión]]</f>
        <v>S.JERONIMO_66</v>
      </c>
    </row>
    <row r="723" spans="1:16">
      <c r="A723" t="s">
        <v>4620</v>
      </c>
      <c r="B723">
        <v>15</v>
      </c>
      <c r="C723">
        <v>344</v>
      </c>
      <c r="D723" t="s">
        <v>4621</v>
      </c>
      <c r="E723" t="s">
        <v>4622</v>
      </c>
      <c r="F723" t="s">
        <v>4623</v>
      </c>
      <c r="G723">
        <v>16301</v>
      </c>
      <c r="H723" t="s">
        <v>3400</v>
      </c>
      <c r="I723" t="s">
        <v>3391</v>
      </c>
      <c r="J723" t="s">
        <v>3392</v>
      </c>
      <c r="K723" t="s">
        <v>3301</v>
      </c>
      <c r="L723" t="s">
        <v>6778</v>
      </c>
      <c r="M723" t="s">
        <v>6779</v>
      </c>
      <c r="N723" t="s">
        <v>6792</v>
      </c>
      <c r="O723">
        <v>1</v>
      </c>
      <c r="P723" t="str">
        <f>+BARRAS[[#This Row],[Barra]]&amp;"_"&amp;BARRAS[[#This Row],[Nivel de tensión]]</f>
        <v>S.JOAQUIN_15</v>
      </c>
    </row>
    <row r="724" spans="1:16">
      <c r="A724" t="s">
        <v>4620</v>
      </c>
      <c r="B724">
        <v>110</v>
      </c>
      <c r="C724">
        <v>1</v>
      </c>
      <c r="D724" t="s">
        <v>3397</v>
      </c>
      <c r="E724" t="s">
        <v>4624</v>
      </c>
      <c r="F724" t="s">
        <v>3420</v>
      </c>
      <c r="G724">
        <v>16301</v>
      </c>
      <c r="H724" t="s">
        <v>3400</v>
      </c>
      <c r="I724" t="s">
        <v>3391</v>
      </c>
      <c r="J724" t="s">
        <v>3392</v>
      </c>
      <c r="K724" t="s">
        <v>3301</v>
      </c>
      <c r="L724" t="s">
        <v>6778</v>
      </c>
      <c r="M724" t="s">
        <v>6779</v>
      </c>
      <c r="N724" t="s">
        <v>6792</v>
      </c>
      <c r="O724">
        <v>1</v>
      </c>
      <c r="P724" t="str">
        <f>+BARRAS[[#This Row],[Barra]]&amp;"_"&amp;BARRAS[[#This Row],[Nivel de tensión]]</f>
        <v>S.JOAQUIN_110</v>
      </c>
    </row>
    <row r="725" spans="1:16">
      <c r="A725" t="s">
        <v>4625</v>
      </c>
      <c r="B725">
        <v>220</v>
      </c>
      <c r="C725">
        <v>1</v>
      </c>
      <c r="D725" t="s">
        <v>3397</v>
      </c>
      <c r="E725" t="s">
        <v>4626</v>
      </c>
      <c r="F725" t="s">
        <v>3420</v>
      </c>
      <c r="G725">
        <v>16301</v>
      </c>
      <c r="H725" t="s">
        <v>3405</v>
      </c>
      <c r="I725" t="s">
        <v>3391</v>
      </c>
      <c r="J725" t="s">
        <v>3392</v>
      </c>
      <c r="K725" t="s">
        <v>6315</v>
      </c>
      <c r="L725" t="s">
        <v>6778</v>
      </c>
      <c r="M725" t="s">
        <v>6779</v>
      </c>
      <c r="N725" t="s">
        <v>6792</v>
      </c>
      <c r="O725">
        <v>1</v>
      </c>
      <c r="P725" t="str">
        <f>+BARRAS[[#This Row],[Barra]]&amp;"_"&amp;BARRAS[[#This Row],[Nivel de tensión]]</f>
        <v>S.LUIS_220</v>
      </c>
    </row>
    <row r="726" spans="1:16">
      <c r="A726" t="s">
        <v>4627</v>
      </c>
      <c r="B726">
        <v>220</v>
      </c>
      <c r="C726">
        <v>1</v>
      </c>
      <c r="D726" t="s">
        <v>3397</v>
      </c>
      <c r="E726" t="s">
        <v>3419</v>
      </c>
      <c r="F726" t="s">
        <v>3420</v>
      </c>
      <c r="G726">
        <v>16301</v>
      </c>
      <c r="H726" t="s">
        <v>3405</v>
      </c>
      <c r="I726" t="s">
        <v>3391</v>
      </c>
      <c r="J726" t="s">
        <v>3392</v>
      </c>
      <c r="K726" t="s">
        <v>6315</v>
      </c>
      <c r="L726" t="s">
        <v>6778</v>
      </c>
      <c r="M726" t="s">
        <v>6779</v>
      </c>
      <c r="N726" t="s">
        <v>6792</v>
      </c>
      <c r="O726">
        <v>1</v>
      </c>
      <c r="P726" t="str">
        <f>+BARRAS[[#This Row],[Barra]]&amp;"_"&amp;BARRAS[[#This Row],[Nivel de tensión]]</f>
        <v>S.LUIS2_220</v>
      </c>
    </row>
    <row r="727" spans="1:16">
      <c r="A727" t="s">
        <v>1266</v>
      </c>
      <c r="B727">
        <v>13</v>
      </c>
      <c r="C727">
        <v>168</v>
      </c>
      <c r="D727" t="s">
        <v>4628</v>
      </c>
      <c r="E727" t="s">
        <v>4629</v>
      </c>
      <c r="F727" t="s">
        <v>4630</v>
      </c>
      <c r="G727">
        <v>16301</v>
      </c>
      <c r="H727" t="s">
        <v>3414</v>
      </c>
      <c r="I727" t="s">
        <v>3391</v>
      </c>
      <c r="J727" t="s">
        <v>3392</v>
      </c>
      <c r="K727" t="s">
        <v>3304</v>
      </c>
      <c r="L727" t="s">
        <v>6778</v>
      </c>
      <c r="M727" t="s">
        <v>6779</v>
      </c>
      <c r="N727" t="s">
        <v>6792</v>
      </c>
      <c r="O727">
        <v>1</v>
      </c>
      <c r="P727" t="str">
        <f>+BARRAS[[#This Row],[Barra]]&amp;"_"&amp;BARRAS[[#This Row],[Nivel de tensión]]</f>
        <v>S.MIGUEL_13</v>
      </c>
    </row>
    <row r="728" spans="1:16">
      <c r="A728" t="s">
        <v>1266</v>
      </c>
      <c r="B728">
        <v>66</v>
      </c>
      <c r="C728">
        <v>1</v>
      </c>
      <c r="D728" t="s">
        <v>3397</v>
      </c>
      <c r="E728" t="s">
        <v>4631</v>
      </c>
      <c r="F728" t="s">
        <v>3420</v>
      </c>
      <c r="G728">
        <v>16301</v>
      </c>
      <c r="H728" t="s">
        <v>3414</v>
      </c>
      <c r="I728" t="s">
        <v>3391</v>
      </c>
      <c r="J728" t="s">
        <v>3392</v>
      </c>
      <c r="K728" t="s">
        <v>3304</v>
      </c>
      <c r="L728" t="s">
        <v>6778</v>
      </c>
      <c r="M728" t="s">
        <v>6779</v>
      </c>
      <c r="N728" t="s">
        <v>6792</v>
      </c>
      <c r="O728">
        <v>1</v>
      </c>
      <c r="P728" t="str">
        <f>+BARRAS[[#This Row],[Barra]]&amp;"_"&amp;BARRAS[[#This Row],[Nivel de tensión]]</f>
        <v>S.MIGUEL_66</v>
      </c>
    </row>
    <row r="729" spans="1:16">
      <c r="A729" t="s">
        <v>4632</v>
      </c>
      <c r="B729">
        <v>66</v>
      </c>
      <c r="C729">
        <v>1803</v>
      </c>
      <c r="D729" t="s">
        <v>4633</v>
      </c>
      <c r="E729" t="s">
        <v>4634</v>
      </c>
      <c r="F729" t="s">
        <v>4635</v>
      </c>
      <c r="G729">
        <v>16301</v>
      </c>
      <c r="H729" t="s">
        <v>3414</v>
      </c>
      <c r="I729" t="s">
        <v>3391</v>
      </c>
      <c r="J729" t="s">
        <v>3392</v>
      </c>
      <c r="K729" t="s">
        <v>3304</v>
      </c>
      <c r="L729" t="s">
        <v>6778</v>
      </c>
      <c r="M729" t="s">
        <v>6779</v>
      </c>
      <c r="N729" t="s">
        <v>6792</v>
      </c>
      <c r="O729">
        <v>1</v>
      </c>
      <c r="P729" t="str">
        <f>+BARRAS[[#This Row],[Barra]]&amp;"_"&amp;BARRAS[[#This Row],[Nivel de tensión]]</f>
        <v>S.P.PAPELES_66</v>
      </c>
    </row>
    <row r="730" spans="1:16">
      <c r="A730" t="s">
        <v>1270</v>
      </c>
      <c r="B730">
        <v>13</v>
      </c>
      <c r="C730">
        <v>1758</v>
      </c>
      <c r="D730" t="s">
        <v>4636</v>
      </c>
      <c r="E730" t="s">
        <v>4637</v>
      </c>
      <c r="F730" t="s">
        <v>4638</v>
      </c>
      <c r="G730">
        <v>16301</v>
      </c>
      <c r="H730" t="s">
        <v>3418</v>
      </c>
      <c r="I730" t="s">
        <v>3391</v>
      </c>
      <c r="J730" t="s">
        <v>3392</v>
      </c>
      <c r="K730" t="s">
        <v>3302</v>
      </c>
      <c r="L730" t="s">
        <v>6778</v>
      </c>
      <c r="M730" t="s">
        <v>6779</v>
      </c>
      <c r="N730" t="s">
        <v>6792</v>
      </c>
      <c r="O730">
        <v>1</v>
      </c>
      <c r="P730" t="str">
        <f>+BARRAS[[#This Row],[Barra]]&amp;"_"&amp;BARRAS[[#This Row],[Nivel de tensión]]</f>
        <v>S.PEDRO_13</v>
      </c>
    </row>
    <row r="731" spans="1:16">
      <c r="A731" t="s">
        <v>1270</v>
      </c>
      <c r="B731">
        <v>110</v>
      </c>
      <c r="C731">
        <v>1</v>
      </c>
      <c r="D731" t="s">
        <v>3397</v>
      </c>
      <c r="E731" t="s">
        <v>4639</v>
      </c>
      <c r="F731" t="s">
        <v>3420</v>
      </c>
      <c r="G731">
        <v>16301</v>
      </c>
      <c r="H731" t="s">
        <v>3418</v>
      </c>
      <c r="I731" t="s">
        <v>3391</v>
      </c>
      <c r="J731" t="s">
        <v>3392</v>
      </c>
      <c r="K731" t="s">
        <v>3302</v>
      </c>
      <c r="L731" t="s">
        <v>6778</v>
      </c>
      <c r="M731" t="s">
        <v>6779</v>
      </c>
      <c r="N731" t="s">
        <v>6792</v>
      </c>
      <c r="O731">
        <v>1</v>
      </c>
      <c r="P731" t="str">
        <f>+BARRAS[[#This Row],[Barra]]&amp;"_"&amp;BARRAS[[#This Row],[Nivel de tensión]]</f>
        <v>S.PEDRO_110</v>
      </c>
    </row>
    <row r="732" spans="1:16">
      <c r="A732" t="s">
        <v>4695</v>
      </c>
      <c r="B732">
        <v>110</v>
      </c>
      <c r="C732">
        <v>1</v>
      </c>
      <c r="D732" t="s">
        <v>3397</v>
      </c>
      <c r="E732" t="s">
        <v>4624</v>
      </c>
      <c r="F732" t="s">
        <v>3420</v>
      </c>
      <c r="G732">
        <v>16301</v>
      </c>
      <c r="H732" t="s">
        <v>3469</v>
      </c>
      <c r="I732" t="s">
        <v>3391</v>
      </c>
      <c r="J732" t="s">
        <v>3392</v>
      </c>
      <c r="K732" t="s">
        <v>3303</v>
      </c>
      <c r="L732" t="s">
        <v>6778</v>
      </c>
      <c r="M732" t="s">
        <v>6779</v>
      </c>
      <c r="N732" t="s">
        <v>6792</v>
      </c>
      <c r="O732">
        <v>1</v>
      </c>
      <c r="P732" t="str">
        <f>+BARRAS[[#This Row],[Barra]]&amp;"_"&amp;BARRAS[[#This Row],[Nivel de tensión]]</f>
        <v>SAN_JOAQUIN_110</v>
      </c>
    </row>
    <row r="733" spans="1:16">
      <c r="A733" t="s">
        <v>4699</v>
      </c>
      <c r="B733">
        <v>13</v>
      </c>
      <c r="C733">
        <v>931</v>
      </c>
      <c r="D733" t="s">
        <v>4700</v>
      </c>
      <c r="E733" t="s">
        <v>4701</v>
      </c>
      <c r="F733" t="s">
        <v>4702</v>
      </c>
      <c r="G733">
        <v>16301</v>
      </c>
      <c r="H733" t="s">
        <v>3469</v>
      </c>
      <c r="I733" t="s">
        <v>3391</v>
      </c>
      <c r="J733" t="s">
        <v>3392</v>
      </c>
      <c r="K733" t="s">
        <v>3303</v>
      </c>
      <c r="L733" t="s">
        <v>6778</v>
      </c>
      <c r="M733" t="s">
        <v>6779</v>
      </c>
      <c r="N733" t="s">
        <v>6792</v>
      </c>
      <c r="O733">
        <v>1</v>
      </c>
      <c r="P733" t="str">
        <f>+BARRAS[[#This Row],[Barra]]&amp;"_"&amp;BARRAS[[#This Row],[Nivel de tensión]]</f>
        <v>SAN_JOSE_13</v>
      </c>
    </row>
    <row r="734" spans="1:16">
      <c r="A734" t="s">
        <v>4699</v>
      </c>
      <c r="B734">
        <v>110</v>
      </c>
      <c r="C734">
        <v>1</v>
      </c>
      <c r="D734" t="s">
        <v>3397</v>
      </c>
      <c r="E734" t="s">
        <v>4703</v>
      </c>
      <c r="F734" t="s">
        <v>3420</v>
      </c>
      <c r="G734">
        <v>16301</v>
      </c>
      <c r="H734" t="s">
        <v>3469</v>
      </c>
      <c r="I734" t="s">
        <v>3391</v>
      </c>
      <c r="J734" t="s">
        <v>3392</v>
      </c>
      <c r="K734" t="s">
        <v>3303</v>
      </c>
      <c r="L734" t="s">
        <v>6778</v>
      </c>
      <c r="M734" t="s">
        <v>6779</v>
      </c>
      <c r="N734" t="s">
        <v>6792</v>
      </c>
      <c r="O734">
        <v>1</v>
      </c>
      <c r="P734" t="str">
        <f>+BARRAS[[#This Row],[Barra]]&amp;"_"&amp;BARRAS[[#This Row],[Nivel de tensión]]</f>
        <v>SAN_JOSE_110</v>
      </c>
    </row>
    <row r="735" spans="1:16">
      <c r="A735" t="s">
        <v>4704</v>
      </c>
      <c r="B735">
        <v>13</v>
      </c>
      <c r="C735">
        <v>384</v>
      </c>
      <c r="D735" t="s">
        <v>4705</v>
      </c>
      <c r="E735" t="s">
        <v>4706</v>
      </c>
      <c r="F735" t="s">
        <v>4707</v>
      </c>
      <c r="G735">
        <v>16301</v>
      </c>
      <c r="H735" t="s">
        <v>3400</v>
      </c>
      <c r="I735" t="s">
        <v>3391</v>
      </c>
      <c r="J735" t="s">
        <v>3392</v>
      </c>
      <c r="K735" t="s">
        <v>3301</v>
      </c>
      <c r="L735" t="s">
        <v>6778</v>
      </c>
      <c r="M735" t="s">
        <v>6779</v>
      </c>
      <c r="N735" t="s">
        <v>6792</v>
      </c>
      <c r="O735">
        <v>1</v>
      </c>
      <c r="P735" t="str">
        <f>+BARRAS[[#This Row],[Barra]]&amp;"_"&amp;BARRAS[[#This Row],[Nivel de tensión]]</f>
        <v>SAN_JUAN_13</v>
      </c>
    </row>
    <row r="736" spans="1:16">
      <c r="A736" t="s">
        <v>4704</v>
      </c>
      <c r="B736">
        <v>66</v>
      </c>
      <c r="C736">
        <v>1</v>
      </c>
      <c r="D736" t="s">
        <v>3397</v>
      </c>
      <c r="E736" t="s">
        <v>4708</v>
      </c>
      <c r="F736" t="s">
        <v>3420</v>
      </c>
      <c r="G736">
        <v>16301</v>
      </c>
      <c r="H736" t="s">
        <v>3400</v>
      </c>
      <c r="I736" t="s">
        <v>3391</v>
      </c>
      <c r="J736" t="s">
        <v>3392</v>
      </c>
      <c r="K736" t="s">
        <v>3301</v>
      </c>
      <c r="L736" t="s">
        <v>6778</v>
      </c>
      <c r="M736" t="s">
        <v>6779</v>
      </c>
      <c r="N736" t="s">
        <v>6792</v>
      </c>
      <c r="O736">
        <v>1</v>
      </c>
      <c r="P736" t="str">
        <f>+BARRAS[[#This Row],[Barra]]&amp;"_"&amp;BARRAS[[#This Row],[Nivel de tensión]]</f>
        <v>SAN_JUAN_66</v>
      </c>
    </row>
    <row r="737" spans="1:16">
      <c r="A737" t="s">
        <v>3505</v>
      </c>
      <c r="B737">
        <v>13</v>
      </c>
      <c r="C737">
        <v>940</v>
      </c>
      <c r="D737" t="s">
        <v>4709</v>
      </c>
      <c r="E737" t="s">
        <v>4710</v>
      </c>
      <c r="F737" t="s">
        <v>4711</v>
      </c>
      <c r="G737">
        <v>16301</v>
      </c>
      <c r="H737" t="s">
        <v>3469</v>
      </c>
      <c r="I737" t="s">
        <v>3391</v>
      </c>
      <c r="J737" t="s">
        <v>3392</v>
      </c>
      <c r="K737" t="s">
        <v>3303</v>
      </c>
      <c r="L737" t="s">
        <v>6778</v>
      </c>
      <c r="M737" t="s">
        <v>6779</v>
      </c>
      <c r="N737" t="s">
        <v>6792</v>
      </c>
      <c r="O737">
        <v>1</v>
      </c>
      <c r="P737" t="str">
        <f>+BARRAS[[#This Row],[Barra]]&amp;"_"&amp;BARRAS[[#This Row],[Nivel de tensión]]</f>
        <v>SAN_PABLO_13</v>
      </c>
    </row>
    <row r="738" spans="1:16">
      <c r="A738" t="s">
        <v>3505</v>
      </c>
      <c r="B738">
        <v>110</v>
      </c>
      <c r="C738">
        <v>1</v>
      </c>
      <c r="D738" t="s">
        <v>3397</v>
      </c>
      <c r="E738" t="s">
        <v>3506</v>
      </c>
      <c r="F738" t="s">
        <v>3420</v>
      </c>
      <c r="G738">
        <v>16301</v>
      </c>
      <c r="H738" t="s">
        <v>3469</v>
      </c>
      <c r="I738" t="s">
        <v>3391</v>
      </c>
      <c r="J738" t="s">
        <v>3392</v>
      </c>
      <c r="K738" t="s">
        <v>3303</v>
      </c>
      <c r="L738" t="s">
        <v>6778</v>
      </c>
      <c r="M738" t="s">
        <v>6779</v>
      </c>
      <c r="N738" t="s">
        <v>6792</v>
      </c>
      <c r="O738">
        <v>1</v>
      </c>
      <c r="P738" t="str">
        <f>+BARRAS[[#This Row],[Barra]]&amp;"_"&amp;BARRAS[[#This Row],[Nivel de tensión]]</f>
        <v>SAN_PABLO_110</v>
      </c>
    </row>
    <row r="739" spans="1:16">
      <c r="A739" t="s">
        <v>4712</v>
      </c>
      <c r="B739">
        <v>220</v>
      </c>
      <c r="C739">
        <v>1</v>
      </c>
      <c r="D739" t="s">
        <v>3397</v>
      </c>
      <c r="E739" t="s">
        <v>4713</v>
      </c>
      <c r="F739" t="s">
        <v>3420</v>
      </c>
      <c r="G739">
        <v>16301</v>
      </c>
      <c r="H739" t="s">
        <v>3405</v>
      </c>
      <c r="I739" t="s">
        <v>3391</v>
      </c>
      <c r="J739" t="s">
        <v>3392</v>
      </c>
      <c r="K739" t="s">
        <v>6315</v>
      </c>
      <c r="L739" t="s">
        <v>6778</v>
      </c>
      <c r="M739" t="s">
        <v>6779</v>
      </c>
      <c r="N739" t="s">
        <v>6792</v>
      </c>
      <c r="O739">
        <v>1</v>
      </c>
      <c r="P739" t="str">
        <f>+BARRAS[[#This Row],[Barra]]&amp;"_"&amp;BARRAS[[#This Row],[Nivel de tensión]]</f>
        <v>SANGABRIEL_220</v>
      </c>
    </row>
    <row r="740" spans="1:16">
      <c r="A740" t="s">
        <v>4714</v>
      </c>
      <c r="B740">
        <v>23</v>
      </c>
      <c r="C740">
        <v>3044</v>
      </c>
      <c r="D740" t="s">
        <v>3397</v>
      </c>
      <c r="E740" t="s">
        <v>4715</v>
      </c>
      <c r="F740" t="s">
        <v>4716</v>
      </c>
      <c r="G740">
        <v>16301</v>
      </c>
      <c r="H740" t="s">
        <v>3390</v>
      </c>
      <c r="I740" t="s">
        <v>3391</v>
      </c>
      <c r="J740" t="s">
        <v>3392</v>
      </c>
      <c r="K740" t="s">
        <v>3305</v>
      </c>
      <c r="L740" t="s">
        <v>6778</v>
      </c>
      <c r="M740" t="s">
        <v>6779</v>
      </c>
      <c r="N740" t="s">
        <v>6792</v>
      </c>
      <c r="O740">
        <v>1</v>
      </c>
      <c r="P740" t="str">
        <f>+BARRAS[[#This Row],[Barra]]&amp;"_"&amp;BARRAS[[#This Row],[Nivel de tensión]]</f>
        <v>SANGRA_23</v>
      </c>
    </row>
    <row r="741" spans="1:16">
      <c r="A741" t="s">
        <v>4714</v>
      </c>
      <c r="B741">
        <v>66</v>
      </c>
      <c r="C741">
        <v>1</v>
      </c>
      <c r="D741" t="s">
        <v>3397</v>
      </c>
      <c r="E741" t="s">
        <v>4717</v>
      </c>
      <c r="F741" t="s">
        <v>3420</v>
      </c>
      <c r="G741">
        <v>16301</v>
      </c>
      <c r="H741" t="s">
        <v>3390</v>
      </c>
      <c r="I741" t="s">
        <v>3391</v>
      </c>
      <c r="J741" t="s">
        <v>3392</v>
      </c>
      <c r="K741" t="s">
        <v>3305</v>
      </c>
      <c r="L741" t="s">
        <v>6778</v>
      </c>
      <c r="M741" t="s">
        <v>6779</v>
      </c>
      <c r="N741" t="s">
        <v>6792</v>
      </c>
      <c r="O741">
        <v>1</v>
      </c>
      <c r="P741" t="str">
        <f>+BARRAS[[#This Row],[Barra]]&amp;"_"&amp;BARRAS[[#This Row],[Nivel de tensión]]</f>
        <v>SANGRA_66</v>
      </c>
    </row>
    <row r="742" spans="1:16">
      <c r="A742" t="s">
        <v>4718</v>
      </c>
      <c r="B742">
        <v>13</v>
      </c>
      <c r="C742">
        <v>3165</v>
      </c>
      <c r="D742" t="s">
        <v>4719</v>
      </c>
      <c r="E742" t="s">
        <v>4720</v>
      </c>
      <c r="F742" t="s">
        <v>4721</v>
      </c>
      <c r="G742">
        <v>16301</v>
      </c>
      <c r="H742" t="s">
        <v>3414</v>
      </c>
      <c r="I742" t="s">
        <v>3391</v>
      </c>
      <c r="J742" t="s">
        <v>3392</v>
      </c>
      <c r="K742" t="s">
        <v>3304</v>
      </c>
      <c r="L742" t="s">
        <v>6778</v>
      </c>
      <c r="M742" t="s">
        <v>6779</v>
      </c>
      <c r="N742" t="s">
        <v>6792</v>
      </c>
      <c r="O742">
        <v>1</v>
      </c>
      <c r="P742" t="str">
        <f>+BARRAS[[#This Row],[Barra]]&amp;"_"&amp;BARRAS[[#This Row],[Nivel de tensión]]</f>
        <v>SANPEDRO_13</v>
      </c>
    </row>
    <row r="743" spans="1:16">
      <c r="A743" t="s">
        <v>4718</v>
      </c>
      <c r="B743">
        <v>66</v>
      </c>
      <c r="C743">
        <v>1</v>
      </c>
      <c r="D743" t="s">
        <v>3397</v>
      </c>
      <c r="E743" t="s">
        <v>4722</v>
      </c>
      <c r="F743" t="s">
        <v>3420</v>
      </c>
      <c r="G743">
        <v>16301</v>
      </c>
      <c r="H743" t="s">
        <v>3414</v>
      </c>
      <c r="I743" t="s">
        <v>3391</v>
      </c>
      <c r="J743" t="s">
        <v>3392</v>
      </c>
      <c r="K743" t="s">
        <v>3304</v>
      </c>
      <c r="L743" t="s">
        <v>6778</v>
      </c>
      <c r="M743" t="s">
        <v>6779</v>
      </c>
      <c r="N743" t="s">
        <v>6792</v>
      </c>
      <c r="O743">
        <v>1</v>
      </c>
      <c r="P743" t="str">
        <f>+BARRAS[[#This Row],[Barra]]&amp;"_"&amp;BARRAS[[#This Row],[Nivel de tensión]]</f>
        <v>SANPEDRO_66</v>
      </c>
    </row>
    <row r="744" spans="1:16">
      <c r="A744" t="s">
        <v>4723</v>
      </c>
      <c r="B744">
        <v>110</v>
      </c>
      <c r="C744">
        <v>1</v>
      </c>
      <c r="D744" t="s">
        <v>3397</v>
      </c>
      <c r="E744" t="s">
        <v>4639</v>
      </c>
      <c r="F744" t="s">
        <v>3420</v>
      </c>
      <c r="G744">
        <v>16301</v>
      </c>
      <c r="H744" t="s">
        <v>3405</v>
      </c>
      <c r="I744" t="s">
        <v>3391</v>
      </c>
      <c r="J744" t="s">
        <v>3392</v>
      </c>
      <c r="K744" t="s">
        <v>6315</v>
      </c>
      <c r="L744" t="s">
        <v>6778</v>
      </c>
      <c r="M744" t="s">
        <v>6779</v>
      </c>
      <c r="N744" t="s">
        <v>6792</v>
      </c>
      <c r="O744">
        <v>1</v>
      </c>
      <c r="P744" t="str">
        <f>+BARRAS[[#This Row],[Barra]]&amp;"_"&amp;BARRAS[[#This Row],[Nivel de tensión]]</f>
        <v>SANPEDROEOL_110</v>
      </c>
    </row>
    <row r="745" spans="1:16">
      <c r="A745" t="s">
        <v>4724</v>
      </c>
      <c r="B745">
        <v>110</v>
      </c>
      <c r="C745">
        <v>1</v>
      </c>
      <c r="D745" t="s">
        <v>3397</v>
      </c>
      <c r="E745" t="s">
        <v>4725</v>
      </c>
      <c r="F745" t="s">
        <v>3420</v>
      </c>
      <c r="G745">
        <v>16301</v>
      </c>
      <c r="H745" t="s">
        <v>3469</v>
      </c>
      <c r="I745" t="s">
        <v>3391</v>
      </c>
      <c r="J745" t="s">
        <v>3392</v>
      </c>
      <c r="K745" t="s">
        <v>3303</v>
      </c>
      <c r="L745" t="s">
        <v>6778</v>
      </c>
      <c r="M745" t="s">
        <v>6779</v>
      </c>
      <c r="N745" t="s">
        <v>6792</v>
      </c>
      <c r="O745">
        <v>1</v>
      </c>
      <c r="P745" t="str">
        <f>+BARRAS[[#This Row],[Barra]]&amp;"_"&amp;BARRAS[[#This Row],[Nivel de tensión]]</f>
        <v>SANT_SOLAR_110</v>
      </c>
    </row>
    <row r="746" spans="1:16">
      <c r="A746" t="s">
        <v>1318</v>
      </c>
      <c r="B746">
        <v>13</v>
      </c>
      <c r="C746">
        <v>2892</v>
      </c>
      <c r="D746" t="s">
        <v>3397</v>
      </c>
      <c r="E746" t="s">
        <v>4726</v>
      </c>
      <c r="F746" t="s">
        <v>4727</v>
      </c>
      <c r="G746">
        <v>16301</v>
      </c>
      <c r="H746" t="s">
        <v>3414</v>
      </c>
      <c r="I746" t="s">
        <v>3391</v>
      </c>
      <c r="J746" t="s">
        <v>3392</v>
      </c>
      <c r="K746" t="s">
        <v>3304</v>
      </c>
      <c r="L746" t="s">
        <v>6778</v>
      </c>
      <c r="M746" t="s">
        <v>6779</v>
      </c>
      <c r="N746" t="s">
        <v>6792</v>
      </c>
      <c r="O746">
        <v>1</v>
      </c>
      <c r="P746" t="str">
        <f>+BARRAS[[#This Row],[Barra]]&amp;"_"&amp;BARRAS[[#This Row],[Nivel de tensión]]</f>
        <v>SANTA_BARBARA_13</v>
      </c>
    </row>
    <row r="747" spans="1:16">
      <c r="A747" t="s">
        <v>1318</v>
      </c>
      <c r="B747">
        <v>66</v>
      </c>
      <c r="C747">
        <v>1</v>
      </c>
      <c r="D747" t="s">
        <v>3397</v>
      </c>
      <c r="E747" t="s">
        <v>4728</v>
      </c>
      <c r="F747" t="s">
        <v>3420</v>
      </c>
      <c r="G747">
        <v>16301</v>
      </c>
      <c r="H747" t="s">
        <v>3414</v>
      </c>
      <c r="I747" t="s">
        <v>3391</v>
      </c>
      <c r="J747" t="s">
        <v>3392</v>
      </c>
      <c r="K747" t="s">
        <v>3304</v>
      </c>
      <c r="L747" t="s">
        <v>6778</v>
      </c>
      <c r="M747" t="s">
        <v>6779</v>
      </c>
      <c r="N747" t="s">
        <v>6792</v>
      </c>
      <c r="O747">
        <v>1</v>
      </c>
      <c r="P747" t="str">
        <f>+BARRAS[[#This Row],[Barra]]&amp;"_"&amp;BARRAS[[#This Row],[Nivel de tensión]]</f>
        <v>SANTA_BARBARA_66</v>
      </c>
    </row>
    <row r="748" spans="1:16">
      <c r="A748" t="s">
        <v>4729</v>
      </c>
      <c r="B748">
        <v>13</v>
      </c>
      <c r="C748">
        <v>946</v>
      </c>
      <c r="D748" t="s">
        <v>4730</v>
      </c>
      <c r="E748" t="s">
        <v>4731</v>
      </c>
      <c r="F748" t="s">
        <v>4732</v>
      </c>
      <c r="G748">
        <v>16301</v>
      </c>
      <c r="H748" t="s">
        <v>3469</v>
      </c>
      <c r="I748" t="s">
        <v>3391</v>
      </c>
      <c r="J748" t="s">
        <v>3392</v>
      </c>
      <c r="K748" t="s">
        <v>3303</v>
      </c>
      <c r="L748" t="s">
        <v>6778</v>
      </c>
      <c r="M748" t="s">
        <v>6779</v>
      </c>
      <c r="N748" t="s">
        <v>6792</v>
      </c>
      <c r="O748">
        <v>1</v>
      </c>
      <c r="P748" t="str">
        <f>+BARRAS[[#This Row],[Barra]]&amp;"_"&amp;BARRAS[[#This Row],[Nivel de tensión]]</f>
        <v>SANTA_ELENA_13</v>
      </c>
    </row>
    <row r="749" spans="1:16">
      <c r="A749" t="s">
        <v>4729</v>
      </c>
      <c r="B749">
        <v>110</v>
      </c>
      <c r="C749">
        <v>1</v>
      </c>
      <c r="D749" t="s">
        <v>3397</v>
      </c>
      <c r="E749" t="s">
        <v>4733</v>
      </c>
      <c r="F749" t="s">
        <v>3420</v>
      </c>
      <c r="G749">
        <v>16301</v>
      </c>
      <c r="H749" t="s">
        <v>3469</v>
      </c>
      <c r="I749" t="s">
        <v>3391</v>
      </c>
      <c r="J749" t="s">
        <v>3392</v>
      </c>
      <c r="K749" t="s">
        <v>3303</v>
      </c>
      <c r="L749" t="s">
        <v>6778</v>
      </c>
      <c r="M749" t="s">
        <v>6779</v>
      </c>
      <c r="N749" t="s">
        <v>6792</v>
      </c>
      <c r="O749">
        <v>1</v>
      </c>
      <c r="P749" t="str">
        <f>+BARRAS[[#This Row],[Barra]]&amp;"_"&amp;BARRAS[[#This Row],[Nivel de tensión]]</f>
        <v>SANTA_ELENA_110</v>
      </c>
    </row>
    <row r="750" spans="1:16">
      <c r="A750" t="s">
        <v>1323</v>
      </c>
      <c r="B750">
        <v>13</v>
      </c>
      <c r="C750">
        <v>958</v>
      </c>
      <c r="D750" t="s">
        <v>4734</v>
      </c>
      <c r="E750" t="s">
        <v>4735</v>
      </c>
      <c r="F750" t="s">
        <v>4736</v>
      </c>
      <c r="G750">
        <v>16301</v>
      </c>
      <c r="H750" t="s">
        <v>3469</v>
      </c>
      <c r="I750" t="s">
        <v>3391</v>
      </c>
      <c r="J750" t="s">
        <v>3392</v>
      </c>
      <c r="K750" t="s">
        <v>3303</v>
      </c>
      <c r="L750" t="s">
        <v>6778</v>
      </c>
      <c r="M750" t="s">
        <v>6779</v>
      </c>
      <c r="N750" t="s">
        <v>6792</v>
      </c>
      <c r="O750">
        <v>1</v>
      </c>
      <c r="P750" t="str">
        <f>+BARRAS[[#This Row],[Barra]]&amp;"_"&amp;BARRAS[[#This Row],[Nivel de tensión]]</f>
        <v>SANTA_MARTA_13</v>
      </c>
    </row>
    <row r="751" spans="1:16">
      <c r="A751" t="s">
        <v>1323</v>
      </c>
      <c r="B751">
        <v>23</v>
      </c>
      <c r="C751">
        <v>957</v>
      </c>
      <c r="D751" t="s">
        <v>4737</v>
      </c>
      <c r="E751" t="s">
        <v>4738</v>
      </c>
      <c r="F751" t="s">
        <v>4736</v>
      </c>
      <c r="G751">
        <v>16301</v>
      </c>
      <c r="H751" t="s">
        <v>3469</v>
      </c>
      <c r="I751" t="s">
        <v>3391</v>
      </c>
      <c r="J751" t="s">
        <v>3392</v>
      </c>
      <c r="K751" t="s">
        <v>3303</v>
      </c>
      <c r="L751" t="s">
        <v>6778</v>
      </c>
      <c r="M751" t="s">
        <v>6779</v>
      </c>
      <c r="N751" t="s">
        <v>6792</v>
      </c>
      <c r="O751">
        <v>1</v>
      </c>
      <c r="P751" t="str">
        <f>+BARRAS[[#This Row],[Barra]]&amp;"_"&amp;BARRAS[[#This Row],[Nivel de tensión]]</f>
        <v>SANTA_MARTA_23</v>
      </c>
    </row>
    <row r="752" spans="1:16">
      <c r="A752" t="s">
        <v>1323</v>
      </c>
      <c r="B752">
        <v>110</v>
      </c>
      <c r="C752">
        <v>1</v>
      </c>
      <c r="D752" t="s">
        <v>3397</v>
      </c>
      <c r="E752" t="s">
        <v>4739</v>
      </c>
      <c r="F752" t="s">
        <v>3420</v>
      </c>
      <c r="G752">
        <v>16301</v>
      </c>
      <c r="H752" t="s">
        <v>3469</v>
      </c>
      <c r="I752" t="s">
        <v>3391</v>
      </c>
      <c r="J752" t="s">
        <v>3392</v>
      </c>
      <c r="K752" t="s">
        <v>3303</v>
      </c>
      <c r="L752" t="s">
        <v>6778</v>
      </c>
      <c r="M752" t="s">
        <v>6779</v>
      </c>
      <c r="N752" t="s">
        <v>6792</v>
      </c>
      <c r="O752">
        <v>1</v>
      </c>
      <c r="P752" t="str">
        <f>+BARRAS[[#This Row],[Barra]]&amp;"_"&amp;BARRAS[[#This Row],[Nivel de tensión]]</f>
        <v>SANTA_MARTA_110</v>
      </c>
    </row>
    <row r="753" spans="1:16">
      <c r="A753" t="s">
        <v>4740</v>
      </c>
      <c r="B753">
        <v>13</v>
      </c>
      <c r="C753">
        <v>963</v>
      </c>
      <c r="D753" t="s">
        <v>4741</v>
      </c>
      <c r="E753" t="s">
        <v>4742</v>
      </c>
      <c r="F753" t="s">
        <v>3563</v>
      </c>
      <c r="G753">
        <v>16301</v>
      </c>
      <c r="H753" t="s">
        <v>3469</v>
      </c>
      <c r="I753" t="s">
        <v>3391</v>
      </c>
      <c r="J753" t="s">
        <v>3392</v>
      </c>
      <c r="K753" t="s">
        <v>3303</v>
      </c>
      <c r="L753" t="s">
        <v>6778</v>
      </c>
      <c r="M753" t="s">
        <v>6779</v>
      </c>
      <c r="N753" t="s">
        <v>6792</v>
      </c>
      <c r="O753">
        <v>1</v>
      </c>
      <c r="P753" t="str">
        <f>+BARRAS[[#This Row],[Barra]]&amp;"_"&amp;BARRAS[[#This Row],[Nivel de tensión]]</f>
        <v>SANTA_RAQUEL_13</v>
      </c>
    </row>
    <row r="754" spans="1:16">
      <c r="A754" t="s">
        <v>4740</v>
      </c>
      <c r="B754">
        <v>110</v>
      </c>
      <c r="C754">
        <v>1</v>
      </c>
      <c r="D754" t="s">
        <v>3397</v>
      </c>
      <c r="E754" t="s">
        <v>4743</v>
      </c>
      <c r="F754" t="s">
        <v>3420</v>
      </c>
      <c r="G754">
        <v>16301</v>
      </c>
      <c r="H754" t="s">
        <v>3469</v>
      </c>
      <c r="I754" t="s">
        <v>3391</v>
      </c>
      <c r="J754" t="s">
        <v>3392</v>
      </c>
      <c r="K754" t="s">
        <v>3303</v>
      </c>
      <c r="L754" t="s">
        <v>6778</v>
      </c>
      <c r="M754" t="s">
        <v>6779</v>
      </c>
      <c r="N754" t="s">
        <v>6792</v>
      </c>
      <c r="O754">
        <v>1</v>
      </c>
      <c r="P754" t="str">
        <f>+BARRAS[[#This Row],[Barra]]&amp;"_"&amp;BARRAS[[#This Row],[Nivel de tensión]]</f>
        <v>SANTA_RAQUEL_110</v>
      </c>
    </row>
    <row r="755" spans="1:16">
      <c r="A755" t="s">
        <v>4744</v>
      </c>
      <c r="B755">
        <v>13</v>
      </c>
      <c r="C755">
        <v>970</v>
      </c>
      <c r="D755" t="s">
        <v>4745</v>
      </c>
      <c r="E755" t="s">
        <v>4746</v>
      </c>
      <c r="F755" t="s">
        <v>4747</v>
      </c>
      <c r="G755">
        <v>16301</v>
      </c>
      <c r="H755" t="s">
        <v>3469</v>
      </c>
      <c r="I755" t="s">
        <v>3391</v>
      </c>
      <c r="J755" t="s">
        <v>3392</v>
      </c>
      <c r="K755" t="s">
        <v>6315</v>
      </c>
      <c r="L755" t="s">
        <v>6778</v>
      </c>
      <c r="M755" t="s">
        <v>6779</v>
      </c>
      <c r="N755" t="s">
        <v>6792</v>
      </c>
      <c r="O755">
        <v>1</v>
      </c>
      <c r="P755" t="str">
        <f>+BARRAS[[#This Row],[Barra]]&amp;"_"&amp;BARRAS[[#This Row],[Nivel de tensión]]</f>
        <v>SANTA_ROSA_S_13</v>
      </c>
    </row>
    <row r="756" spans="1:16">
      <c r="A756" t="s">
        <v>4744</v>
      </c>
      <c r="B756">
        <v>110</v>
      </c>
      <c r="C756">
        <v>1</v>
      </c>
      <c r="D756" t="s">
        <v>4748</v>
      </c>
      <c r="E756" t="s">
        <v>4749</v>
      </c>
      <c r="F756" t="s">
        <v>3420</v>
      </c>
      <c r="G756">
        <v>16301</v>
      </c>
      <c r="H756" t="s">
        <v>3469</v>
      </c>
      <c r="I756" t="s">
        <v>3391</v>
      </c>
      <c r="J756" t="s">
        <v>3392</v>
      </c>
      <c r="K756" t="s">
        <v>6315</v>
      </c>
      <c r="L756" t="s">
        <v>6778</v>
      </c>
      <c r="M756" t="s">
        <v>6779</v>
      </c>
      <c r="N756" t="s">
        <v>6792</v>
      </c>
      <c r="O756">
        <v>1</v>
      </c>
      <c r="P756" t="str">
        <f>+BARRAS[[#This Row],[Barra]]&amp;"_"&amp;BARRAS[[#This Row],[Nivel de tensión]]</f>
        <v>SANTA_ROSA_S_110</v>
      </c>
    </row>
    <row r="757" spans="1:16">
      <c r="A757" t="s">
        <v>4750</v>
      </c>
      <c r="B757">
        <v>66</v>
      </c>
      <c r="C757">
        <v>1</v>
      </c>
      <c r="D757" t="s">
        <v>3397</v>
      </c>
      <c r="E757" t="s">
        <v>4751</v>
      </c>
      <c r="F757" t="s">
        <v>3420</v>
      </c>
      <c r="G757">
        <v>16301</v>
      </c>
      <c r="H757" t="s">
        <v>3414</v>
      </c>
      <c r="I757" t="s">
        <v>3391</v>
      </c>
      <c r="J757" t="s">
        <v>3392</v>
      </c>
      <c r="K757" t="s">
        <v>3304</v>
      </c>
      <c r="L757" t="s">
        <v>6778</v>
      </c>
      <c r="M757" t="s">
        <v>6779</v>
      </c>
      <c r="N757" t="s">
        <v>6792</v>
      </c>
      <c r="O757">
        <v>1</v>
      </c>
      <c r="P757" t="str">
        <f>+BARRAS[[#This Row],[Barra]]&amp;"_"&amp;BARRAS[[#This Row],[Nivel de tensión]]</f>
        <v>SANTACLARA_66</v>
      </c>
    </row>
    <row r="758" spans="1:16">
      <c r="A758" t="s">
        <v>3578</v>
      </c>
      <c r="B758">
        <v>110</v>
      </c>
      <c r="C758">
        <v>1</v>
      </c>
      <c r="D758" t="s">
        <v>3397</v>
      </c>
      <c r="E758" t="s">
        <v>3579</v>
      </c>
      <c r="F758" t="s">
        <v>3484</v>
      </c>
      <c r="G758">
        <v>16301</v>
      </c>
      <c r="H758" t="s">
        <v>3405</v>
      </c>
      <c r="I758" t="s">
        <v>3391</v>
      </c>
      <c r="J758" t="s">
        <v>3392</v>
      </c>
      <c r="K758" t="s">
        <v>6315</v>
      </c>
      <c r="L758" t="s">
        <v>6778</v>
      </c>
      <c r="M758" t="s">
        <v>6779</v>
      </c>
      <c r="N758" t="s">
        <v>6792</v>
      </c>
      <c r="O758">
        <v>1</v>
      </c>
      <c r="P758" t="str">
        <f>+BARRAS[[#This Row],[Barra]]&amp;"_"&amp;BARRAS[[#This Row],[Nivel de tensión]]</f>
        <v>T.ACCNORTE_110</v>
      </c>
    </row>
    <row r="759" spans="1:16">
      <c r="A759" t="s">
        <v>1356</v>
      </c>
      <c r="B759">
        <v>23</v>
      </c>
      <c r="C759">
        <v>549</v>
      </c>
      <c r="D759" t="s">
        <v>3580</v>
      </c>
      <c r="E759" t="s">
        <v>3581</v>
      </c>
      <c r="F759" t="s">
        <v>3582</v>
      </c>
      <c r="G759">
        <v>16301</v>
      </c>
      <c r="H759" t="s">
        <v>3396</v>
      </c>
      <c r="I759" t="s">
        <v>3391</v>
      </c>
      <c r="J759" t="s">
        <v>3392</v>
      </c>
      <c r="K759" t="s">
        <v>6315</v>
      </c>
      <c r="L759" t="s">
        <v>6778</v>
      </c>
      <c r="M759" t="s">
        <v>6779</v>
      </c>
      <c r="N759" t="s">
        <v>6792</v>
      </c>
      <c r="O759">
        <v>1</v>
      </c>
      <c r="P759" t="str">
        <f>+BARRAS[[#This Row],[Barra]]&amp;"_"&amp;BARRAS[[#This Row],[Nivel de tensión]]</f>
        <v>T.AMARILLA_23</v>
      </c>
    </row>
    <row r="760" spans="1:16">
      <c r="A760" t="s">
        <v>1356</v>
      </c>
      <c r="B760">
        <v>110</v>
      </c>
      <c r="C760">
        <v>551</v>
      </c>
      <c r="D760" t="s">
        <v>3583</v>
      </c>
      <c r="E760" t="s">
        <v>3584</v>
      </c>
      <c r="F760" t="s">
        <v>3582</v>
      </c>
      <c r="G760">
        <v>16301</v>
      </c>
      <c r="H760" t="s">
        <v>3396</v>
      </c>
      <c r="I760" t="s">
        <v>3391</v>
      </c>
      <c r="J760" t="s">
        <v>3392</v>
      </c>
      <c r="K760" t="s">
        <v>6315</v>
      </c>
      <c r="L760" t="s">
        <v>6778</v>
      </c>
      <c r="M760" t="s">
        <v>6779</v>
      </c>
      <c r="N760" t="s">
        <v>6792</v>
      </c>
      <c r="O760">
        <v>1</v>
      </c>
      <c r="P760" t="str">
        <f>+BARRAS[[#This Row],[Barra]]&amp;"_"&amp;BARRAS[[#This Row],[Nivel de tensión]]</f>
        <v>T.AMARILLA_110</v>
      </c>
    </row>
    <row r="761" spans="1:16">
      <c r="A761" t="s">
        <v>3585</v>
      </c>
      <c r="B761">
        <v>66</v>
      </c>
      <c r="C761">
        <v>1</v>
      </c>
      <c r="D761" t="s">
        <v>3397</v>
      </c>
      <c r="E761" t="s">
        <v>3586</v>
      </c>
      <c r="F761" t="s">
        <v>3420</v>
      </c>
      <c r="G761">
        <v>16301</v>
      </c>
      <c r="H761" t="s">
        <v>3390</v>
      </c>
      <c r="I761" t="s">
        <v>3391</v>
      </c>
      <c r="J761" t="s">
        <v>3392</v>
      </c>
      <c r="K761" t="s">
        <v>3305</v>
      </c>
      <c r="L761" t="s">
        <v>6778</v>
      </c>
      <c r="M761" t="s">
        <v>6779</v>
      </c>
      <c r="N761" t="s">
        <v>6792</v>
      </c>
      <c r="O761">
        <v>1</v>
      </c>
      <c r="P761" t="str">
        <f>+BARRAS[[#This Row],[Barra]]&amp;"_"&amp;BARRAS[[#This Row],[Nivel de tensión]]</f>
        <v>T.BOCAS_66</v>
      </c>
    </row>
    <row r="762" spans="1:16">
      <c r="A762" t="s">
        <v>3587</v>
      </c>
      <c r="B762">
        <v>220</v>
      </c>
      <c r="C762">
        <v>3197</v>
      </c>
      <c r="D762" t="s">
        <v>3397</v>
      </c>
      <c r="E762" t="s">
        <v>3588</v>
      </c>
      <c r="F762" t="s">
        <v>3589</v>
      </c>
      <c r="G762">
        <v>16301</v>
      </c>
      <c r="H762" t="s">
        <v>3405</v>
      </c>
      <c r="I762" t="s">
        <v>3391</v>
      </c>
      <c r="J762" t="s">
        <v>3392</v>
      </c>
      <c r="K762" t="s">
        <v>6315</v>
      </c>
      <c r="L762" t="s">
        <v>6778</v>
      </c>
      <c r="M762" t="s">
        <v>6779</v>
      </c>
      <c r="N762" t="s">
        <v>6792</v>
      </c>
      <c r="O762">
        <v>1</v>
      </c>
      <c r="P762" t="str">
        <f>+BARRAS[[#This Row],[Barra]]&amp;"_"&amp;BARRAS[[#This Row],[Nivel de tensión]]</f>
        <v>T.LLANBLANCOS_220</v>
      </c>
    </row>
    <row r="763" spans="1:16">
      <c r="A763" t="s">
        <v>3590</v>
      </c>
      <c r="B763">
        <v>66</v>
      </c>
      <c r="C763">
        <v>1</v>
      </c>
      <c r="D763" t="s">
        <v>3397</v>
      </c>
      <c r="E763" t="s">
        <v>3591</v>
      </c>
      <c r="F763" t="s">
        <v>3420</v>
      </c>
      <c r="G763">
        <v>16301</v>
      </c>
      <c r="H763" t="s">
        <v>3414</v>
      </c>
      <c r="I763" t="s">
        <v>3391</v>
      </c>
      <c r="J763" t="s">
        <v>3392</v>
      </c>
      <c r="K763" t="s">
        <v>3304</v>
      </c>
      <c r="L763" t="s">
        <v>6778</v>
      </c>
      <c r="M763" t="s">
        <v>6779</v>
      </c>
      <c r="N763" t="s">
        <v>6792</v>
      </c>
      <c r="O763">
        <v>1</v>
      </c>
      <c r="P763" t="str">
        <f>+BARRAS[[#This Row],[Barra]]&amp;"_"&amp;BARRAS[[#This Row],[Nivel de tensión]]</f>
        <v>T.NIHUE_66</v>
      </c>
    </row>
    <row r="764" spans="1:16">
      <c r="A764" t="s">
        <v>3592</v>
      </c>
      <c r="B764">
        <v>13</v>
      </c>
      <c r="C764">
        <v>175</v>
      </c>
      <c r="D764" t="s">
        <v>3593</v>
      </c>
      <c r="E764" t="s">
        <v>3594</v>
      </c>
      <c r="F764" t="s">
        <v>3595</v>
      </c>
      <c r="G764">
        <v>16301</v>
      </c>
      <c r="H764" t="s">
        <v>3414</v>
      </c>
      <c r="I764" t="s">
        <v>3391</v>
      </c>
      <c r="J764" t="s">
        <v>3392</v>
      </c>
      <c r="K764" t="s">
        <v>3304</v>
      </c>
      <c r="L764" t="s">
        <v>6778</v>
      </c>
      <c r="M764" t="s">
        <v>6779</v>
      </c>
      <c r="N764" t="s">
        <v>6792</v>
      </c>
      <c r="O764">
        <v>1</v>
      </c>
      <c r="P764" t="str">
        <f>+BARRAS[[#This Row],[Barra]]&amp;"_"&amp;BARRAS[[#This Row],[Nivel de tensión]]</f>
        <v>T.PINOS_13</v>
      </c>
    </row>
    <row r="765" spans="1:16">
      <c r="A765" t="s">
        <v>3592</v>
      </c>
      <c r="B765">
        <v>66</v>
      </c>
      <c r="C765">
        <v>1</v>
      </c>
      <c r="D765" t="s">
        <v>3397</v>
      </c>
      <c r="E765" t="s">
        <v>3596</v>
      </c>
      <c r="F765" t="s">
        <v>3420</v>
      </c>
      <c r="G765">
        <v>16301</v>
      </c>
      <c r="H765" t="s">
        <v>3414</v>
      </c>
      <c r="I765" t="s">
        <v>3391</v>
      </c>
      <c r="J765" t="s">
        <v>3392</v>
      </c>
      <c r="K765" t="s">
        <v>3304</v>
      </c>
      <c r="L765" t="s">
        <v>6778</v>
      </c>
      <c r="M765" t="s">
        <v>6779</v>
      </c>
      <c r="N765" t="s">
        <v>6792</v>
      </c>
      <c r="O765">
        <v>1</v>
      </c>
      <c r="P765" t="str">
        <f>+BARRAS[[#This Row],[Barra]]&amp;"_"&amp;BARRAS[[#This Row],[Nivel de tensión]]</f>
        <v>T.PINOS_66</v>
      </c>
    </row>
    <row r="766" spans="1:16">
      <c r="A766" t="s">
        <v>3510</v>
      </c>
      <c r="B766">
        <v>66</v>
      </c>
      <c r="C766">
        <v>1</v>
      </c>
      <c r="D766" t="s">
        <v>3397</v>
      </c>
      <c r="E766" t="s">
        <v>3511</v>
      </c>
      <c r="F766" t="s">
        <v>3420</v>
      </c>
      <c r="G766">
        <v>16301</v>
      </c>
      <c r="H766" t="s">
        <v>3418</v>
      </c>
      <c r="I766" t="s">
        <v>3391</v>
      </c>
      <c r="J766" t="s">
        <v>3392</v>
      </c>
      <c r="K766" t="s">
        <v>3302</v>
      </c>
      <c r="L766" t="s">
        <v>6778</v>
      </c>
      <c r="M766" t="s">
        <v>6779</v>
      </c>
      <c r="N766" t="s">
        <v>6792</v>
      </c>
      <c r="O766">
        <v>1</v>
      </c>
      <c r="P766" t="str">
        <f>+BARRAS[[#This Row],[Barra]]&amp;"_"&amp;BARRAS[[#This Row],[Nivel de tensión]]</f>
        <v>T.SEBASTIAN_66</v>
      </c>
    </row>
    <row r="767" spans="1:16">
      <c r="A767" t="s">
        <v>3512</v>
      </c>
      <c r="B767">
        <v>110</v>
      </c>
      <c r="C767">
        <v>1</v>
      </c>
      <c r="D767" t="s">
        <v>3397</v>
      </c>
      <c r="E767" t="s">
        <v>3513</v>
      </c>
      <c r="F767" t="s">
        <v>3420</v>
      </c>
      <c r="G767">
        <v>16301</v>
      </c>
      <c r="H767" t="s">
        <v>3469</v>
      </c>
      <c r="I767" t="s">
        <v>3391</v>
      </c>
      <c r="J767" t="s">
        <v>3392</v>
      </c>
      <c r="K767" t="s">
        <v>3303</v>
      </c>
      <c r="L767" t="s">
        <v>6778</v>
      </c>
      <c r="M767" t="s">
        <v>6779</v>
      </c>
      <c r="N767" t="s">
        <v>6792</v>
      </c>
      <c r="O767">
        <v>1</v>
      </c>
      <c r="P767" t="str">
        <f>+BARRAS[[#This Row],[Barra]]&amp;"_"&amp;BARRAS[[#This Row],[Nivel de tensión]]</f>
        <v>T_ALTAMIRANO_110</v>
      </c>
    </row>
    <row r="768" spans="1:16">
      <c r="A768" t="s">
        <v>3514</v>
      </c>
      <c r="B768">
        <v>110</v>
      </c>
      <c r="C768">
        <v>1</v>
      </c>
      <c r="D768" t="s">
        <v>3397</v>
      </c>
      <c r="E768" t="s">
        <v>3515</v>
      </c>
      <c r="F768" t="s">
        <v>3420</v>
      </c>
      <c r="G768">
        <v>16301</v>
      </c>
      <c r="H768" t="s">
        <v>3469</v>
      </c>
      <c r="I768" t="s">
        <v>3391</v>
      </c>
      <c r="J768" t="s">
        <v>3392</v>
      </c>
      <c r="K768" t="s">
        <v>3303</v>
      </c>
      <c r="L768" t="s">
        <v>6778</v>
      </c>
      <c r="M768" t="s">
        <v>6779</v>
      </c>
      <c r="N768" t="s">
        <v>6792</v>
      </c>
      <c r="O768">
        <v>1</v>
      </c>
      <c r="P768" t="str">
        <f>+BARRAS[[#This Row],[Barra]]&amp;"_"&amp;BARRAS[[#This Row],[Nivel de tensión]]</f>
        <v>T_L_DOMINICOS_110</v>
      </c>
    </row>
    <row r="769" spans="1:16">
      <c r="A769" t="s">
        <v>3516</v>
      </c>
      <c r="B769">
        <v>110</v>
      </c>
      <c r="C769">
        <v>1</v>
      </c>
      <c r="D769" t="s">
        <v>3397</v>
      </c>
      <c r="E769" t="s">
        <v>3517</v>
      </c>
      <c r="F769" t="s">
        <v>3420</v>
      </c>
      <c r="G769">
        <v>16301</v>
      </c>
      <c r="H769" t="s">
        <v>3469</v>
      </c>
      <c r="I769" t="s">
        <v>3391</v>
      </c>
      <c r="J769" t="s">
        <v>3392</v>
      </c>
      <c r="K769" t="s">
        <v>3303</v>
      </c>
      <c r="L769" t="s">
        <v>6778</v>
      </c>
      <c r="M769" t="s">
        <v>6779</v>
      </c>
      <c r="N769" t="s">
        <v>6792</v>
      </c>
      <c r="O769">
        <v>1</v>
      </c>
      <c r="P769" t="str">
        <f>+BARRAS[[#This Row],[Barra]]&amp;"_"&amp;BARRAS[[#This Row],[Nivel de tensión]]</f>
        <v>T_LA_CISTERNA_110</v>
      </c>
    </row>
    <row r="770" spans="1:16">
      <c r="A770" t="s">
        <v>3518</v>
      </c>
      <c r="B770">
        <v>110</v>
      </c>
      <c r="C770">
        <v>1</v>
      </c>
      <c r="D770" t="s">
        <v>3397</v>
      </c>
      <c r="E770" t="s">
        <v>3519</v>
      </c>
      <c r="F770" t="s">
        <v>3420</v>
      </c>
      <c r="G770">
        <v>16301</v>
      </c>
      <c r="H770" t="s">
        <v>3469</v>
      </c>
      <c r="I770" t="s">
        <v>3391</v>
      </c>
      <c r="J770" t="s">
        <v>3392</v>
      </c>
      <c r="K770" t="s">
        <v>3303</v>
      </c>
      <c r="L770" t="s">
        <v>6778</v>
      </c>
      <c r="M770" t="s">
        <v>6779</v>
      </c>
      <c r="N770" t="s">
        <v>6792</v>
      </c>
      <c r="O770">
        <v>1</v>
      </c>
      <c r="P770" t="str">
        <f>+BARRAS[[#This Row],[Barra]]&amp;"_"&amp;BARRAS[[#This Row],[Nivel de tensión]]</f>
        <v>T_LO_VALLEDOR_110</v>
      </c>
    </row>
    <row r="771" spans="1:16">
      <c r="A771" t="s">
        <v>3520</v>
      </c>
      <c r="B771">
        <v>110</v>
      </c>
      <c r="C771">
        <v>1</v>
      </c>
      <c r="D771" t="s">
        <v>3397</v>
      </c>
      <c r="E771" t="s">
        <v>3521</v>
      </c>
      <c r="F771" t="s">
        <v>3420</v>
      </c>
      <c r="G771">
        <v>16301</v>
      </c>
      <c r="H771" t="s">
        <v>3469</v>
      </c>
      <c r="I771" t="s">
        <v>3391</v>
      </c>
      <c r="J771" t="s">
        <v>3392</v>
      </c>
      <c r="K771" t="s">
        <v>3303</v>
      </c>
      <c r="L771" t="s">
        <v>6778</v>
      </c>
      <c r="M771" t="s">
        <v>6779</v>
      </c>
      <c r="N771" t="s">
        <v>6792</v>
      </c>
      <c r="O771">
        <v>1</v>
      </c>
      <c r="P771" t="str">
        <f>+BARRAS[[#This Row],[Barra]]&amp;"_"&amp;BARRAS[[#This Row],[Nivel de tensión]]</f>
        <v>T_S_BERNARDO_110</v>
      </c>
    </row>
    <row r="772" spans="1:16">
      <c r="A772" t="s">
        <v>3522</v>
      </c>
      <c r="B772">
        <v>110</v>
      </c>
      <c r="C772">
        <v>1</v>
      </c>
      <c r="D772" t="s">
        <v>3397</v>
      </c>
      <c r="E772" t="s">
        <v>3523</v>
      </c>
      <c r="F772" t="s">
        <v>3420</v>
      </c>
      <c r="G772">
        <v>16301</v>
      </c>
      <c r="H772" t="s">
        <v>3469</v>
      </c>
      <c r="I772" t="s">
        <v>3391</v>
      </c>
      <c r="J772" t="s">
        <v>3392</v>
      </c>
      <c r="K772" t="s">
        <v>3303</v>
      </c>
      <c r="L772" t="s">
        <v>6778</v>
      </c>
      <c r="M772" t="s">
        <v>6779</v>
      </c>
      <c r="N772" t="s">
        <v>6792</v>
      </c>
      <c r="O772">
        <v>1</v>
      </c>
      <c r="P772" t="str">
        <f>+BARRAS[[#This Row],[Barra]]&amp;"_"&amp;BARRAS[[#This Row],[Nivel de tensión]]</f>
        <v>T_STA_ELENA_110</v>
      </c>
    </row>
    <row r="773" spans="1:16">
      <c r="A773" t="s">
        <v>3524</v>
      </c>
      <c r="B773">
        <v>110</v>
      </c>
      <c r="C773">
        <v>1</v>
      </c>
      <c r="D773" t="s">
        <v>3397</v>
      </c>
      <c r="E773" t="s">
        <v>3525</v>
      </c>
      <c r="F773" t="s">
        <v>3420</v>
      </c>
      <c r="G773">
        <v>16301</v>
      </c>
      <c r="H773" t="s">
        <v>3469</v>
      </c>
      <c r="I773" t="s">
        <v>3391</v>
      </c>
      <c r="J773" t="s">
        <v>3392</v>
      </c>
      <c r="K773" t="s">
        <v>3303</v>
      </c>
      <c r="L773" t="s">
        <v>6778</v>
      </c>
      <c r="M773" t="s">
        <v>6779</v>
      </c>
      <c r="N773" t="s">
        <v>6792</v>
      </c>
      <c r="O773">
        <v>1</v>
      </c>
      <c r="P773" t="str">
        <f>+BARRAS[[#This Row],[Barra]]&amp;"_"&amp;BARRAS[[#This Row],[Nivel de tensión]]</f>
        <v>T_STA_RAQUEL_110</v>
      </c>
    </row>
    <row r="774" spans="1:16">
      <c r="A774" t="s">
        <v>3526</v>
      </c>
      <c r="B774">
        <v>110</v>
      </c>
      <c r="C774">
        <v>1</v>
      </c>
      <c r="D774" t="s">
        <v>3397</v>
      </c>
      <c r="E774" t="s">
        <v>3527</v>
      </c>
      <c r="F774" t="s">
        <v>3420</v>
      </c>
      <c r="G774">
        <v>16301</v>
      </c>
      <c r="H774" t="s">
        <v>3443</v>
      </c>
      <c r="I774" t="s">
        <v>3391</v>
      </c>
      <c r="J774" t="s">
        <v>3392</v>
      </c>
      <c r="K774" t="s">
        <v>3300</v>
      </c>
      <c r="L774" t="s">
        <v>6778</v>
      </c>
      <c r="M774" t="s">
        <v>6779</v>
      </c>
      <c r="N774" t="s">
        <v>6792</v>
      </c>
      <c r="O774">
        <v>1</v>
      </c>
      <c r="P774" t="str">
        <f>+BARRAS[[#This Row],[Barra]]&amp;"_"&amp;BARRAS[[#This Row],[Nivel de tensión]]</f>
        <v>TA.HOSPICIO_110</v>
      </c>
    </row>
    <row r="775" spans="1:16">
      <c r="A775" t="s">
        <v>1373</v>
      </c>
      <c r="B775">
        <v>13</v>
      </c>
      <c r="C775">
        <v>630</v>
      </c>
      <c r="D775" t="s">
        <v>3528</v>
      </c>
      <c r="E775" t="s">
        <v>3529</v>
      </c>
      <c r="F775" t="s">
        <v>3530</v>
      </c>
      <c r="G775">
        <v>16301</v>
      </c>
      <c r="H775" t="s">
        <v>3414</v>
      </c>
      <c r="I775" t="s">
        <v>3391</v>
      </c>
      <c r="J775" t="s">
        <v>3392</v>
      </c>
      <c r="K775" t="s">
        <v>3304</v>
      </c>
      <c r="L775" t="s">
        <v>6778</v>
      </c>
      <c r="M775" t="s">
        <v>6779</v>
      </c>
      <c r="N775" t="s">
        <v>6792</v>
      </c>
      <c r="O775">
        <v>1</v>
      </c>
      <c r="P775" t="str">
        <f>+BARRAS[[#This Row],[Barra]]&amp;"_"&amp;BARRAS[[#This Row],[Nivel de tensión]]</f>
        <v>TALCA_13</v>
      </c>
    </row>
    <row r="776" spans="1:16">
      <c r="A776" t="s">
        <v>3597</v>
      </c>
      <c r="B776">
        <v>66</v>
      </c>
      <c r="C776">
        <v>1</v>
      </c>
      <c r="D776" t="s">
        <v>3397</v>
      </c>
      <c r="E776" t="s">
        <v>3598</v>
      </c>
      <c r="F776" t="s">
        <v>3420</v>
      </c>
      <c r="G776">
        <v>16301</v>
      </c>
      <c r="H776" t="s">
        <v>3396</v>
      </c>
      <c r="I776" t="s">
        <v>3391</v>
      </c>
      <c r="J776" t="s">
        <v>3392</v>
      </c>
      <c r="K776" t="s">
        <v>6315</v>
      </c>
      <c r="L776" t="s">
        <v>6778</v>
      </c>
      <c r="M776" t="s">
        <v>6779</v>
      </c>
      <c r="N776" t="s">
        <v>6792</v>
      </c>
      <c r="O776">
        <v>1</v>
      </c>
      <c r="P776" t="str">
        <f>+BARRAS[[#This Row],[Barra]]&amp;"_"&amp;BARRAS[[#This Row],[Nivel de tensión]]</f>
        <v>TALCA1_66</v>
      </c>
    </row>
    <row r="777" spans="1:16">
      <c r="A777" t="s">
        <v>3652</v>
      </c>
      <c r="B777">
        <v>66</v>
      </c>
      <c r="C777">
        <v>1</v>
      </c>
      <c r="D777" t="s">
        <v>3397</v>
      </c>
      <c r="E777" t="s">
        <v>3653</v>
      </c>
      <c r="F777" t="s">
        <v>3420</v>
      </c>
      <c r="G777">
        <v>16301</v>
      </c>
      <c r="H777" t="s">
        <v>3414</v>
      </c>
      <c r="I777" t="s">
        <v>3391</v>
      </c>
      <c r="J777" t="s">
        <v>3392</v>
      </c>
      <c r="K777" t="s">
        <v>3304</v>
      </c>
      <c r="L777" t="s">
        <v>6778</v>
      </c>
      <c r="M777" t="s">
        <v>6779</v>
      </c>
      <c r="N777" t="s">
        <v>6792</v>
      </c>
      <c r="O777">
        <v>1</v>
      </c>
      <c r="P777" t="str">
        <f>+BARRAS[[#This Row],[Barra]]&amp;"_"&amp;BARRAS[[#This Row],[Nivel de tensión]]</f>
        <v>TALCA2_66</v>
      </c>
    </row>
    <row r="778" spans="1:16">
      <c r="A778" t="s">
        <v>3850</v>
      </c>
      <c r="B778">
        <v>13</v>
      </c>
      <c r="C778">
        <v>275</v>
      </c>
      <c r="D778" t="s">
        <v>3851</v>
      </c>
      <c r="E778" t="s">
        <v>3852</v>
      </c>
      <c r="F778" t="s">
        <v>3853</v>
      </c>
      <c r="G778">
        <v>16301</v>
      </c>
      <c r="H778" t="s">
        <v>3414</v>
      </c>
      <c r="I778" t="s">
        <v>3391</v>
      </c>
      <c r="J778" t="s">
        <v>3392</v>
      </c>
      <c r="K778" t="s">
        <v>3304</v>
      </c>
      <c r="L778" t="s">
        <v>6778</v>
      </c>
      <c r="M778" t="s">
        <v>6779</v>
      </c>
      <c r="N778" t="s">
        <v>6792</v>
      </c>
      <c r="O778">
        <v>1</v>
      </c>
      <c r="P778" t="str">
        <f>+BARRAS[[#This Row],[Barra]]&amp;"_"&amp;BARRAS[[#This Row],[Nivel de tensión]]</f>
        <v>TALCAHUANO_13</v>
      </c>
    </row>
    <row r="779" spans="1:16">
      <c r="A779" t="s">
        <v>3850</v>
      </c>
      <c r="B779">
        <v>66</v>
      </c>
      <c r="C779">
        <v>1</v>
      </c>
      <c r="D779" t="s">
        <v>3397</v>
      </c>
      <c r="E779" t="s">
        <v>3854</v>
      </c>
      <c r="F779" t="s">
        <v>3420</v>
      </c>
      <c r="G779">
        <v>16301</v>
      </c>
      <c r="H779" t="s">
        <v>3414</v>
      </c>
      <c r="I779" t="s">
        <v>3391</v>
      </c>
      <c r="J779" t="s">
        <v>3392</v>
      </c>
      <c r="K779" t="s">
        <v>3304</v>
      </c>
      <c r="L779" t="s">
        <v>6778</v>
      </c>
      <c r="M779" t="s">
        <v>6779</v>
      </c>
      <c r="N779" t="s">
        <v>6792</v>
      </c>
      <c r="O779">
        <v>1</v>
      </c>
      <c r="P779" t="str">
        <f>+BARRAS[[#This Row],[Barra]]&amp;"_"&amp;BARRAS[[#This Row],[Nivel de tensión]]</f>
        <v>TALCAHUANO_66</v>
      </c>
    </row>
    <row r="780" spans="1:16">
      <c r="A780" t="s">
        <v>3850</v>
      </c>
      <c r="B780">
        <v>154</v>
      </c>
      <c r="C780">
        <v>1</v>
      </c>
      <c r="D780" t="s">
        <v>3397</v>
      </c>
      <c r="E780" t="s">
        <v>3855</v>
      </c>
      <c r="F780" t="s">
        <v>3420</v>
      </c>
      <c r="G780">
        <v>16301</v>
      </c>
      <c r="H780" t="s">
        <v>3414</v>
      </c>
      <c r="I780" t="s">
        <v>3391</v>
      </c>
      <c r="J780" t="s">
        <v>3392</v>
      </c>
      <c r="K780" t="s">
        <v>3304</v>
      </c>
      <c r="L780" t="s">
        <v>6778</v>
      </c>
      <c r="M780" t="s">
        <v>6779</v>
      </c>
      <c r="N780" t="s">
        <v>6792</v>
      </c>
      <c r="O780">
        <v>1</v>
      </c>
      <c r="P780" t="str">
        <f>+BARRAS[[#This Row],[Barra]]&amp;"_"&amp;BARRAS[[#This Row],[Nivel de tensión]]</f>
        <v>TALCAHUANO_154</v>
      </c>
    </row>
    <row r="781" spans="1:16">
      <c r="A781" t="s">
        <v>3856</v>
      </c>
      <c r="B781">
        <v>13</v>
      </c>
      <c r="C781">
        <v>1760</v>
      </c>
      <c r="D781" t="s">
        <v>3857</v>
      </c>
      <c r="E781" t="s">
        <v>3858</v>
      </c>
      <c r="F781" t="s">
        <v>3859</v>
      </c>
      <c r="G781">
        <v>16301</v>
      </c>
      <c r="H781" t="s">
        <v>3400</v>
      </c>
      <c r="I781" t="s">
        <v>3391</v>
      </c>
      <c r="J781" t="s">
        <v>3392</v>
      </c>
      <c r="K781" t="s">
        <v>3301</v>
      </c>
      <c r="L781" t="s">
        <v>6778</v>
      </c>
      <c r="M781" t="s">
        <v>6779</v>
      </c>
      <c r="N781" t="s">
        <v>6792</v>
      </c>
      <c r="O781">
        <v>1</v>
      </c>
      <c r="P781" t="str">
        <f>+BARRAS[[#This Row],[Barra]]&amp;"_"&amp;BARRAS[[#This Row],[Nivel de tensión]]</f>
        <v>TALTAL_13</v>
      </c>
    </row>
    <row r="782" spans="1:16">
      <c r="A782" t="s">
        <v>3856</v>
      </c>
      <c r="B782">
        <v>110</v>
      </c>
      <c r="C782">
        <v>1</v>
      </c>
      <c r="D782" t="s">
        <v>3397</v>
      </c>
      <c r="E782" t="s">
        <v>3860</v>
      </c>
      <c r="F782" t="s">
        <v>3420</v>
      </c>
      <c r="G782">
        <v>16301</v>
      </c>
      <c r="H782" t="s">
        <v>3400</v>
      </c>
      <c r="I782" t="s">
        <v>3391</v>
      </c>
      <c r="J782" t="s">
        <v>3392</v>
      </c>
      <c r="K782" t="s">
        <v>3301</v>
      </c>
      <c r="L782" t="s">
        <v>6778</v>
      </c>
      <c r="M782" t="s">
        <v>6779</v>
      </c>
      <c r="N782" t="s">
        <v>6792</v>
      </c>
      <c r="O782">
        <v>1</v>
      </c>
      <c r="P782" t="str">
        <f>+BARRAS[[#This Row],[Barra]]&amp;"_"&amp;BARRAS[[#This Row],[Nivel de tensión]]</f>
        <v>TALTAL_110</v>
      </c>
    </row>
    <row r="783" spans="1:16">
      <c r="A783" t="s">
        <v>3964</v>
      </c>
      <c r="B783">
        <v>220</v>
      </c>
      <c r="C783">
        <v>1</v>
      </c>
      <c r="D783" t="s">
        <v>3397</v>
      </c>
      <c r="E783" t="s">
        <v>3965</v>
      </c>
      <c r="F783" t="s">
        <v>3420</v>
      </c>
      <c r="G783">
        <v>16301</v>
      </c>
      <c r="H783" t="s">
        <v>3405</v>
      </c>
      <c r="I783" t="s">
        <v>3391</v>
      </c>
      <c r="J783" t="s">
        <v>3392</v>
      </c>
      <c r="K783" t="s">
        <v>6315</v>
      </c>
      <c r="L783" t="s">
        <v>6778</v>
      </c>
      <c r="M783" t="s">
        <v>6779</v>
      </c>
      <c r="N783" t="s">
        <v>6792</v>
      </c>
      <c r="O783">
        <v>1</v>
      </c>
      <c r="P783" t="str">
        <f>+BARRAS[[#This Row],[Barra]]&amp;"_"&amp;BARRAS[[#This Row],[Nivel de tensión]]</f>
        <v>TAP_LOMA_ALTA_220</v>
      </c>
    </row>
    <row r="784" spans="1:16">
      <c r="A784" t="s">
        <v>3966</v>
      </c>
      <c r="B784">
        <v>66</v>
      </c>
      <c r="C784">
        <v>1</v>
      </c>
      <c r="D784" t="s">
        <v>3397</v>
      </c>
      <c r="E784" t="s">
        <v>3967</v>
      </c>
      <c r="F784" t="s">
        <v>3420</v>
      </c>
      <c r="G784">
        <v>16301</v>
      </c>
      <c r="H784" t="s">
        <v>3414</v>
      </c>
      <c r="I784" t="s">
        <v>3391</v>
      </c>
      <c r="J784" t="s">
        <v>3392</v>
      </c>
      <c r="K784" t="s">
        <v>3304</v>
      </c>
      <c r="L784" t="s">
        <v>6778</v>
      </c>
      <c r="M784" t="s">
        <v>6779</v>
      </c>
      <c r="N784" t="s">
        <v>6792</v>
      </c>
      <c r="O784">
        <v>1</v>
      </c>
      <c r="P784" t="str">
        <f>+BARRAS[[#This Row],[Barra]]&amp;"_"&amp;BARRAS[[#This Row],[Nivel de tensión]]</f>
        <v>TAP_LOMA_COL_66</v>
      </c>
    </row>
    <row r="785" spans="1:16">
      <c r="A785" t="s">
        <v>3968</v>
      </c>
      <c r="B785">
        <v>66</v>
      </c>
      <c r="C785">
        <v>1</v>
      </c>
      <c r="D785" t="s">
        <v>3397</v>
      </c>
      <c r="E785" t="s">
        <v>3969</v>
      </c>
      <c r="F785" t="s">
        <v>3420</v>
      </c>
      <c r="G785">
        <v>16301</v>
      </c>
      <c r="H785" t="s">
        <v>3414</v>
      </c>
      <c r="I785" t="s">
        <v>3391</v>
      </c>
      <c r="J785" t="s">
        <v>3392</v>
      </c>
      <c r="K785" t="s">
        <v>3304</v>
      </c>
      <c r="L785" t="s">
        <v>6778</v>
      </c>
      <c r="M785" t="s">
        <v>6779</v>
      </c>
      <c r="N785" t="s">
        <v>6792</v>
      </c>
      <c r="O785">
        <v>1</v>
      </c>
      <c r="P785" t="str">
        <f>+BARRAS[[#This Row],[Barra]]&amp;"_"&amp;BARRAS[[#This Row],[Nivel de tensión]]</f>
        <v>TAP_LOTA_66</v>
      </c>
    </row>
    <row r="786" spans="1:16">
      <c r="A786" t="s">
        <v>3970</v>
      </c>
      <c r="B786">
        <v>110</v>
      </c>
      <c r="C786">
        <v>1</v>
      </c>
      <c r="D786" t="s">
        <v>3397</v>
      </c>
      <c r="E786" t="s">
        <v>3971</v>
      </c>
      <c r="F786" t="s">
        <v>3420</v>
      </c>
      <c r="G786">
        <v>16301</v>
      </c>
      <c r="H786" t="s">
        <v>3469</v>
      </c>
      <c r="I786" t="s">
        <v>3391</v>
      </c>
      <c r="J786" t="s">
        <v>3392</v>
      </c>
      <c r="K786" t="s">
        <v>3303</v>
      </c>
      <c r="L786" t="s">
        <v>6778</v>
      </c>
      <c r="M786" t="s">
        <v>6779</v>
      </c>
      <c r="N786" t="s">
        <v>6792</v>
      </c>
      <c r="O786">
        <v>1</v>
      </c>
      <c r="P786" t="str">
        <f>+BARRAS[[#This Row],[Barra]]&amp;"_"&amp;BARRAS[[#This Row],[Nivel de tensión]]</f>
        <v>TAP_MACUL_110</v>
      </c>
    </row>
    <row r="787" spans="1:16">
      <c r="A787" t="s">
        <v>3972</v>
      </c>
      <c r="B787">
        <v>66</v>
      </c>
      <c r="C787">
        <v>1</v>
      </c>
      <c r="D787" t="s">
        <v>3397</v>
      </c>
      <c r="E787" t="s">
        <v>3973</v>
      </c>
      <c r="F787" t="s">
        <v>3420</v>
      </c>
      <c r="G787">
        <v>16301</v>
      </c>
      <c r="H787" t="s">
        <v>3414</v>
      </c>
      <c r="I787" t="s">
        <v>3391</v>
      </c>
      <c r="J787" t="s">
        <v>3392</v>
      </c>
      <c r="K787" t="s">
        <v>3304</v>
      </c>
      <c r="L787" t="s">
        <v>6778</v>
      </c>
      <c r="M787" t="s">
        <v>6779</v>
      </c>
      <c r="N787" t="s">
        <v>6792</v>
      </c>
      <c r="O787">
        <v>1</v>
      </c>
      <c r="P787" t="str">
        <f>+BARRAS[[#This Row],[Barra]]&amp;"_"&amp;BARRAS[[#This Row],[Nivel de tensión]]</f>
        <v>TAP_P.HONDO_66</v>
      </c>
    </row>
    <row r="788" spans="1:16">
      <c r="A788" t="s">
        <v>3974</v>
      </c>
      <c r="B788">
        <v>110</v>
      </c>
      <c r="C788">
        <v>1</v>
      </c>
      <c r="D788" t="s">
        <v>3397</v>
      </c>
      <c r="E788" t="s">
        <v>3975</v>
      </c>
      <c r="F788" t="s">
        <v>3420</v>
      </c>
      <c r="G788">
        <v>16301</v>
      </c>
      <c r="H788" t="s">
        <v>3469</v>
      </c>
      <c r="I788" t="s">
        <v>3391</v>
      </c>
      <c r="J788" t="s">
        <v>3392</v>
      </c>
      <c r="K788" t="s">
        <v>3303</v>
      </c>
      <c r="L788" t="s">
        <v>6778</v>
      </c>
      <c r="M788" t="s">
        <v>6779</v>
      </c>
      <c r="N788" t="s">
        <v>6792</v>
      </c>
      <c r="O788">
        <v>1</v>
      </c>
      <c r="P788" t="str">
        <f>+BARRAS[[#This Row],[Barra]]&amp;"_"&amp;BARRAS[[#This Row],[Nivel de tensión]]</f>
        <v>TAP_PAJARITOS_110</v>
      </c>
    </row>
    <row r="789" spans="1:16">
      <c r="A789" t="s">
        <v>1415</v>
      </c>
      <c r="B789">
        <v>23</v>
      </c>
      <c r="C789">
        <v>1</v>
      </c>
      <c r="D789" t="s">
        <v>3397</v>
      </c>
      <c r="E789" t="s">
        <v>3419</v>
      </c>
      <c r="F789" t="s">
        <v>3420</v>
      </c>
      <c r="G789">
        <v>16301</v>
      </c>
      <c r="H789" t="s">
        <v>3405</v>
      </c>
      <c r="I789" t="s">
        <v>3391</v>
      </c>
      <c r="J789" t="s">
        <v>3392</v>
      </c>
      <c r="K789" t="s">
        <v>6315</v>
      </c>
      <c r="L789" t="s">
        <v>6778</v>
      </c>
      <c r="M789" t="s">
        <v>6779</v>
      </c>
      <c r="N789" t="s">
        <v>6792</v>
      </c>
      <c r="O789">
        <v>1</v>
      </c>
      <c r="P789" t="str">
        <f>+BARRAS[[#This Row],[Barra]]&amp;"_"&amp;BARRAS[[#This Row],[Nivel de tensión]]</f>
        <v>TAP_PALACIOS_23</v>
      </c>
    </row>
    <row r="790" spans="1:16">
      <c r="A790" t="s">
        <v>3976</v>
      </c>
      <c r="B790">
        <v>66</v>
      </c>
      <c r="C790">
        <v>1751</v>
      </c>
      <c r="D790" t="s">
        <v>3977</v>
      </c>
      <c r="E790" t="s">
        <v>3978</v>
      </c>
      <c r="F790" t="s">
        <v>3979</v>
      </c>
      <c r="G790">
        <v>16301</v>
      </c>
      <c r="H790" t="s">
        <v>3414</v>
      </c>
      <c r="I790" t="s">
        <v>3391</v>
      </c>
      <c r="J790" t="s">
        <v>3392</v>
      </c>
      <c r="K790" t="s">
        <v>3304</v>
      </c>
      <c r="L790" t="s">
        <v>6778</v>
      </c>
      <c r="M790" t="s">
        <v>6779</v>
      </c>
      <c r="N790" t="s">
        <v>6792</v>
      </c>
      <c r="O790">
        <v>1</v>
      </c>
      <c r="P790" t="str">
        <f>+BARRAS[[#This Row],[Barra]]&amp;"_"&amp;BARRAS[[#This Row],[Nivel de tensión]]</f>
        <v>TAP_POLPAICO_66</v>
      </c>
    </row>
    <row r="791" spans="1:16">
      <c r="A791" t="s">
        <v>3980</v>
      </c>
      <c r="B791">
        <v>66</v>
      </c>
      <c r="C791">
        <v>1</v>
      </c>
      <c r="D791" t="s">
        <v>3397</v>
      </c>
      <c r="E791" t="s">
        <v>3419</v>
      </c>
      <c r="F791" t="s">
        <v>3420</v>
      </c>
      <c r="G791">
        <v>16301</v>
      </c>
      <c r="H791" t="s">
        <v>3405</v>
      </c>
      <c r="I791" t="s">
        <v>3391</v>
      </c>
      <c r="J791" t="s">
        <v>3392</v>
      </c>
      <c r="K791" t="s">
        <v>6315</v>
      </c>
      <c r="L791" t="s">
        <v>6778</v>
      </c>
      <c r="M791" t="s">
        <v>6779</v>
      </c>
      <c r="N791" t="s">
        <v>6792</v>
      </c>
      <c r="O791">
        <v>1</v>
      </c>
      <c r="P791" t="str">
        <f>+BARRAS[[#This Row],[Barra]]&amp;"_"&amp;BARRAS[[#This Row],[Nivel de tensión]]</f>
        <v>TAP_PULELFU_66</v>
      </c>
    </row>
    <row r="792" spans="1:16">
      <c r="A792" t="s">
        <v>3981</v>
      </c>
      <c r="B792">
        <v>66</v>
      </c>
      <c r="C792">
        <v>1</v>
      </c>
      <c r="D792" t="s">
        <v>3397</v>
      </c>
      <c r="E792" t="s">
        <v>3419</v>
      </c>
      <c r="F792" t="s">
        <v>3420</v>
      </c>
      <c r="G792">
        <v>16301</v>
      </c>
      <c r="H792" t="s">
        <v>3414</v>
      </c>
      <c r="I792" t="s">
        <v>3391</v>
      </c>
      <c r="J792" t="s">
        <v>3392</v>
      </c>
      <c r="K792" t="s">
        <v>3304</v>
      </c>
      <c r="L792" t="s">
        <v>6778</v>
      </c>
      <c r="M792" t="s">
        <v>6779</v>
      </c>
      <c r="N792" t="s">
        <v>6792</v>
      </c>
      <c r="O792">
        <v>1</v>
      </c>
      <c r="P792" t="str">
        <f>+BARRAS[[#This Row],[Barra]]&amp;"_"&amp;BARRAS[[#This Row],[Nivel de tensión]]</f>
        <v>TAP_PUTAGAN_66</v>
      </c>
    </row>
    <row r="793" spans="1:16">
      <c r="A793" t="s">
        <v>3982</v>
      </c>
      <c r="B793">
        <v>110</v>
      </c>
      <c r="C793">
        <v>1</v>
      </c>
      <c r="D793" t="s">
        <v>3397</v>
      </c>
      <c r="E793" t="s">
        <v>3983</v>
      </c>
      <c r="F793" t="s">
        <v>3420</v>
      </c>
      <c r="G793">
        <v>16301</v>
      </c>
      <c r="H793" t="s">
        <v>3469</v>
      </c>
      <c r="I793" t="s">
        <v>3391</v>
      </c>
      <c r="J793" t="s">
        <v>3392</v>
      </c>
      <c r="K793" t="s">
        <v>3303</v>
      </c>
      <c r="L793" t="s">
        <v>6778</v>
      </c>
      <c r="M793" t="s">
        <v>6779</v>
      </c>
      <c r="N793" t="s">
        <v>6792</v>
      </c>
      <c r="O793">
        <v>1</v>
      </c>
      <c r="P793" t="str">
        <f>+BARRAS[[#This Row],[Barra]]&amp;"_"&amp;BARRAS[[#This Row],[Nivel de tensión]]</f>
        <v>TAP_QUILICURA_110</v>
      </c>
    </row>
    <row r="794" spans="1:16">
      <c r="A794" t="s">
        <v>3984</v>
      </c>
      <c r="B794">
        <v>66</v>
      </c>
      <c r="C794">
        <v>1</v>
      </c>
      <c r="D794" t="s">
        <v>3397</v>
      </c>
      <c r="E794" t="s">
        <v>3419</v>
      </c>
      <c r="F794" t="s">
        <v>3420</v>
      </c>
      <c r="G794">
        <v>16301</v>
      </c>
      <c r="H794" t="s">
        <v>3405</v>
      </c>
      <c r="I794" t="s">
        <v>3391</v>
      </c>
      <c r="J794" t="s">
        <v>3392</v>
      </c>
      <c r="K794" t="s">
        <v>6315</v>
      </c>
      <c r="L794" t="s">
        <v>6778</v>
      </c>
      <c r="M794" t="s">
        <v>6779</v>
      </c>
      <c r="N794" t="s">
        <v>6792</v>
      </c>
      <c r="O794">
        <v>1</v>
      </c>
      <c r="P794" t="str">
        <f>+BARRAS[[#This Row],[Barra]]&amp;"_"&amp;BARRAS[[#This Row],[Nivel de tensión]]</f>
        <v>TAP_RCOLORADO_66</v>
      </c>
    </row>
    <row r="795" spans="1:16">
      <c r="A795" t="s">
        <v>3985</v>
      </c>
      <c r="B795">
        <v>110</v>
      </c>
      <c r="C795">
        <v>1</v>
      </c>
      <c r="D795" t="s">
        <v>3397</v>
      </c>
      <c r="E795" t="s">
        <v>3986</v>
      </c>
      <c r="F795" t="s">
        <v>3420</v>
      </c>
      <c r="G795">
        <v>16301</v>
      </c>
      <c r="H795" t="s">
        <v>3469</v>
      </c>
      <c r="I795" t="s">
        <v>3391</v>
      </c>
      <c r="J795" t="s">
        <v>3392</v>
      </c>
      <c r="K795" t="s">
        <v>3303</v>
      </c>
      <c r="L795" t="s">
        <v>6778</v>
      </c>
      <c r="M795" t="s">
        <v>6779</v>
      </c>
      <c r="N795" t="s">
        <v>6792</v>
      </c>
      <c r="O795">
        <v>1</v>
      </c>
      <c r="P795" t="str">
        <f>+BARRAS[[#This Row],[Barra]]&amp;"_"&amp;BARRAS[[#This Row],[Nivel de tensión]]</f>
        <v>TAP_RECOLETA_110</v>
      </c>
    </row>
    <row r="796" spans="1:16">
      <c r="A796" t="s">
        <v>1423</v>
      </c>
      <c r="B796">
        <v>110</v>
      </c>
      <c r="C796">
        <v>1</v>
      </c>
      <c r="D796" t="s">
        <v>3397</v>
      </c>
      <c r="E796" t="s">
        <v>3987</v>
      </c>
      <c r="F796" t="s">
        <v>3420</v>
      </c>
      <c r="G796">
        <v>16301</v>
      </c>
      <c r="H796" t="s">
        <v>3400</v>
      </c>
      <c r="I796" t="s">
        <v>3391</v>
      </c>
      <c r="J796" t="s">
        <v>3392</v>
      </c>
      <c r="K796" t="s">
        <v>3301</v>
      </c>
      <c r="L796" t="s">
        <v>6778</v>
      </c>
      <c r="M796" t="s">
        <v>6779</v>
      </c>
      <c r="N796" t="s">
        <v>6792</v>
      </c>
      <c r="O796">
        <v>1</v>
      </c>
      <c r="P796" t="str">
        <f>+BARRAS[[#This Row],[Barra]]&amp;"_"&amp;BARRAS[[#This Row],[Nivel de tensión]]</f>
        <v>TAP_RIOHUASCO_110</v>
      </c>
    </row>
    <row r="797" spans="1:16">
      <c r="A797" t="s">
        <v>3988</v>
      </c>
      <c r="B797">
        <v>220</v>
      </c>
      <c r="C797">
        <v>1</v>
      </c>
      <c r="D797" t="s">
        <v>3397</v>
      </c>
      <c r="E797" t="s">
        <v>3419</v>
      </c>
      <c r="F797" t="s">
        <v>3420</v>
      </c>
      <c r="G797">
        <v>16301</v>
      </c>
      <c r="H797" t="s">
        <v>3396</v>
      </c>
      <c r="I797" t="s">
        <v>3391</v>
      </c>
      <c r="J797" t="s">
        <v>3392</v>
      </c>
      <c r="K797" t="s">
        <v>6315</v>
      </c>
      <c r="L797" t="s">
        <v>6778</v>
      </c>
      <c r="M797" t="s">
        <v>6779</v>
      </c>
      <c r="N797" t="s">
        <v>6792</v>
      </c>
      <c r="O797">
        <v>1</v>
      </c>
      <c r="P797" t="str">
        <f>+BARRAS[[#This Row],[Barra]]&amp;"_"&amp;BARRAS[[#This Row],[Nivel de tensión]]</f>
        <v>TAP_RIOTOLTEN_220</v>
      </c>
    </row>
    <row r="798" spans="1:16">
      <c r="A798" t="s">
        <v>3989</v>
      </c>
      <c r="B798">
        <v>220</v>
      </c>
      <c r="C798">
        <v>1</v>
      </c>
      <c r="D798" t="s">
        <v>3397</v>
      </c>
      <c r="E798" t="s">
        <v>3419</v>
      </c>
      <c r="F798" t="s">
        <v>3420</v>
      </c>
      <c r="G798">
        <v>16301</v>
      </c>
      <c r="H798" t="s">
        <v>3409</v>
      </c>
      <c r="I798" t="s">
        <v>3391</v>
      </c>
      <c r="J798" t="s">
        <v>3392</v>
      </c>
      <c r="K798" t="s">
        <v>6315</v>
      </c>
      <c r="L798" t="s">
        <v>6778</v>
      </c>
      <c r="M798" t="s">
        <v>6779</v>
      </c>
      <c r="N798" t="s">
        <v>6792</v>
      </c>
      <c r="O798">
        <v>1</v>
      </c>
      <c r="P798" t="str">
        <f>+BARRAS[[#This Row],[Barra]]&amp;"_"&amp;BARRAS[[#This Row],[Nivel de tensión]]</f>
        <v>TAP_ROSAL_220</v>
      </c>
    </row>
    <row r="799" spans="1:16">
      <c r="A799" t="s">
        <v>3990</v>
      </c>
      <c r="B799">
        <v>66</v>
      </c>
      <c r="C799">
        <v>1</v>
      </c>
      <c r="D799" t="s">
        <v>3397</v>
      </c>
      <c r="E799" t="s">
        <v>3419</v>
      </c>
      <c r="F799" t="s">
        <v>3420</v>
      </c>
      <c r="G799">
        <v>16301</v>
      </c>
      <c r="H799" t="s">
        <v>3414</v>
      </c>
      <c r="I799" t="s">
        <v>3391</v>
      </c>
      <c r="J799" t="s">
        <v>3392</v>
      </c>
      <c r="K799" t="s">
        <v>3304</v>
      </c>
      <c r="L799" t="s">
        <v>6778</v>
      </c>
      <c r="M799" t="s">
        <v>6779</v>
      </c>
      <c r="N799" t="s">
        <v>6792</v>
      </c>
      <c r="O799">
        <v>1</v>
      </c>
      <c r="P799" t="str">
        <f>+BARRAS[[#This Row],[Barra]]&amp;"_"&amp;BARRAS[[#This Row],[Nivel de tensión]]</f>
        <v>TAP_S.P_P.B.B_66</v>
      </c>
    </row>
    <row r="800" spans="1:16">
      <c r="A800" t="s">
        <v>3991</v>
      </c>
      <c r="B800">
        <v>66</v>
      </c>
      <c r="C800">
        <v>1</v>
      </c>
      <c r="D800" t="s">
        <v>3397</v>
      </c>
      <c r="E800" t="s">
        <v>3632</v>
      </c>
      <c r="F800" t="s">
        <v>3420</v>
      </c>
      <c r="G800">
        <v>16301</v>
      </c>
      <c r="H800" t="s">
        <v>3414</v>
      </c>
      <c r="I800" t="s">
        <v>3391</v>
      </c>
      <c r="J800" t="s">
        <v>3392</v>
      </c>
      <c r="K800" t="s">
        <v>3304</v>
      </c>
      <c r="L800" t="s">
        <v>6778</v>
      </c>
      <c r="M800" t="s">
        <v>6779</v>
      </c>
      <c r="N800" t="s">
        <v>6792</v>
      </c>
      <c r="O800">
        <v>1</v>
      </c>
      <c r="P800" t="str">
        <f>+BARRAS[[#This Row],[Barra]]&amp;"_"&amp;BARRAS[[#This Row],[Nivel de tensión]]</f>
        <v>TAP_S.RAFAEL_66</v>
      </c>
    </row>
    <row r="801" spans="1:16">
      <c r="A801" t="s">
        <v>3992</v>
      </c>
      <c r="B801">
        <v>110</v>
      </c>
      <c r="C801">
        <v>1</v>
      </c>
      <c r="D801" t="s">
        <v>3397</v>
      </c>
      <c r="E801" t="s">
        <v>3993</v>
      </c>
      <c r="F801" t="s">
        <v>3420</v>
      </c>
      <c r="G801">
        <v>16301</v>
      </c>
      <c r="H801" t="s">
        <v>3469</v>
      </c>
      <c r="I801" t="s">
        <v>3391</v>
      </c>
      <c r="J801" t="s">
        <v>3392</v>
      </c>
      <c r="K801" t="s">
        <v>3303</v>
      </c>
      <c r="L801" t="s">
        <v>6778</v>
      </c>
      <c r="M801" t="s">
        <v>6779</v>
      </c>
      <c r="N801" t="s">
        <v>6792</v>
      </c>
      <c r="O801">
        <v>1</v>
      </c>
      <c r="P801" t="str">
        <f>+BARRAS[[#This Row],[Barra]]&amp;"_"&amp;BARRAS[[#This Row],[Nivel de tensión]]</f>
        <v>TAP_SAN_JOSE_110</v>
      </c>
    </row>
    <row r="802" spans="1:16">
      <c r="A802" t="s">
        <v>3599</v>
      </c>
      <c r="B802">
        <v>110</v>
      </c>
      <c r="C802">
        <v>1</v>
      </c>
      <c r="D802" t="s">
        <v>3397</v>
      </c>
      <c r="E802" t="s">
        <v>3600</v>
      </c>
      <c r="F802" t="s">
        <v>3420</v>
      </c>
      <c r="G802">
        <v>16301</v>
      </c>
      <c r="H802" t="s">
        <v>3469</v>
      </c>
      <c r="I802" t="s">
        <v>3391</v>
      </c>
      <c r="J802" t="s">
        <v>3392</v>
      </c>
      <c r="K802" t="s">
        <v>3303</v>
      </c>
      <c r="L802" t="s">
        <v>6778</v>
      </c>
      <c r="M802" t="s">
        <v>6779</v>
      </c>
      <c r="N802" t="s">
        <v>6792</v>
      </c>
      <c r="O802">
        <v>1</v>
      </c>
      <c r="P802" t="str">
        <f>+BARRAS[[#This Row],[Barra]]&amp;"_"&amp;BARRAS[[#This Row],[Nivel de tensión]]</f>
        <v>TAP_STA_MARTA_110</v>
      </c>
    </row>
    <row r="803" spans="1:16">
      <c r="A803" t="s">
        <v>3599</v>
      </c>
      <c r="B803">
        <v>220</v>
      </c>
      <c r="C803">
        <v>1</v>
      </c>
      <c r="D803" t="s">
        <v>3397</v>
      </c>
      <c r="E803" t="s">
        <v>3419</v>
      </c>
      <c r="F803" t="s">
        <v>3420</v>
      </c>
      <c r="G803">
        <v>16301</v>
      </c>
      <c r="H803" t="s">
        <v>3409</v>
      </c>
      <c r="I803" t="s">
        <v>3391</v>
      </c>
      <c r="J803" t="s">
        <v>3392</v>
      </c>
      <c r="K803" t="s">
        <v>6315</v>
      </c>
      <c r="L803" t="s">
        <v>6778</v>
      </c>
      <c r="M803" t="s">
        <v>6779</v>
      </c>
      <c r="N803" t="s">
        <v>6792</v>
      </c>
      <c r="O803">
        <v>1</v>
      </c>
      <c r="P803" t="str">
        <f>+BARRAS[[#This Row],[Barra]]&amp;"_"&amp;BARRAS[[#This Row],[Nivel de tensión]]</f>
        <v>TAP_STA_MARTA_220</v>
      </c>
    </row>
    <row r="804" spans="1:16">
      <c r="A804" t="s">
        <v>3601</v>
      </c>
      <c r="B804">
        <v>220</v>
      </c>
      <c r="C804">
        <v>1</v>
      </c>
      <c r="D804" t="s">
        <v>3397</v>
      </c>
      <c r="E804" t="s">
        <v>3602</v>
      </c>
      <c r="F804" t="s">
        <v>3420</v>
      </c>
      <c r="G804">
        <v>16301</v>
      </c>
      <c r="H804" t="s">
        <v>3409</v>
      </c>
      <c r="I804" t="s">
        <v>3391</v>
      </c>
      <c r="J804" t="s">
        <v>3392</v>
      </c>
      <c r="K804" t="s">
        <v>6315</v>
      </c>
      <c r="L804" t="s">
        <v>6778</v>
      </c>
      <c r="M804" t="s">
        <v>6779</v>
      </c>
      <c r="N804" t="s">
        <v>6792</v>
      </c>
      <c r="O804">
        <v>1</v>
      </c>
      <c r="P804" t="str">
        <f>+BARRAS[[#This Row],[Barra]]&amp;"_"&amp;BARRAS[[#This Row],[Nivel de tensión]]</f>
        <v>TAP_TALINAY_220</v>
      </c>
    </row>
    <row r="805" spans="1:16">
      <c r="A805" t="s">
        <v>3603</v>
      </c>
      <c r="B805">
        <v>220</v>
      </c>
      <c r="C805">
        <v>1</v>
      </c>
      <c r="D805" t="s">
        <v>3397</v>
      </c>
      <c r="E805" t="s">
        <v>3604</v>
      </c>
      <c r="F805" t="s">
        <v>3420</v>
      </c>
      <c r="G805">
        <v>16301</v>
      </c>
      <c r="H805" t="s">
        <v>3405</v>
      </c>
      <c r="I805" t="s">
        <v>3391</v>
      </c>
      <c r="J805" t="s">
        <v>3392</v>
      </c>
      <c r="K805" t="s">
        <v>6315</v>
      </c>
      <c r="L805" t="s">
        <v>6778</v>
      </c>
      <c r="M805" t="s">
        <v>6779</v>
      </c>
      <c r="N805" t="s">
        <v>6792</v>
      </c>
      <c r="O805">
        <v>1</v>
      </c>
      <c r="P805" t="str">
        <f>+BARRAS[[#This Row],[Barra]]&amp;"_"&amp;BARRAS[[#This Row],[Nivel de tensión]]</f>
        <v>TAP_TRUPAN_220</v>
      </c>
    </row>
    <row r="806" spans="1:16">
      <c r="A806" t="s">
        <v>3605</v>
      </c>
      <c r="B806">
        <v>66</v>
      </c>
      <c r="C806">
        <v>1162</v>
      </c>
      <c r="D806" t="s">
        <v>3606</v>
      </c>
      <c r="E806" t="s">
        <v>3607</v>
      </c>
      <c r="F806" t="s">
        <v>3608</v>
      </c>
      <c r="G806">
        <v>16301</v>
      </c>
      <c r="H806" t="s">
        <v>3414</v>
      </c>
      <c r="I806" t="s">
        <v>3391</v>
      </c>
      <c r="J806" t="s">
        <v>3392</v>
      </c>
      <c r="K806" t="s">
        <v>3304</v>
      </c>
      <c r="L806" t="s">
        <v>6778</v>
      </c>
      <c r="M806" t="s">
        <v>6779</v>
      </c>
      <c r="N806" t="s">
        <v>6792</v>
      </c>
      <c r="O806">
        <v>1</v>
      </c>
      <c r="P806" t="str">
        <f>+BARRAS[[#This Row],[Barra]]&amp;"_"&amp;BARRAS[[#This Row],[Nivel de tensión]]</f>
        <v>TAP_VICTORIA_66</v>
      </c>
    </row>
    <row r="807" spans="1:16">
      <c r="A807" t="s">
        <v>3609</v>
      </c>
      <c r="B807">
        <v>110</v>
      </c>
      <c r="C807">
        <v>1</v>
      </c>
      <c r="D807" t="s">
        <v>3397</v>
      </c>
      <c r="E807" t="s">
        <v>3610</v>
      </c>
      <c r="F807" t="s">
        <v>3420</v>
      </c>
      <c r="G807">
        <v>16301</v>
      </c>
      <c r="H807" t="s">
        <v>3469</v>
      </c>
      <c r="I807" t="s">
        <v>3391</v>
      </c>
      <c r="J807" t="s">
        <v>3392</v>
      </c>
      <c r="K807" t="s">
        <v>3303</v>
      </c>
      <c r="L807" t="s">
        <v>6778</v>
      </c>
      <c r="M807" t="s">
        <v>6779</v>
      </c>
      <c r="N807" t="s">
        <v>6792</v>
      </c>
      <c r="O807">
        <v>1</v>
      </c>
      <c r="P807" t="str">
        <f>+BARRAS[[#This Row],[Barra]]&amp;"_"&amp;BARRAS[[#This Row],[Nivel de tensión]]</f>
        <v>TAP_VITACURA_110</v>
      </c>
    </row>
    <row r="808" spans="1:16">
      <c r="A808" t="s">
        <v>3667</v>
      </c>
      <c r="B808">
        <v>220</v>
      </c>
      <c r="C808">
        <v>2564</v>
      </c>
      <c r="D808" t="s">
        <v>3397</v>
      </c>
      <c r="E808" t="s">
        <v>3668</v>
      </c>
      <c r="F808" t="s">
        <v>3669</v>
      </c>
      <c r="G808">
        <v>16301</v>
      </c>
      <c r="H808" t="s">
        <v>3405</v>
      </c>
      <c r="I808" t="s">
        <v>3391</v>
      </c>
      <c r="J808" t="s">
        <v>3392</v>
      </c>
      <c r="K808" t="s">
        <v>6315</v>
      </c>
      <c r="L808" t="s">
        <v>6778</v>
      </c>
      <c r="M808" t="s">
        <v>6779</v>
      </c>
      <c r="N808" t="s">
        <v>6792</v>
      </c>
      <c r="O808">
        <v>1</v>
      </c>
      <c r="P808" t="str">
        <f>+BARRAS[[#This Row],[Barra]]&amp;"_"&amp;BARRAS[[#This Row],[Nivel de tensión]]</f>
        <v>TEN_220</v>
      </c>
    </row>
    <row r="809" spans="1:16">
      <c r="A809" t="s">
        <v>1460</v>
      </c>
      <c r="B809">
        <v>13</v>
      </c>
      <c r="C809">
        <v>212</v>
      </c>
      <c r="D809" t="s">
        <v>3670</v>
      </c>
      <c r="E809" t="s">
        <v>3671</v>
      </c>
      <c r="F809" t="s">
        <v>3672</v>
      </c>
      <c r="G809">
        <v>16301</v>
      </c>
      <c r="H809" t="s">
        <v>3414</v>
      </c>
      <c r="I809" t="s">
        <v>3391</v>
      </c>
      <c r="J809" t="s">
        <v>3392</v>
      </c>
      <c r="K809" t="s">
        <v>3304</v>
      </c>
      <c r="L809" t="s">
        <v>6778</v>
      </c>
      <c r="M809" t="s">
        <v>6779</v>
      </c>
      <c r="N809" t="s">
        <v>6792</v>
      </c>
      <c r="O809">
        <v>1</v>
      </c>
      <c r="P809" t="str">
        <f>+BARRAS[[#This Row],[Barra]]&amp;"_"&amp;BARRAS[[#This Row],[Nivel de tensión]]</f>
        <v>TENO_13</v>
      </c>
    </row>
    <row r="810" spans="1:16">
      <c r="A810" t="s">
        <v>1460</v>
      </c>
      <c r="B810">
        <v>66</v>
      </c>
      <c r="C810">
        <v>1</v>
      </c>
      <c r="D810" t="s">
        <v>3397</v>
      </c>
      <c r="E810" t="s">
        <v>3673</v>
      </c>
      <c r="F810" t="s">
        <v>3420</v>
      </c>
      <c r="G810">
        <v>16301</v>
      </c>
      <c r="H810" t="s">
        <v>3414</v>
      </c>
      <c r="I810" t="s">
        <v>3391</v>
      </c>
      <c r="J810" t="s">
        <v>3392</v>
      </c>
      <c r="K810" t="s">
        <v>3304</v>
      </c>
      <c r="L810" t="s">
        <v>6778</v>
      </c>
      <c r="M810" t="s">
        <v>6779</v>
      </c>
      <c r="N810" t="s">
        <v>6792</v>
      </c>
      <c r="O810">
        <v>1</v>
      </c>
      <c r="P810" t="str">
        <f>+BARRAS[[#This Row],[Barra]]&amp;"_"&amp;BARRAS[[#This Row],[Nivel de tensión]]</f>
        <v>TENO_66</v>
      </c>
    </row>
    <row r="811" spans="1:16">
      <c r="A811" t="s">
        <v>1460</v>
      </c>
      <c r="B811">
        <v>154</v>
      </c>
      <c r="C811">
        <v>310</v>
      </c>
      <c r="D811" t="s">
        <v>3674</v>
      </c>
      <c r="E811" t="s">
        <v>3675</v>
      </c>
      <c r="F811" t="s">
        <v>3672</v>
      </c>
      <c r="G811">
        <v>16301</v>
      </c>
      <c r="H811" t="s">
        <v>3414</v>
      </c>
      <c r="I811" t="s">
        <v>3391</v>
      </c>
      <c r="J811" t="s">
        <v>3392</v>
      </c>
      <c r="K811" t="s">
        <v>3304</v>
      </c>
      <c r="L811" t="s">
        <v>6778</v>
      </c>
      <c r="M811" t="s">
        <v>6779</v>
      </c>
      <c r="N811" t="s">
        <v>6792</v>
      </c>
      <c r="O811">
        <v>1</v>
      </c>
      <c r="P811" t="str">
        <f>+BARRAS[[#This Row],[Barra]]&amp;"_"&amp;BARRAS[[#This Row],[Nivel de tensión]]</f>
        <v>TENO_154</v>
      </c>
    </row>
    <row r="812" spans="1:16">
      <c r="A812" t="s">
        <v>3676</v>
      </c>
      <c r="B812">
        <v>154</v>
      </c>
      <c r="C812">
        <v>1</v>
      </c>
      <c r="D812" t="s">
        <v>3397</v>
      </c>
      <c r="E812" t="s">
        <v>3677</v>
      </c>
      <c r="F812" t="s">
        <v>3420</v>
      </c>
      <c r="G812">
        <v>16301</v>
      </c>
      <c r="H812" t="s">
        <v>3414</v>
      </c>
      <c r="I812" t="s">
        <v>3391</v>
      </c>
      <c r="J812" t="s">
        <v>3392</v>
      </c>
      <c r="K812" t="s">
        <v>3304</v>
      </c>
      <c r="L812" t="s">
        <v>6778</v>
      </c>
      <c r="M812" t="s">
        <v>6779</v>
      </c>
      <c r="N812" t="s">
        <v>6792</v>
      </c>
      <c r="O812">
        <v>1</v>
      </c>
      <c r="P812" t="str">
        <f>+BARRAS[[#This Row],[Barra]]&amp;"_"&amp;BARRAS[[#This Row],[Nivel de tensión]]</f>
        <v>TENO1_154</v>
      </c>
    </row>
    <row r="813" spans="1:16">
      <c r="A813" t="s">
        <v>3678</v>
      </c>
      <c r="B813">
        <v>154</v>
      </c>
      <c r="C813">
        <v>1</v>
      </c>
      <c r="D813" t="s">
        <v>3397</v>
      </c>
      <c r="E813" t="s">
        <v>3679</v>
      </c>
      <c r="F813" t="s">
        <v>3420</v>
      </c>
      <c r="G813">
        <v>16301</v>
      </c>
      <c r="H813" t="s">
        <v>3414</v>
      </c>
      <c r="I813" t="s">
        <v>3391</v>
      </c>
      <c r="J813" t="s">
        <v>3392</v>
      </c>
      <c r="K813" t="s">
        <v>3304</v>
      </c>
      <c r="L813" t="s">
        <v>6778</v>
      </c>
      <c r="M813" t="s">
        <v>6779</v>
      </c>
      <c r="N813" t="s">
        <v>6792</v>
      </c>
      <c r="O813">
        <v>1</v>
      </c>
      <c r="P813" t="str">
        <f>+BARRAS[[#This Row],[Barra]]&amp;"_"&amp;BARRAS[[#This Row],[Nivel de tensión]]</f>
        <v>TENO2_154</v>
      </c>
    </row>
    <row r="814" spans="1:16">
      <c r="A814" t="s">
        <v>3351</v>
      </c>
      <c r="B814">
        <v>220</v>
      </c>
      <c r="C814">
        <v>1798</v>
      </c>
      <c r="D814" t="s">
        <v>3680</v>
      </c>
      <c r="E814" t="s">
        <v>3681</v>
      </c>
      <c r="F814" t="s">
        <v>3682</v>
      </c>
      <c r="G814">
        <v>3101</v>
      </c>
      <c r="H814" t="s">
        <v>3405</v>
      </c>
      <c r="I814" t="s">
        <v>3683</v>
      </c>
      <c r="J814" t="s">
        <v>3352</v>
      </c>
      <c r="K814" t="s">
        <v>6315</v>
      </c>
      <c r="L814" t="s">
        <v>6778</v>
      </c>
      <c r="M814" t="s">
        <v>6779</v>
      </c>
      <c r="N814" t="s">
        <v>6792</v>
      </c>
      <c r="O814">
        <v>1</v>
      </c>
      <c r="P814" t="str">
        <f>+BARRAS[[#This Row],[Barra]]&amp;"_"&amp;BARRAS[[#This Row],[Nivel de tensión]]</f>
        <v>TERMOPACIFIC_220</v>
      </c>
    </row>
    <row r="815" spans="1:16">
      <c r="A815" t="s">
        <v>1466</v>
      </c>
      <c r="B815">
        <v>23</v>
      </c>
      <c r="C815">
        <v>2086</v>
      </c>
      <c r="D815" t="s">
        <v>3684</v>
      </c>
      <c r="E815" t="s">
        <v>3685</v>
      </c>
      <c r="F815" t="s">
        <v>3686</v>
      </c>
      <c r="G815">
        <v>16301</v>
      </c>
      <c r="H815" t="s">
        <v>3405</v>
      </c>
      <c r="I815" t="s">
        <v>3391</v>
      </c>
      <c r="J815" t="s">
        <v>3392</v>
      </c>
      <c r="K815" t="s">
        <v>6315</v>
      </c>
      <c r="L815" t="s">
        <v>6778</v>
      </c>
      <c r="M815" t="s">
        <v>6779</v>
      </c>
      <c r="N815" t="s">
        <v>6792</v>
      </c>
      <c r="O815">
        <v>1</v>
      </c>
      <c r="P815" t="str">
        <f>+BARRAS[[#This Row],[Barra]]&amp;"_"&amp;BARRAS[[#This Row],[Nivel de tensión]]</f>
        <v>TESORO_23</v>
      </c>
    </row>
    <row r="816" spans="1:16">
      <c r="A816" t="s">
        <v>1466</v>
      </c>
      <c r="B816">
        <v>220</v>
      </c>
      <c r="C816">
        <v>2085</v>
      </c>
      <c r="D816" t="s">
        <v>3687</v>
      </c>
      <c r="E816" t="s">
        <v>3688</v>
      </c>
      <c r="F816" t="s">
        <v>3686</v>
      </c>
      <c r="G816">
        <v>16301</v>
      </c>
      <c r="H816" t="s">
        <v>3405</v>
      </c>
      <c r="I816" t="s">
        <v>3391</v>
      </c>
      <c r="J816" t="s">
        <v>3392</v>
      </c>
      <c r="K816" t="s">
        <v>6315</v>
      </c>
      <c r="L816" t="s">
        <v>6778</v>
      </c>
      <c r="M816" t="s">
        <v>6779</v>
      </c>
      <c r="N816" t="s">
        <v>6792</v>
      </c>
      <c r="O816">
        <v>1</v>
      </c>
      <c r="P816" t="str">
        <f>+BARRAS[[#This Row],[Barra]]&amp;"_"&amp;BARRAS[[#This Row],[Nivel de tensión]]</f>
        <v>TESORO_220</v>
      </c>
    </row>
    <row r="817" spans="1:16">
      <c r="A817" t="s">
        <v>3689</v>
      </c>
      <c r="B817">
        <v>220</v>
      </c>
      <c r="C817">
        <v>1</v>
      </c>
      <c r="D817" t="s">
        <v>3397</v>
      </c>
      <c r="E817" t="s">
        <v>3690</v>
      </c>
      <c r="F817" t="s">
        <v>3420</v>
      </c>
      <c r="G817">
        <v>16301</v>
      </c>
      <c r="H817" t="s">
        <v>3405</v>
      </c>
      <c r="I817" t="s">
        <v>3391</v>
      </c>
      <c r="J817" t="s">
        <v>3392</v>
      </c>
      <c r="K817" t="s">
        <v>6315</v>
      </c>
      <c r="L817" t="s">
        <v>6778</v>
      </c>
      <c r="M817" t="s">
        <v>6779</v>
      </c>
      <c r="N817" t="s">
        <v>6792</v>
      </c>
      <c r="O817">
        <v>1</v>
      </c>
      <c r="P817" t="str">
        <f>+BARRAS[[#This Row],[Barra]]&amp;"_"&amp;BARRAS[[#This Row],[Nivel de tensión]]</f>
        <v>TIGRE_220</v>
      </c>
    </row>
    <row r="818" spans="1:16">
      <c r="A818" t="s">
        <v>3691</v>
      </c>
      <c r="B818">
        <v>154</v>
      </c>
      <c r="C818">
        <v>1</v>
      </c>
      <c r="D818" t="s">
        <v>3397</v>
      </c>
      <c r="E818" t="s">
        <v>3692</v>
      </c>
      <c r="F818" t="s">
        <v>3420</v>
      </c>
      <c r="G818">
        <v>16301</v>
      </c>
      <c r="H818" t="s">
        <v>3414</v>
      </c>
      <c r="I818" t="s">
        <v>3391</v>
      </c>
      <c r="J818" t="s">
        <v>3392</v>
      </c>
      <c r="K818" t="s">
        <v>3304</v>
      </c>
      <c r="L818" t="s">
        <v>6778</v>
      </c>
      <c r="M818" t="s">
        <v>6779</v>
      </c>
      <c r="N818" t="s">
        <v>6792</v>
      </c>
      <c r="O818">
        <v>1</v>
      </c>
      <c r="P818" t="str">
        <f>+BARRAS[[#This Row],[Barra]]&amp;"_"&amp;BARRAS[[#This Row],[Nivel de tensión]]</f>
        <v>TILCOCO1_154</v>
      </c>
    </row>
    <row r="819" spans="1:16">
      <c r="A819" t="s">
        <v>3693</v>
      </c>
      <c r="B819">
        <v>154</v>
      </c>
      <c r="C819">
        <v>1</v>
      </c>
      <c r="D819" t="s">
        <v>3397</v>
      </c>
      <c r="E819" t="s">
        <v>3694</v>
      </c>
      <c r="F819" t="s">
        <v>3420</v>
      </c>
      <c r="G819">
        <v>16301</v>
      </c>
      <c r="H819" t="s">
        <v>3414</v>
      </c>
      <c r="I819" t="s">
        <v>3391</v>
      </c>
      <c r="J819" t="s">
        <v>3392</v>
      </c>
      <c r="K819" t="s">
        <v>3304</v>
      </c>
      <c r="L819" t="s">
        <v>6778</v>
      </c>
      <c r="M819" t="s">
        <v>6779</v>
      </c>
      <c r="N819" t="s">
        <v>6792</v>
      </c>
      <c r="O819">
        <v>1</v>
      </c>
      <c r="P819" t="str">
        <f>+BARRAS[[#This Row],[Barra]]&amp;"_"&amp;BARRAS[[#This Row],[Nivel de tensión]]</f>
        <v>TILCOCO2_154</v>
      </c>
    </row>
    <row r="820" spans="1:16">
      <c r="A820" t="s">
        <v>1472</v>
      </c>
      <c r="B820">
        <v>13</v>
      </c>
      <c r="C820">
        <v>3052</v>
      </c>
      <c r="D820" t="s">
        <v>3397</v>
      </c>
      <c r="E820" t="s">
        <v>3695</v>
      </c>
      <c r="F820" t="s">
        <v>3696</v>
      </c>
      <c r="G820">
        <v>16301</v>
      </c>
      <c r="H820" t="s">
        <v>3414</v>
      </c>
      <c r="I820" t="s">
        <v>3391</v>
      </c>
      <c r="J820" t="s">
        <v>3392</v>
      </c>
      <c r="K820" t="s">
        <v>3304</v>
      </c>
      <c r="L820" t="s">
        <v>6778</v>
      </c>
      <c r="M820" t="s">
        <v>6779</v>
      </c>
      <c r="N820" t="s">
        <v>6792</v>
      </c>
      <c r="O820">
        <v>1</v>
      </c>
      <c r="P820" t="str">
        <f>+BARRAS[[#This Row],[Barra]]&amp;"_"&amp;BARRAS[[#This Row],[Nivel de tensión]]</f>
        <v>TILOS_BULNES_13</v>
      </c>
    </row>
    <row r="821" spans="1:16">
      <c r="A821" t="s">
        <v>1472</v>
      </c>
      <c r="B821">
        <v>66</v>
      </c>
      <c r="C821">
        <v>1</v>
      </c>
      <c r="D821" t="s">
        <v>3397</v>
      </c>
      <c r="E821" t="s">
        <v>3697</v>
      </c>
      <c r="F821" t="s">
        <v>3420</v>
      </c>
      <c r="G821">
        <v>16301</v>
      </c>
      <c r="H821" t="s">
        <v>3414</v>
      </c>
      <c r="I821" t="s">
        <v>3391</v>
      </c>
      <c r="J821" t="s">
        <v>3392</v>
      </c>
      <c r="K821" t="s">
        <v>3304</v>
      </c>
      <c r="L821" t="s">
        <v>6778</v>
      </c>
      <c r="M821" t="s">
        <v>6779</v>
      </c>
      <c r="N821" t="s">
        <v>6792</v>
      </c>
      <c r="O821">
        <v>1</v>
      </c>
      <c r="P821" t="str">
        <f>+BARRAS[[#This Row],[Barra]]&amp;"_"&amp;BARRAS[[#This Row],[Nivel de tensión]]</f>
        <v>TILOS_BULNES_66</v>
      </c>
    </row>
    <row r="822" spans="1:16">
      <c r="A822" t="s">
        <v>3698</v>
      </c>
      <c r="B822">
        <v>154</v>
      </c>
      <c r="C822">
        <v>1</v>
      </c>
      <c r="D822" t="s">
        <v>3397</v>
      </c>
      <c r="E822" t="s">
        <v>3699</v>
      </c>
      <c r="F822" t="s">
        <v>3420</v>
      </c>
      <c r="G822">
        <v>16301</v>
      </c>
      <c r="H822" t="s">
        <v>3414</v>
      </c>
      <c r="I822" t="s">
        <v>3391</v>
      </c>
      <c r="J822" t="s">
        <v>3392</v>
      </c>
      <c r="K822" t="s">
        <v>3304</v>
      </c>
      <c r="L822" t="s">
        <v>6778</v>
      </c>
      <c r="M822" t="s">
        <v>6779</v>
      </c>
      <c r="N822" t="s">
        <v>6792</v>
      </c>
      <c r="O822">
        <v>1</v>
      </c>
      <c r="P822" t="str">
        <f>+BARRAS[[#This Row],[Barra]]&amp;"_"&amp;BARRAS[[#This Row],[Nivel de tensión]]</f>
        <v>TINGUIRIRICA_154</v>
      </c>
    </row>
    <row r="823" spans="1:16">
      <c r="A823" t="s">
        <v>3698</v>
      </c>
      <c r="B823">
        <v>220</v>
      </c>
      <c r="C823">
        <v>1</v>
      </c>
      <c r="D823" t="s">
        <v>3397</v>
      </c>
      <c r="E823" t="s">
        <v>3700</v>
      </c>
      <c r="F823" t="s">
        <v>3420</v>
      </c>
      <c r="G823">
        <v>16301</v>
      </c>
      <c r="H823" t="s">
        <v>3701</v>
      </c>
      <c r="I823" t="s">
        <v>3391</v>
      </c>
      <c r="J823" t="s">
        <v>3392</v>
      </c>
      <c r="K823" t="s">
        <v>6315</v>
      </c>
      <c r="L823" t="s">
        <v>6778</v>
      </c>
      <c r="M823" t="s">
        <v>6779</v>
      </c>
      <c r="N823" t="s">
        <v>6792</v>
      </c>
      <c r="O823">
        <v>1</v>
      </c>
      <c r="P823" t="str">
        <f>+BARRAS[[#This Row],[Barra]]&amp;"_"&amp;BARRAS[[#This Row],[Nivel de tensión]]</f>
        <v>TINGUIRIRICA_220</v>
      </c>
    </row>
    <row r="824" spans="1:16">
      <c r="A824" t="s">
        <v>3702</v>
      </c>
      <c r="B824">
        <v>110</v>
      </c>
      <c r="C824">
        <v>2967</v>
      </c>
      <c r="D824" t="s">
        <v>3397</v>
      </c>
      <c r="E824" t="s">
        <v>3703</v>
      </c>
      <c r="F824" t="s">
        <v>3704</v>
      </c>
      <c r="G824">
        <v>16301</v>
      </c>
      <c r="H824" t="s">
        <v>3469</v>
      </c>
      <c r="I824" t="s">
        <v>3391</v>
      </c>
      <c r="J824" t="s">
        <v>3392</v>
      </c>
      <c r="K824" t="s">
        <v>3303</v>
      </c>
      <c r="L824" t="s">
        <v>6778</v>
      </c>
      <c r="M824" t="s">
        <v>6779</v>
      </c>
      <c r="N824" t="s">
        <v>6792</v>
      </c>
      <c r="O824">
        <v>1</v>
      </c>
      <c r="P824" t="str">
        <f>+BARRAS[[#This Row],[Barra]]&amp;"_"&amp;BARRAS[[#This Row],[Nivel de tensión]]</f>
        <v>TLIBERTADORES_110</v>
      </c>
    </row>
    <row r="825" spans="1:16">
      <c r="A825" t="s">
        <v>3705</v>
      </c>
      <c r="B825">
        <v>110</v>
      </c>
      <c r="C825">
        <v>1</v>
      </c>
      <c r="D825" t="s">
        <v>3397</v>
      </c>
      <c r="E825" t="s">
        <v>3419</v>
      </c>
      <c r="F825" t="s">
        <v>3420</v>
      </c>
      <c r="G825">
        <v>16301</v>
      </c>
      <c r="H825" t="s">
        <v>3443</v>
      </c>
      <c r="I825" t="s">
        <v>3391</v>
      </c>
      <c r="J825" t="s">
        <v>3392</v>
      </c>
      <c r="K825" t="s">
        <v>3300</v>
      </c>
      <c r="L825" t="s">
        <v>6778</v>
      </c>
      <c r="M825" t="s">
        <v>6779</v>
      </c>
      <c r="N825" t="s">
        <v>6792</v>
      </c>
      <c r="O825">
        <v>1</v>
      </c>
      <c r="P825" t="str">
        <f>+BARRAS[[#This Row],[Barra]]&amp;"_"&amp;BARRAS[[#This Row],[Nivel de tensión]]</f>
        <v>TMALPASO_110</v>
      </c>
    </row>
    <row r="826" spans="1:16">
      <c r="A826" t="s">
        <v>3706</v>
      </c>
      <c r="B826">
        <v>110</v>
      </c>
      <c r="C826">
        <v>1</v>
      </c>
      <c r="D826" t="s">
        <v>3397</v>
      </c>
      <c r="E826" t="s">
        <v>3707</v>
      </c>
      <c r="F826" t="s">
        <v>3420</v>
      </c>
      <c r="G826">
        <v>16301</v>
      </c>
      <c r="H826" t="s">
        <v>3418</v>
      </c>
      <c r="I826" t="s">
        <v>3391</v>
      </c>
      <c r="J826" t="s">
        <v>3392</v>
      </c>
      <c r="K826" t="s">
        <v>3302</v>
      </c>
      <c r="L826" t="s">
        <v>6778</v>
      </c>
      <c r="M826" t="s">
        <v>6779</v>
      </c>
      <c r="N826" t="s">
        <v>6792</v>
      </c>
      <c r="O826">
        <v>1</v>
      </c>
      <c r="P826" t="str">
        <f>+BARRAS[[#This Row],[Barra]]&amp;"_"&amp;BARRAS[[#This Row],[Nivel de tensión]]</f>
        <v>TMAYACA_110</v>
      </c>
    </row>
    <row r="827" spans="1:16">
      <c r="A827" t="s">
        <v>3708</v>
      </c>
      <c r="B827">
        <v>12</v>
      </c>
      <c r="C827">
        <v>1047</v>
      </c>
      <c r="D827" t="s">
        <v>3709</v>
      </c>
      <c r="E827" t="s">
        <v>3710</v>
      </c>
      <c r="F827" t="s">
        <v>3711</v>
      </c>
      <c r="G827">
        <v>16301</v>
      </c>
      <c r="H827" t="s">
        <v>3418</v>
      </c>
      <c r="I827" t="s">
        <v>3391</v>
      </c>
      <c r="J827" t="s">
        <v>3392</v>
      </c>
      <c r="K827" t="s">
        <v>3302</v>
      </c>
      <c r="L827" t="s">
        <v>6778</v>
      </c>
      <c r="M827" t="s">
        <v>6779</v>
      </c>
      <c r="N827" t="s">
        <v>6792</v>
      </c>
      <c r="O827">
        <v>1</v>
      </c>
      <c r="P827" t="str">
        <f>+BARRAS[[#This Row],[Barra]]&amp;"_"&amp;BARRAS[[#This Row],[Nivel de tensión]]</f>
        <v>TMELON_12</v>
      </c>
    </row>
    <row r="828" spans="1:16">
      <c r="A828" t="s">
        <v>3708</v>
      </c>
      <c r="B828">
        <v>44</v>
      </c>
      <c r="C828">
        <v>1</v>
      </c>
      <c r="D828" t="s">
        <v>3397</v>
      </c>
      <c r="E828" t="s">
        <v>3712</v>
      </c>
      <c r="F828" t="s">
        <v>3420</v>
      </c>
      <c r="G828">
        <v>16301</v>
      </c>
      <c r="H828" t="s">
        <v>3418</v>
      </c>
      <c r="I828" t="s">
        <v>3391</v>
      </c>
      <c r="J828" t="s">
        <v>3392</v>
      </c>
      <c r="K828" t="s">
        <v>3302</v>
      </c>
      <c r="L828" t="s">
        <v>6778</v>
      </c>
      <c r="M828" t="s">
        <v>6779</v>
      </c>
      <c r="N828" t="s">
        <v>6792</v>
      </c>
      <c r="O828">
        <v>1</v>
      </c>
      <c r="P828" t="str">
        <f>+BARRAS[[#This Row],[Barra]]&amp;"_"&amp;BARRAS[[#This Row],[Nivel de tensión]]</f>
        <v>TMELON_44</v>
      </c>
    </row>
    <row r="829" spans="1:16">
      <c r="A829" t="s">
        <v>3713</v>
      </c>
      <c r="B829">
        <v>220</v>
      </c>
      <c r="C829">
        <v>1</v>
      </c>
      <c r="D829" t="s">
        <v>3397</v>
      </c>
      <c r="E829" t="s">
        <v>3419</v>
      </c>
      <c r="F829" t="s">
        <v>3420</v>
      </c>
      <c r="G829">
        <v>16301</v>
      </c>
      <c r="H829" t="s">
        <v>3409</v>
      </c>
      <c r="I829" t="s">
        <v>3391</v>
      </c>
      <c r="J829" t="s">
        <v>3392</v>
      </c>
      <c r="K829" t="s">
        <v>6315</v>
      </c>
      <c r="L829" t="s">
        <v>6778</v>
      </c>
      <c r="M829" t="s">
        <v>6779</v>
      </c>
      <c r="N829" t="s">
        <v>6792</v>
      </c>
      <c r="O829">
        <v>1</v>
      </c>
      <c r="P829" t="str">
        <f>+BARRAS[[#This Row],[Barra]]&amp;"_"&amp;BARRAS[[#This Row],[Nivel de tensión]]</f>
        <v>TNVICTORIA_220</v>
      </c>
    </row>
    <row r="830" spans="1:16">
      <c r="A830" t="s">
        <v>3714</v>
      </c>
      <c r="B830">
        <v>5</v>
      </c>
      <c r="C830">
        <v>2376</v>
      </c>
      <c r="D830" t="s">
        <v>3715</v>
      </c>
      <c r="E830" t="s">
        <v>3716</v>
      </c>
      <c r="F830" t="s">
        <v>3717</v>
      </c>
      <c r="G830">
        <v>16301</v>
      </c>
      <c r="H830" t="s">
        <v>3443</v>
      </c>
      <c r="I830" t="s">
        <v>3391</v>
      </c>
      <c r="J830" t="s">
        <v>3392</v>
      </c>
      <c r="K830" t="s">
        <v>3300</v>
      </c>
      <c r="L830" t="s">
        <v>6778</v>
      </c>
      <c r="M830" t="s">
        <v>6779</v>
      </c>
      <c r="N830" t="s">
        <v>6792</v>
      </c>
      <c r="O830">
        <v>1</v>
      </c>
      <c r="P830" t="str">
        <f>+BARRAS[[#This Row],[Barra]]&amp;"_"&amp;BARRAS[[#This Row],[Nivel de tensión]]</f>
        <v>TOCOPILLA_5</v>
      </c>
    </row>
    <row r="831" spans="1:16">
      <c r="A831" t="s">
        <v>3714</v>
      </c>
      <c r="B831">
        <v>11</v>
      </c>
      <c r="C831">
        <v>1</v>
      </c>
      <c r="D831" t="s">
        <v>3397</v>
      </c>
      <c r="E831" t="s">
        <v>3419</v>
      </c>
      <c r="F831" t="s">
        <v>3420</v>
      </c>
      <c r="G831">
        <v>16301</v>
      </c>
      <c r="H831" t="s">
        <v>3405</v>
      </c>
      <c r="I831" t="s">
        <v>3391</v>
      </c>
      <c r="J831" t="s">
        <v>3392</v>
      </c>
      <c r="K831" t="s">
        <v>6315</v>
      </c>
      <c r="L831" t="s">
        <v>6778</v>
      </c>
      <c r="M831" t="s">
        <v>6779</v>
      </c>
      <c r="N831" t="s">
        <v>6792</v>
      </c>
      <c r="O831">
        <v>1</v>
      </c>
      <c r="P831" t="str">
        <f>+BARRAS[[#This Row],[Barra]]&amp;"_"&amp;BARRAS[[#This Row],[Nivel de tensión]]</f>
        <v>TOCOPILLA_11</v>
      </c>
    </row>
    <row r="832" spans="1:16">
      <c r="A832" t="s">
        <v>3714</v>
      </c>
      <c r="B832">
        <v>21</v>
      </c>
      <c r="C832">
        <v>1</v>
      </c>
      <c r="D832" t="s">
        <v>3397</v>
      </c>
      <c r="E832" t="s">
        <v>3718</v>
      </c>
      <c r="F832" t="s">
        <v>3420</v>
      </c>
      <c r="G832">
        <v>16301</v>
      </c>
      <c r="H832" t="s">
        <v>3405</v>
      </c>
      <c r="I832" t="s">
        <v>3391</v>
      </c>
      <c r="J832" t="s">
        <v>3392</v>
      </c>
      <c r="K832" t="s">
        <v>6315</v>
      </c>
      <c r="L832" t="s">
        <v>6778</v>
      </c>
      <c r="M832" t="s">
        <v>6779</v>
      </c>
      <c r="N832" t="s">
        <v>6792</v>
      </c>
      <c r="O832">
        <v>1</v>
      </c>
      <c r="P832" t="str">
        <f>+BARRAS[[#This Row],[Barra]]&amp;"_"&amp;BARRAS[[#This Row],[Nivel de tensión]]</f>
        <v>TOCOPILLA_21</v>
      </c>
    </row>
    <row r="833" spans="1:16">
      <c r="A833" t="s">
        <v>3714</v>
      </c>
      <c r="B833">
        <v>110</v>
      </c>
      <c r="C833">
        <v>1</v>
      </c>
      <c r="D833" t="s">
        <v>3397</v>
      </c>
      <c r="E833" t="s">
        <v>3719</v>
      </c>
      <c r="F833" t="s">
        <v>3420</v>
      </c>
      <c r="G833">
        <v>16301</v>
      </c>
      <c r="H833" t="s">
        <v>3396</v>
      </c>
      <c r="I833" t="s">
        <v>3391</v>
      </c>
      <c r="J833" t="s">
        <v>3392</v>
      </c>
      <c r="K833" t="s">
        <v>6315</v>
      </c>
      <c r="L833" t="s">
        <v>6778</v>
      </c>
      <c r="M833" t="s">
        <v>6779</v>
      </c>
      <c r="N833" t="s">
        <v>6792</v>
      </c>
      <c r="O833">
        <v>1</v>
      </c>
      <c r="P833" t="str">
        <f>+BARRAS[[#This Row],[Barra]]&amp;"_"&amp;BARRAS[[#This Row],[Nivel de tensión]]</f>
        <v>TOCOPILLA_110</v>
      </c>
    </row>
    <row r="834" spans="1:16">
      <c r="A834" t="s">
        <v>1507</v>
      </c>
      <c r="B834">
        <v>15</v>
      </c>
      <c r="C834">
        <v>177</v>
      </c>
      <c r="D834" t="s">
        <v>3769</v>
      </c>
      <c r="E834" t="s">
        <v>3770</v>
      </c>
      <c r="F834" t="s">
        <v>3771</v>
      </c>
      <c r="G834">
        <v>16301</v>
      </c>
      <c r="H834" t="s">
        <v>3414</v>
      </c>
      <c r="I834" t="s">
        <v>3391</v>
      </c>
      <c r="J834" t="s">
        <v>3392</v>
      </c>
      <c r="K834" t="s">
        <v>3304</v>
      </c>
      <c r="L834" t="s">
        <v>6778</v>
      </c>
      <c r="M834" t="s">
        <v>6779</v>
      </c>
      <c r="N834" t="s">
        <v>6792</v>
      </c>
      <c r="O834">
        <v>1</v>
      </c>
      <c r="P834" t="str">
        <f>+BARRAS[[#This Row],[Barra]]&amp;"_"&amp;BARRAS[[#This Row],[Nivel de tensión]]</f>
        <v>TUNICHE_15</v>
      </c>
    </row>
    <row r="835" spans="1:16">
      <c r="A835" t="s">
        <v>1507</v>
      </c>
      <c r="B835">
        <v>66</v>
      </c>
      <c r="C835">
        <v>1</v>
      </c>
      <c r="D835" t="s">
        <v>3397</v>
      </c>
      <c r="E835" t="s">
        <v>3772</v>
      </c>
      <c r="F835" t="s">
        <v>3420</v>
      </c>
      <c r="G835">
        <v>16301</v>
      </c>
      <c r="H835" t="s">
        <v>3414</v>
      </c>
      <c r="I835" t="s">
        <v>3391</v>
      </c>
      <c r="J835" t="s">
        <v>3392</v>
      </c>
      <c r="K835" t="s">
        <v>3304</v>
      </c>
      <c r="L835" t="s">
        <v>6778</v>
      </c>
      <c r="M835" t="s">
        <v>6779</v>
      </c>
      <c r="N835" t="s">
        <v>6792</v>
      </c>
      <c r="O835">
        <v>1</v>
      </c>
      <c r="P835" t="str">
        <f>+BARRAS[[#This Row],[Barra]]&amp;"_"&amp;BARRAS[[#This Row],[Nivel de tensión]]</f>
        <v>TUNICHE_66</v>
      </c>
    </row>
    <row r="836" spans="1:16">
      <c r="A836" t="s">
        <v>3773</v>
      </c>
      <c r="B836">
        <v>154</v>
      </c>
      <c r="C836">
        <v>1</v>
      </c>
      <c r="D836" t="s">
        <v>3397</v>
      </c>
      <c r="E836" t="s">
        <v>3774</v>
      </c>
      <c r="F836" t="s">
        <v>3420</v>
      </c>
      <c r="G836">
        <v>16301</v>
      </c>
      <c r="H836" t="s">
        <v>3414</v>
      </c>
      <c r="I836" t="s">
        <v>3391</v>
      </c>
      <c r="J836" t="s">
        <v>3392</v>
      </c>
      <c r="K836" t="s">
        <v>3304</v>
      </c>
      <c r="L836" t="s">
        <v>6778</v>
      </c>
      <c r="M836" t="s">
        <v>6779</v>
      </c>
      <c r="N836" t="s">
        <v>6792</v>
      </c>
      <c r="O836">
        <v>1</v>
      </c>
      <c r="P836" t="str">
        <f>+BARRAS[[#This Row],[Barra]]&amp;"_"&amp;BARRAS[[#This Row],[Nivel de tensión]]</f>
        <v>TUNICHE1_154</v>
      </c>
    </row>
    <row r="837" spans="1:16">
      <c r="A837" t="s">
        <v>3775</v>
      </c>
      <c r="B837">
        <v>154</v>
      </c>
      <c r="C837">
        <v>1</v>
      </c>
      <c r="D837" t="s">
        <v>3397</v>
      </c>
      <c r="E837" t="s">
        <v>3776</v>
      </c>
      <c r="F837" t="s">
        <v>3420</v>
      </c>
      <c r="G837">
        <v>16301</v>
      </c>
      <c r="H837" t="s">
        <v>3414</v>
      </c>
      <c r="I837" t="s">
        <v>3391</v>
      </c>
      <c r="J837" t="s">
        <v>3392</v>
      </c>
      <c r="K837" t="s">
        <v>3304</v>
      </c>
      <c r="L837" t="s">
        <v>6778</v>
      </c>
      <c r="M837" t="s">
        <v>6779</v>
      </c>
      <c r="N837" t="s">
        <v>6792</v>
      </c>
      <c r="O837">
        <v>1</v>
      </c>
      <c r="P837" t="str">
        <f>+BARRAS[[#This Row],[Barra]]&amp;"_"&amp;BARRAS[[#This Row],[Nivel de tensión]]</f>
        <v>TUNICHE2_154</v>
      </c>
    </row>
    <row r="838" spans="1:16">
      <c r="A838" t="s">
        <v>3777</v>
      </c>
      <c r="B838">
        <v>110</v>
      </c>
      <c r="C838">
        <v>1</v>
      </c>
      <c r="D838" t="s">
        <v>3397</v>
      </c>
      <c r="E838" t="s">
        <v>3778</v>
      </c>
      <c r="F838" t="s">
        <v>3420</v>
      </c>
      <c r="G838">
        <v>16301</v>
      </c>
      <c r="H838" t="s">
        <v>3396</v>
      </c>
      <c r="I838" t="s">
        <v>3391</v>
      </c>
      <c r="J838" t="s">
        <v>3392</v>
      </c>
      <c r="K838" t="s">
        <v>6315</v>
      </c>
      <c r="L838" t="s">
        <v>6778</v>
      </c>
      <c r="M838" t="s">
        <v>6779</v>
      </c>
      <c r="N838" t="s">
        <v>6792</v>
      </c>
      <c r="O838">
        <v>1</v>
      </c>
      <c r="P838" t="str">
        <f>+BARRAS[[#This Row],[Barra]]&amp;"_"&amp;BARRAS[[#This Row],[Nivel de tensión]]</f>
        <v>TURIBE_110</v>
      </c>
    </row>
    <row r="839" spans="1:16">
      <c r="A839" t="s">
        <v>1513</v>
      </c>
      <c r="B839">
        <v>23</v>
      </c>
      <c r="C839">
        <v>2370</v>
      </c>
      <c r="D839" t="s">
        <v>3779</v>
      </c>
      <c r="E839" t="s">
        <v>3780</v>
      </c>
      <c r="F839" t="s">
        <v>3484</v>
      </c>
      <c r="G839">
        <v>16301</v>
      </c>
      <c r="H839" t="s">
        <v>3405</v>
      </c>
      <c r="I839" t="s">
        <v>3391</v>
      </c>
      <c r="J839" t="s">
        <v>3392</v>
      </c>
      <c r="K839" t="s">
        <v>6315</v>
      </c>
      <c r="L839" t="s">
        <v>6778</v>
      </c>
      <c r="M839" t="s">
        <v>6779</v>
      </c>
      <c r="N839" t="s">
        <v>6792</v>
      </c>
      <c r="O839">
        <v>1</v>
      </c>
      <c r="P839" t="str">
        <f>+BARRAS[[#This Row],[Barra]]&amp;"_"&amp;BARRAS[[#This Row],[Nivel de tensión]]</f>
        <v>TVITOR_23</v>
      </c>
    </row>
    <row r="840" spans="1:16">
      <c r="A840" t="s">
        <v>1513</v>
      </c>
      <c r="B840">
        <v>110</v>
      </c>
      <c r="C840">
        <v>2370</v>
      </c>
      <c r="D840" t="s">
        <v>3779</v>
      </c>
      <c r="E840" t="s">
        <v>3781</v>
      </c>
      <c r="F840" t="s">
        <v>3484</v>
      </c>
      <c r="G840">
        <v>16301</v>
      </c>
      <c r="H840" t="s">
        <v>3443</v>
      </c>
      <c r="I840" t="s">
        <v>3391</v>
      </c>
      <c r="J840" t="s">
        <v>3392</v>
      </c>
      <c r="K840" t="s">
        <v>3300</v>
      </c>
      <c r="L840" t="s">
        <v>6778</v>
      </c>
      <c r="M840" t="s">
        <v>6779</v>
      </c>
      <c r="N840" t="s">
        <v>6792</v>
      </c>
      <c r="O840">
        <v>1</v>
      </c>
      <c r="P840" t="str">
        <f>+BARRAS[[#This Row],[Barra]]&amp;"_"&amp;BARRAS[[#This Row],[Nivel de tensión]]</f>
        <v>TVITOR_110</v>
      </c>
    </row>
    <row r="841" spans="1:16">
      <c r="A841" t="s">
        <v>3782</v>
      </c>
      <c r="B841">
        <v>110</v>
      </c>
      <c r="C841">
        <v>1</v>
      </c>
      <c r="D841" t="s">
        <v>3397</v>
      </c>
      <c r="E841" t="s">
        <v>3783</v>
      </c>
      <c r="F841" t="s">
        <v>3420</v>
      </c>
      <c r="G841">
        <v>16301</v>
      </c>
      <c r="H841" t="s">
        <v>3443</v>
      </c>
      <c r="I841" t="s">
        <v>3391</v>
      </c>
      <c r="J841" t="s">
        <v>3392</v>
      </c>
      <c r="K841" t="s">
        <v>3300</v>
      </c>
      <c r="L841" t="s">
        <v>6778</v>
      </c>
      <c r="M841" t="s">
        <v>6779</v>
      </c>
      <c r="N841" t="s">
        <v>6792</v>
      </c>
      <c r="O841">
        <v>1</v>
      </c>
      <c r="P841" t="str">
        <f>+BARRAS[[#This Row],[Barra]]&amp;"_"&amp;BARRAS[[#This Row],[Nivel de tensión]]</f>
        <v>TVITOR2_110</v>
      </c>
    </row>
    <row r="842" spans="1:16">
      <c r="A842" t="s">
        <v>1517</v>
      </c>
      <c r="B842">
        <v>23</v>
      </c>
      <c r="C842">
        <v>2380</v>
      </c>
      <c r="D842" t="s">
        <v>3784</v>
      </c>
      <c r="E842" t="s">
        <v>3785</v>
      </c>
      <c r="F842" t="s">
        <v>3786</v>
      </c>
      <c r="G842">
        <v>16301</v>
      </c>
      <c r="H842" t="s">
        <v>3443</v>
      </c>
      <c r="I842" t="s">
        <v>3391</v>
      </c>
      <c r="J842" t="s">
        <v>3392</v>
      </c>
      <c r="K842" t="s">
        <v>3300</v>
      </c>
      <c r="L842" t="s">
        <v>6778</v>
      </c>
      <c r="M842" t="s">
        <v>6779</v>
      </c>
      <c r="N842" t="s">
        <v>6792</v>
      </c>
      <c r="O842">
        <v>1</v>
      </c>
      <c r="P842" t="str">
        <f>+BARRAS[[#This Row],[Barra]]&amp;"_"&amp;BARRAS[[#This Row],[Nivel de tensión]]</f>
        <v>URIBE_23</v>
      </c>
    </row>
    <row r="843" spans="1:16">
      <c r="A843" t="s">
        <v>1517</v>
      </c>
      <c r="B843">
        <v>110</v>
      </c>
      <c r="C843">
        <v>2379</v>
      </c>
      <c r="D843" t="s">
        <v>3787</v>
      </c>
      <c r="E843" t="s">
        <v>3788</v>
      </c>
      <c r="F843" t="s">
        <v>3786</v>
      </c>
      <c r="G843">
        <v>16301</v>
      </c>
      <c r="H843" t="s">
        <v>3443</v>
      </c>
      <c r="I843" t="s">
        <v>3391</v>
      </c>
      <c r="J843" t="s">
        <v>3392</v>
      </c>
      <c r="K843" t="s">
        <v>3300</v>
      </c>
      <c r="L843" t="s">
        <v>6778</v>
      </c>
      <c r="M843" t="s">
        <v>6779</v>
      </c>
      <c r="N843" t="s">
        <v>6792</v>
      </c>
      <c r="O843">
        <v>1</v>
      </c>
      <c r="P843" t="str">
        <f>+BARRAS[[#This Row],[Barra]]&amp;"_"&amp;BARRAS[[#This Row],[Nivel de tensión]]</f>
        <v>URIBE_110</v>
      </c>
    </row>
    <row r="844" spans="1:16">
      <c r="A844" t="s">
        <v>3789</v>
      </c>
      <c r="B844">
        <v>110</v>
      </c>
      <c r="C844">
        <v>1</v>
      </c>
      <c r="D844" t="s">
        <v>3397</v>
      </c>
      <c r="E844" t="s">
        <v>3790</v>
      </c>
      <c r="F844" t="s">
        <v>3420</v>
      </c>
      <c r="G844">
        <v>16301</v>
      </c>
      <c r="H844" t="s">
        <v>3405</v>
      </c>
      <c r="I844" t="s">
        <v>3391</v>
      </c>
      <c r="J844" t="s">
        <v>3392</v>
      </c>
      <c r="K844" t="s">
        <v>6315</v>
      </c>
      <c r="L844" t="s">
        <v>6778</v>
      </c>
      <c r="M844" t="s">
        <v>6779</v>
      </c>
      <c r="N844" t="s">
        <v>6792</v>
      </c>
      <c r="O844">
        <v>1</v>
      </c>
      <c r="P844" t="str">
        <f>+BARRAS[[#This Row],[Barra]]&amp;"_"&amp;BARRAS[[#This Row],[Nivel de tensión]]</f>
        <v>URIBE_SOLAR_110</v>
      </c>
    </row>
    <row r="845" spans="1:16">
      <c r="A845" t="s">
        <v>1520</v>
      </c>
      <c r="B845">
        <v>13</v>
      </c>
      <c r="C845">
        <v>216</v>
      </c>
      <c r="D845" t="s">
        <v>3532</v>
      </c>
      <c r="E845" t="s">
        <v>3791</v>
      </c>
      <c r="F845" t="s">
        <v>3792</v>
      </c>
      <c r="G845">
        <v>16301</v>
      </c>
      <c r="H845" t="s">
        <v>3414</v>
      </c>
      <c r="I845" t="s">
        <v>3391</v>
      </c>
      <c r="J845" t="s">
        <v>3392</v>
      </c>
      <c r="K845" t="s">
        <v>3304</v>
      </c>
      <c r="L845" t="s">
        <v>6778</v>
      </c>
      <c r="M845" t="s">
        <v>6779</v>
      </c>
      <c r="N845" t="s">
        <v>6792</v>
      </c>
      <c r="O845">
        <v>1</v>
      </c>
      <c r="P845" t="str">
        <f>+BARRAS[[#This Row],[Barra]]&amp;"_"&amp;BARRAS[[#This Row],[Nivel de tensión]]</f>
        <v>V.ALEGRE_13</v>
      </c>
    </row>
    <row r="846" spans="1:16">
      <c r="A846" t="s">
        <v>1520</v>
      </c>
      <c r="B846">
        <v>66</v>
      </c>
      <c r="C846">
        <v>1163</v>
      </c>
      <c r="D846" t="s">
        <v>3536</v>
      </c>
      <c r="E846" t="s">
        <v>3793</v>
      </c>
      <c r="F846" t="s">
        <v>3794</v>
      </c>
      <c r="G846">
        <v>16301</v>
      </c>
      <c r="H846" t="s">
        <v>3414</v>
      </c>
      <c r="I846" t="s">
        <v>3391</v>
      </c>
      <c r="J846" t="s">
        <v>3392</v>
      </c>
      <c r="K846" t="s">
        <v>3304</v>
      </c>
      <c r="L846" t="s">
        <v>6778</v>
      </c>
      <c r="M846" t="s">
        <v>6779</v>
      </c>
      <c r="N846" t="s">
        <v>6792</v>
      </c>
      <c r="O846">
        <v>1</v>
      </c>
      <c r="P846" t="str">
        <f>+BARRAS[[#This Row],[Barra]]&amp;"_"&amp;BARRAS[[#This Row],[Nivel de tensión]]</f>
        <v>V.ALEGRE_66</v>
      </c>
    </row>
    <row r="847" spans="1:16">
      <c r="A847" t="s">
        <v>1523</v>
      </c>
      <c r="B847">
        <v>13</v>
      </c>
      <c r="C847">
        <v>627</v>
      </c>
      <c r="D847" t="s">
        <v>3795</v>
      </c>
      <c r="E847" t="s">
        <v>3796</v>
      </c>
      <c r="F847" t="s">
        <v>3797</v>
      </c>
      <c r="G847">
        <v>16301</v>
      </c>
      <c r="H847" t="s">
        <v>3414</v>
      </c>
      <c r="I847" t="s">
        <v>3391</v>
      </c>
      <c r="J847" t="s">
        <v>3392</v>
      </c>
      <c r="K847" t="s">
        <v>3304</v>
      </c>
      <c r="L847" t="s">
        <v>6778</v>
      </c>
      <c r="M847" t="s">
        <v>6779</v>
      </c>
      <c r="N847" t="s">
        <v>6792</v>
      </c>
      <c r="O847">
        <v>1</v>
      </c>
      <c r="P847" t="str">
        <f>+BARRAS[[#This Row],[Barra]]&amp;"_"&amp;BARRAS[[#This Row],[Nivel de tensión]]</f>
        <v>V.PRAT_13</v>
      </c>
    </row>
    <row r="848" spans="1:16">
      <c r="A848" t="s">
        <v>1523</v>
      </c>
      <c r="B848">
        <v>66</v>
      </c>
      <c r="C848">
        <v>1</v>
      </c>
      <c r="D848" t="s">
        <v>3397</v>
      </c>
      <c r="E848" t="s">
        <v>3798</v>
      </c>
      <c r="F848" t="s">
        <v>3420</v>
      </c>
      <c r="G848">
        <v>16301</v>
      </c>
      <c r="H848" t="s">
        <v>3414</v>
      </c>
      <c r="I848" t="s">
        <v>3391</v>
      </c>
      <c r="J848" t="s">
        <v>3392</v>
      </c>
      <c r="K848" t="s">
        <v>3304</v>
      </c>
      <c r="L848" t="s">
        <v>6778</v>
      </c>
      <c r="M848" t="s">
        <v>6779</v>
      </c>
      <c r="N848" t="s">
        <v>6792</v>
      </c>
      <c r="O848">
        <v>1</v>
      </c>
      <c r="P848" t="str">
        <f>+BARRAS[[#This Row],[Barra]]&amp;"_"&amp;BARRAS[[#This Row],[Nivel de tensión]]</f>
        <v>V.PRAT_66</v>
      </c>
    </row>
    <row r="849" spans="1:16">
      <c r="A849" t="s">
        <v>1526</v>
      </c>
      <c r="B849">
        <v>13</v>
      </c>
      <c r="C849">
        <v>1355</v>
      </c>
      <c r="D849" t="s">
        <v>3799</v>
      </c>
      <c r="E849" t="s">
        <v>3800</v>
      </c>
      <c r="F849" t="s">
        <v>3801</v>
      </c>
      <c r="G849">
        <v>16301</v>
      </c>
      <c r="H849" t="s">
        <v>3390</v>
      </c>
      <c r="I849" t="s">
        <v>3391</v>
      </c>
      <c r="J849" t="s">
        <v>3392</v>
      </c>
      <c r="K849" t="s">
        <v>3305</v>
      </c>
      <c r="L849" t="s">
        <v>6778</v>
      </c>
      <c r="M849" t="s">
        <v>6779</v>
      </c>
      <c r="N849" t="s">
        <v>6792</v>
      </c>
      <c r="O849">
        <v>1</v>
      </c>
      <c r="P849" t="str">
        <f>+BARRAS[[#This Row],[Barra]]&amp;"_"&amp;BARRAS[[#This Row],[Nivel de tensión]]</f>
        <v>VALDIVIA_13</v>
      </c>
    </row>
    <row r="850" spans="1:16">
      <c r="A850" t="s">
        <v>1526</v>
      </c>
      <c r="B850">
        <v>66</v>
      </c>
      <c r="C850">
        <v>1</v>
      </c>
      <c r="D850" t="s">
        <v>3397</v>
      </c>
      <c r="E850" t="s">
        <v>3802</v>
      </c>
      <c r="F850" t="s">
        <v>3420</v>
      </c>
      <c r="G850">
        <v>16301</v>
      </c>
      <c r="H850" t="s">
        <v>3390</v>
      </c>
      <c r="I850" t="s">
        <v>3391</v>
      </c>
      <c r="J850" t="s">
        <v>3392</v>
      </c>
      <c r="K850" t="s">
        <v>3305</v>
      </c>
      <c r="L850" t="s">
        <v>6778</v>
      </c>
      <c r="M850" t="s">
        <v>6779</v>
      </c>
      <c r="N850" t="s">
        <v>6792</v>
      </c>
      <c r="O850">
        <v>1</v>
      </c>
      <c r="P850" t="str">
        <f>+BARRAS[[#This Row],[Barra]]&amp;"_"&amp;BARRAS[[#This Row],[Nivel de tensión]]</f>
        <v>VALDIVIA_66</v>
      </c>
    </row>
    <row r="851" spans="1:16">
      <c r="A851" t="s">
        <v>1526</v>
      </c>
      <c r="B851">
        <v>220</v>
      </c>
      <c r="C851">
        <v>1</v>
      </c>
      <c r="D851" t="s">
        <v>3397</v>
      </c>
      <c r="E851" t="s">
        <v>3803</v>
      </c>
      <c r="F851" t="s">
        <v>3420</v>
      </c>
      <c r="G851">
        <v>16301</v>
      </c>
      <c r="H851" t="s">
        <v>3409</v>
      </c>
      <c r="I851" t="s">
        <v>3391</v>
      </c>
      <c r="J851" t="s">
        <v>3392</v>
      </c>
      <c r="K851" t="s">
        <v>6315</v>
      </c>
      <c r="L851" t="s">
        <v>6778</v>
      </c>
      <c r="M851" t="s">
        <v>6779</v>
      </c>
      <c r="N851" t="s">
        <v>6792</v>
      </c>
      <c r="O851">
        <v>1</v>
      </c>
      <c r="P851" t="str">
        <f>+BARRAS[[#This Row],[Barra]]&amp;"_"&amp;BARRAS[[#This Row],[Nivel de tensión]]</f>
        <v>VALDIVIA_220</v>
      </c>
    </row>
    <row r="852" spans="1:16">
      <c r="A852" t="s">
        <v>3804</v>
      </c>
      <c r="B852">
        <v>220</v>
      </c>
      <c r="C852">
        <v>1</v>
      </c>
      <c r="D852" t="s">
        <v>3397</v>
      </c>
      <c r="E852" t="s">
        <v>3805</v>
      </c>
      <c r="F852" t="s">
        <v>3420</v>
      </c>
      <c r="G852">
        <v>16301</v>
      </c>
      <c r="H852" t="s">
        <v>3405</v>
      </c>
      <c r="I852" t="s">
        <v>3391</v>
      </c>
      <c r="J852" t="s">
        <v>3392</v>
      </c>
      <c r="K852" t="s">
        <v>6315</v>
      </c>
      <c r="L852" t="s">
        <v>6778</v>
      </c>
      <c r="M852" t="s">
        <v>6779</v>
      </c>
      <c r="N852" t="s">
        <v>6792</v>
      </c>
      <c r="O852">
        <v>1</v>
      </c>
      <c r="P852" t="str">
        <f>+BARRAS[[#This Row],[Barra]]&amp;"_"&amp;BARRAS[[#This Row],[Nivel de tensión]]</f>
        <v>VALLE_ESC_220</v>
      </c>
    </row>
    <row r="853" spans="1:16">
      <c r="A853" t="s">
        <v>1531</v>
      </c>
      <c r="B853">
        <v>13</v>
      </c>
      <c r="C853">
        <v>531</v>
      </c>
      <c r="D853" t="s">
        <v>3806</v>
      </c>
      <c r="E853" t="s">
        <v>3807</v>
      </c>
      <c r="F853" t="s">
        <v>3808</v>
      </c>
      <c r="G853">
        <v>16301</v>
      </c>
      <c r="H853" t="s">
        <v>3400</v>
      </c>
      <c r="I853" t="s">
        <v>3391</v>
      </c>
      <c r="J853" t="s">
        <v>3392</v>
      </c>
      <c r="K853" t="s">
        <v>3301</v>
      </c>
      <c r="L853" t="s">
        <v>6778</v>
      </c>
      <c r="M853" t="s">
        <v>6779</v>
      </c>
      <c r="N853" t="s">
        <v>6792</v>
      </c>
      <c r="O853">
        <v>1</v>
      </c>
      <c r="P853" t="str">
        <f>+BARRAS[[#This Row],[Barra]]&amp;"_"&amp;BARRAS[[#This Row],[Nivel de tensión]]</f>
        <v>VALLENAR_13</v>
      </c>
    </row>
    <row r="854" spans="1:16">
      <c r="A854" t="s">
        <v>1531</v>
      </c>
      <c r="B854">
        <v>110</v>
      </c>
      <c r="C854">
        <v>1</v>
      </c>
      <c r="D854" t="s">
        <v>3397</v>
      </c>
      <c r="E854" t="s">
        <v>3809</v>
      </c>
      <c r="F854" t="s">
        <v>3420</v>
      </c>
      <c r="G854">
        <v>16301</v>
      </c>
      <c r="H854" t="s">
        <v>3400</v>
      </c>
      <c r="I854" t="s">
        <v>3391</v>
      </c>
      <c r="J854" t="s">
        <v>3392</v>
      </c>
      <c r="K854" t="s">
        <v>3301</v>
      </c>
      <c r="L854" t="s">
        <v>6778</v>
      </c>
      <c r="M854" t="s">
        <v>6779</v>
      </c>
      <c r="N854" t="s">
        <v>6792</v>
      </c>
      <c r="O854">
        <v>1</v>
      </c>
      <c r="P854" t="str">
        <f>+BARRAS[[#This Row],[Barra]]&amp;"_"&amp;BARRAS[[#This Row],[Nivel de tensión]]</f>
        <v>VALLENAR_110</v>
      </c>
    </row>
    <row r="855" spans="1:16">
      <c r="A855" t="s">
        <v>3810</v>
      </c>
      <c r="B855">
        <v>13</v>
      </c>
      <c r="C855">
        <v>1048</v>
      </c>
      <c r="D855" t="s">
        <v>3811</v>
      </c>
      <c r="E855" t="s">
        <v>3812</v>
      </c>
      <c r="F855" t="s">
        <v>3813</v>
      </c>
      <c r="G855">
        <v>16301</v>
      </c>
      <c r="H855" t="s">
        <v>3418</v>
      </c>
      <c r="I855" t="s">
        <v>3391</v>
      </c>
      <c r="J855" t="s">
        <v>3392</v>
      </c>
      <c r="K855" t="s">
        <v>3302</v>
      </c>
      <c r="L855" t="s">
        <v>6778</v>
      </c>
      <c r="M855" t="s">
        <v>6779</v>
      </c>
      <c r="N855" t="s">
        <v>6792</v>
      </c>
      <c r="O855">
        <v>1</v>
      </c>
      <c r="P855" t="str">
        <f>+BARRAS[[#This Row],[Barra]]&amp;"_"&amp;BARRAS[[#This Row],[Nivel de tensión]]</f>
        <v>VALPARAISO_13</v>
      </c>
    </row>
    <row r="856" spans="1:16">
      <c r="A856" t="s">
        <v>3810</v>
      </c>
      <c r="B856">
        <v>110</v>
      </c>
      <c r="C856">
        <v>1</v>
      </c>
      <c r="D856" t="s">
        <v>3397</v>
      </c>
      <c r="E856" t="s">
        <v>3814</v>
      </c>
      <c r="F856" t="s">
        <v>3420</v>
      </c>
      <c r="G856">
        <v>16301</v>
      </c>
      <c r="H856" t="s">
        <v>3418</v>
      </c>
      <c r="I856" t="s">
        <v>3391</v>
      </c>
      <c r="J856" t="s">
        <v>3392</v>
      </c>
      <c r="K856" t="s">
        <v>3302</v>
      </c>
      <c r="L856" t="s">
        <v>6778</v>
      </c>
      <c r="M856" t="s">
        <v>6779</v>
      </c>
      <c r="N856" t="s">
        <v>6792</v>
      </c>
      <c r="O856">
        <v>1</v>
      </c>
      <c r="P856" t="str">
        <f>+BARRAS[[#This Row],[Barra]]&amp;"_"&amp;BARRAS[[#This Row],[Nivel de tensión]]</f>
        <v>VALPARAISO_110</v>
      </c>
    </row>
    <row r="857" spans="1:16">
      <c r="A857" t="s">
        <v>3815</v>
      </c>
      <c r="B857">
        <v>110</v>
      </c>
      <c r="C857">
        <v>1169</v>
      </c>
      <c r="D857" t="s">
        <v>3816</v>
      </c>
      <c r="E857" t="s">
        <v>3817</v>
      </c>
      <c r="F857" t="s">
        <v>3818</v>
      </c>
      <c r="G857">
        <v>16301</v>
      </c>
      <c r="H857" t="s">
        <v>3396</v>
      </c>
      <c r="I857" t="s">
        <v>3391</v>
      </c>
      <c r="J857" t="s">
        <v>3392</v>
      </c>
      <c r="K857" t="s">
        <v>6315</v>
      </c>
      <c r="L857" t="s">
        <v>6778</v>
      </c>
      <c r="M857" t="s">
        <v>6779</v>
      </c>
      <c r="N857" t="s">
        <v>6792</v>
      </c>
      <c r="O857">
        <v>1</v>
      </c>
      <c r="P857" t="str">
        <f>+BARRAS[[#This Row],[Barra]]&amp;"_"&amp;BARRAS[[#This Row],[Nivel de tensión]]</f>
        <v>VENTANAS_110</v>
      </c>
    </row>
    <row r="858" spans="1:16">
      <c r="A858" t="s">
        <v>3815</v>
      </c>
      <c r="B858">
        <v>220</v>
      </c>
      <c r="C858">
        <v>1</v>
      </c>
      <c r="D858" t="s">
        <v>3397</v>
      </c>
      <c r="E858" t="s">
        <v>3419</v>
      </c>
      <c r="F858" t="s">
        <v>3420</v>
      </c>
      <c r="G858">
        <v>16301</v>
      </c>
      <c r="H858" t="s">
        <v>3396</v>
      </c>
      <c r="I858" t="s">
        <v>3391</v>
      </c>
      <c r="J858" t="s">
        <v>3392</v>
      </c>
      <c r="K858" t="s">
        <v>6315</v>
      </c>
      <c r="L858" t="s">
        <v>6778</v>
      </c>
      <c r="M858" t="s">
        <v>6779</v>
      </c>
      <c r="N858" t="s">
        <v>6792</v>
      </c>
      <c r="O858">
        <v>1</v>
      </c>
      <c r="P858" t="str">
        <f>+BARRAS[[#This Row],[Barra]]&amp;"_"&amp;BARRAS[[#This Row],[Nivel de tensión]]</f>
        <v>VENTANAS_220</v>
      </c>
    </row>
    <row r="859" spans="1:16">
      <c r="A859" t="s">
        <v>3819</v>
      </c>
      <c r="B859">
        <v>220</v>
      </c>
      <c r="C859">
        <v>3981</v>
      </c>
      <c r="D859" t="s">
        <v>3397</v>
      </c>
      <c r="E859" t="s">
        <v>3820</v>
      </c>
      <c r="F859" t="s">
        <v>3821</v>
      </c>
      <c r="G859">
        <v>3301</v>
      </c>
      <c r="H859" t="s">
        <v>3405</v>
      </c>
      <c r="I859" t="s">
        <v>3391</v>
      </c>
      <c r="J859" t="s">
        <v>3822</v>
      </c>
      <c r="K859" t="s">
        <v>6315</v>
      </c>
      <c r="L859" t="s">
        <v>6778</v>
      </c>
      <c r="M859" t="s">
        <v>6779</v>
      </c>
      <c r="N859" t="s">
        <v>6792</v>
      </c>
      <c r="O859">
        <v>1</v>
      </c>
      <c r="P859" t="str">
        <f>+BARRAS[[#This Row],[Barra]]&amp;"_"&amp;BARRAS[[#This Row],[Nivel de tensión]]</f>
        <v>VERBENAS_220</v>
      </c>
    </row>
    <row r="860" spans="1:16">
      <c r="A860" t="s">
        <v>315</v>
      </c>
      <c r="B860">
        <v>66</v>
      </c>
      <c r="C860">
        <v>1</v>
      </c>
      <c r="D860" t="s">
        <v>3397</v>
      </c>
      <c r="E860" t="s">
        <v>6199</v>
      </c>
      <c r="F860" t="s">
        <v>3420</v>
      </c>
      <c r="G860">
        <v>16301</v>
      </c>
      <c r="H860" t="s">
        <v>3414</v>
      </c>
      <c r="I860" t="s">
        <v>3391</v>
      </c>
      <c r="J860" t="s">
        <v>3392</v>
      </c>
      <c r="K860" t="s">
        <v>3304</v>
      </c>
      <c r="L860" t="s">
        <v>6778</v>
      </c>
      <c r="M860" t="s">
        <v>6779</v>
      </c>
      <c r="N860" t="s">
        <v>6792</v>
      </c>
      <c r="O860">
        <v>1</v>
      </c>
      <c r="P860" t="str">
        <f>+BARRAS[[#This Row],[Barra]]&amp;"_"&amp;BARRAS[[#This Row],[Nivel de tensión]]</f>
        <v>COLCHAGUA_66</v>
      </c>
    </row>
    <row r="861" spans="1:16">
      <c r="A861" t="s">
        <v>6200</v>
      </c>
      <c r="B861">
        <v>66</v>
      </c>
      <c r="C861">
        <v>1</v>
      </c>
      <c r="D861" t="s">
        <v>3397</v>
      </c>
      <c r="E861" t="s">
        <v>6201</v>
      </c>
      <c r="F861" t="s">
        <v>3420</v>
      </c>
      <c r="G861">
        <v>16301</v>
      </c>
      <c r="H861" t="s">
        <v>3414</v>
      </c>
      <c r="I861" t="s">
        <v>3391</v>
      </c>
      <c r="J861" t="s">
        <v>3392</v>
      </c>
      <c r="K861" t="s">
        <v>3304</v>
      </c>
      <c r="L861" t="s">
        <v>6778</v>
      </c>
      <c r="M861" t="s">
        <v>6779</v>
      </c>
      <c r="N861" t="s">
        <v>6792</v>
      </c>
      <c r="O861">
        <v>1</v>
      </c>
      <c r="P861" t="str">
        <f>+BARRAS[[#This Row],[Barra]]&amp;"_"&amp;BARRAS[[#This Row],[Nivel de tensión]]</f>
        <v>COLCURA_66</v>
      </c>
    </row>
    <row r="862" spans="1:16">
      <c r="A862" t="s">
        <v>6202</v>
      </c>
      <c r="B862">
        <v>220</v>
      </c>
      <c r="C862">
        <v>2039</v>
      </c>
      <c r="D862" t="s">
        <v>6203</v>
      </c>
      <c r="E862" t="s">
        <v>6204</v>
      </c>
      <c r="F862" t="s">
        <v>6205</v>
      </c>
      <c r="G862">
        <v>16301</v>
      </c>
      <c r="H862" t="s">
        <v>3396</v>
      </c>
      <c r="I862" t="s">
        <v>3391</v>
      </c>
      <c r="J862" t="s">
        <v>3392</v>
      </c>
      <c r="K862" t="s">
        <v>6315</v>
      </c>
      <c r="L862" t="s">
        <v>6778</v>
      </c>
      <c r="M862" t="s">
        <v>6779</v>
      </c>
      <c r="N862" t="s">
        <v>6792</v>
      </c>
      <c r="O862">
        <v>1</v>
      </c>
      <c r="P862" t="str">
        <f>+BARRAS[[#This Row],[Barra]]&amp;"_"&amp;BARRAS[[#This Row],[Nivel de tensión]]</f>
        <v>COLLAHUASI_220</v>
      </c>
    </row>
    <row r="863" spans="1:16">
      <c r="A863" t="s">
        <v>6206</v>
      </c>
      <c r="B863">
        <v>13</v>
      </c>
      <c r="C863">
        <v>155</v>
      </c>
      <c r="D863" t="s">
        <v>6207</v>
      </c>
      <c r="E863" t="s">
        <v>6208</v>
      </c>
      <c r="F863" t="s">
        <v>6209</v>
      </c>
      <c r="G863">
        <v>16301</v>
      </c>
      <c r="H863" t="s">
        <v>3414</v>
      </c>
      <c r="I863" t="s">
        <v>3391</v>
      </c>
      <c r="J863" t="s">
        <v>3392</v>
      </c>
      <c r="K863" t="s">
        <v>3304</v>
      </c>
      <c r="L863" t="s">
        <v>6778</v>
      </c>
      <c r="M863" t="s">
        <v>6779</v>
      </c>
      <c r="N863" t="s">
        <v>6792</v>
      </c>
      <c r="O863">
        <v>1</v>
      </c>
      <c r="P863" t="str">
        <f>+BARRAS[[#This Row],[Barra]]&amp;"_"&amp;BARRAS[[#This Row],[Nivel de tensión]]</f>
        <v>COLLIPULLI_13</v>
      </c>
    </row>
    <row r="864" spans="1:16">
      <c r="A864" t="s">
        <v>6206</v>
      </c>
      <c r="B864">
        <v>66</v>
      </c>
      <c r="C864">
        <v>259</v>
      </c>
      <c r="D864" t="s">
        <v>6210</v>
      </c>
      <c r="E864" t="s">
        <v>6211</v>
      </c>
      <c r="F864" t="s">
        <v>6209</v>
      </c>
      <c r="G864">
        <v>16301</v>
      </c>
      <c r="H864" t="s">
        <v>3414</v>
      </c>
      <c r="I864" t="s">
        <v>3391</v>
      </c>
      <c r="J864" t="s">
        <v>3392</v>
      </c>
      <c r="K864" t="s">
        <v>3304</v>
      </c>
      <c r="L864" t="s">
        <v>6778</v>
      </c>
      <c r="M864" t="s">
        <v>6779</v>
      </c>
      <c r="N864" t="s">
        <v>6792</v>
      </c>
      <c r="O864">
        <v>1</v>
      </c>
      <c r="P864" t="str">
        <f>+BARRAS[[#This Row],[Barra]]&amp;"_"&amp;BARRAS[[#This Row],[Nivel de tensión]]</f>
        <v>COLLIPULLI_66</v>
      </c>
    </row>
    <row r="865" spans="1:16">
      <c r="A865" t="s">
        <v>6212</v>
      </c>
      <c r="B865">
        <v>13</v>
      </c>
      <c r="C865">
        <v>156</v>
      </c>
      <c r="D865" t="s">
        <v>6213</v>
      </c>
      <c r="E865" t="s">
        <v>6214</v>
      </c>
      <c r="F865" t="s">
        <v>6215</v>
      </c>
      <c r="G865">
        <v>16301</v>
      </c>
      <c r="H865" t="s">
        <v>3414</v>
      </c>
      <c r="I865" t="s">
        <v>3391</v>
      </c>
      <c r="J865" t="s">
        <v>3392</v>
      </c>
      <c r="K865" t="s">
        <v>3304</v>
      </c>
      <c r="L865" t="s">
        <v>6778</v>
      </c>
      <c r="M865" t="s">
        <v>6779</v>
      </c>
      <c r="N865" t="s">
        <v>6792</v>
      </c>
      <c r="O865">
        <v>1</v>
      </c>
      <c r="P865" t="str">
        <f>+BARRAS[[#This Row],[Barra]]&amp;"_"&amp;BARRAS[[#This Row],[Nivel de tensión]]</f>
        <v>COLOCOLO_13</v>
      </c>
    </row>
    <row r="866" spans="1:16">
      <c r="A866" t="s">
        <v>6212</v>
      </c>
      <c r="B866">
        <v>66</v>
      </c>
      <c r="C866">
        <v>1</v>
      </c>
      <c r="D866" t="s">
        <v>3397</v>
      </c>
      <c r="E866" t="s">
        <v>6216</v>
      </c>
      <c r="F866" t="s">
        <v>3420</v>
      </c>
      <c r="G866">
        <v>16301</v>
      </c>
      <c r="H866" t="s">
        <v>3414</v>
      </c>
      <c r="I866" t="s">
        <v>3391</v>
      </c>
      <c r="J866" t="s">
        <v>3392</v>
      </c>
      <c r="K866" t="s">
        <v>3304</v>
      </c>
      <c r="L866" t="s">
        <v>6778</v>
      </c>
      <c r="M866" t="s">
        <v>6779</v>
      </c>
      <c r="N866" t="s">
        <v>6792</v>
      </c>
      <c r="O866">
        <v>1</v>
      </c>
      <c r="P866" t="str">
        <f>+BARRAS[[#This Row],[Barra]]&amp;"_"&amp;BARRAS[[#This Row],[Nivel de tensión]]</f>
        <v>COLOCOLO_66</v>
      </c>
    </row>
    <row r="867" spans="1:16">
      <c r="A867" t="s">
        <v>6217</v>
      </c>
      <c r="B867">
        <v>220</v>
      </c>
      <c r="C867">
        <v>1</v>
      </c>
      <c r="D867" t="s">
        <v>3397</v>
      </c>
      <c r="E867" t="s">
        <v>6218</v>
      </c>
      <c r="F867" t="s">
        <v>3420</v>
      </c>
      <c r="G867">
        <v>16301</v>
      </c>
      <c r="H867" t="s">
        <v>3405</v>
      </c>
      <c r="I867" t="s">
        <v>3391</v>
      </c>
      <c r="J867" t="s">
        <v>3392</v>
      </c>
      <c r="K867" t="s">
        <v>6315</v>
      </c>
      <c r="L867" t="s">
        <v>6778</v>
      </c>
      <c r="M867" t="s">
        <v>6779</v>
      </c>
      <c r="N867" t="s">
        <v>6792</v>
      </c>
      <c r="O867">
        <v>1</v>
      </c>
      <c r="P867" t="str">
        <f>+BARRAS[[#This Row],[Barra]]&amp;"_"&amp;BARRAS[[#This Row],[Nivel de tensión]]</f>
        <v>COLOSO_220</v>
      </c>
    </row>
    <row r="868" spans="1:16">
      <c r="A868" t="s">
        <v>325</v>
      </c>
      <c r="B868">
        <v>13</v>
      </c>
      <c r="C868">
        <v>157</v>
      </c>
      <c r="D868" t="s">
        <v>6219</v>
      </c>
      <c r="E868" t="s">
        <v>6220</v>
      </c>
      <c r="F868" t="s">
        <v>6221</v>
      </c>
      <c r="G868">
        <v>16301</v>
      </c>
      <c r="H868" t="s">
        <v>3400</v>
      </c>
      <c r="I868" t="s">
        <v>3391</v>
      </c>
      <c r="J868" t="s">
        <v>3392</v>
      </c>
      <c r="K868" t="s">
        <v>3301</v>
      </c>
      <c r="L868" t="s">
        <v>6778</v>
      </c>
      <c r="M868" t="s">
        <v>6779</v>
      </c>
      <c r="N868" t="s">
        <v>6792</v>
      </c>
      <c r="O868">
        <v>1</v>
      </c>
      <c r="P868" t="str">
        <f>+BARRAS[[#This Row],[Barra]]&amp;"_"&amp;BARRAS[[#This Row],[Nivel de tensión]]</f>
        <v>COMBARBALA_13</v>
      </c>
    </row>
    <row r="869" spans="1:16">
      <c r="A869" t="s">
        <v>325</v>
      </c>
      <c r="B869">
        <v>66</v>
      </c>
      <c r="C869">
        <v>1</v>
      </c>
      <c r="D869" t="s">
        <v>3397</v>
      </c>
      <c r="E869" t="s">
        <v>6222</v>
      </c>
      <c r="F869" t="s">
        <v>3420</v>
      </c>
      <c r="G869">
        <v>16301</v>
      </c>
      <c r="H869" t="s">
        <v>3400</v>
      </c>
      <c r="I869" t="s">
        <v>3391</v>
      </c>
      <c r="J869" t="s">
        <v>3392</v>
      </c>
      <c r="K869" t="s">
        <v>3301</v>
      </c>
      <c r="L869" t="s">
        <v>6778</v>
      </c>
      <c r="M869" t="s">
        <v>6779</v>
      </c>
      <c r="N869" t="s">
        <v>6792</v>
      </c>
      <c r="O869">
        <v>1</v>
      </c>
      <c r="P869" t="str">
        <f>+BARRAS[[#This Row],[Barra]]&amp;"_"&amp;BARRAS[[#This Row],[Nivel de tensión]]</f>
        <v>COMBARBALA_66</v>
      </c>
    </row>
    <row r="870" spans="1:16">
      <c r="A870" t="s">
        <v>328</v>
      </c>
      <c r="B870">
        <v>13</v>
      </c>
      <c r="C870">
        <v>239</v>
      </c>
      <c r="D870" t="s">
        <v>6223</v>
      </c>
      <c r="E870" t="s">
        <v>6224</v>
      </c>
      <c r="F870" t="s">
        <v>6225</v>
      </c>
      <c r="G870">
        <v>16301</v>
      </c>
      <c r="H870" t="s">
        <v>3400</v>
      </c>
      <c r="I870" t="s">
        <v>3391</v>
      </c>
      <c r="J870" t="s">
        <v>3392</v>
      </c>
      <c r="K870" t="s">
        <v>3301</v>
      </c>
      <c r="L870" t="s">
        <v>6778</v>
      </c>
      <c r="M870" t="s">
        <v>6779</v>
      </c>
      <c r="N870" t="s">
        <v>6792</v>
      </c>
      <c r="O870">
        <v>1</v>
      </c>
      <c r="P870" t="str">
        <f>+BARRAS[[#This Row],[Barra]]&amp;"_"&amp;BARRAS[[#This Row],[Nivel de tensión]]</f>
        <v>COMPANIA_13</v>
      </c>
    </row>
    <row r="871" spans="1:16">
      <c r="A871" t="s">
        <v>328</v>
      </c>
      <c r="B871">
        <v>110</v>
      </c>
      <c r="C871">
        <v>1</v>
      </c>
      <c r="D871" t="s">
        <v>3397</v>
      </c>
      <c r="E871" t="s">
        <v>6226</v>
      </c>
      <c r="F871" t="s">
        <v>3420</v>
      </c>
      <c r="G871">
        <v>16301</v>
      </c>
      <c r="H871" t="s">
        <v>3400</v>
      </c>
      <c r="I871" t="s">
        <v>3391</v>
      </c>
      <c r="J871" t="s">
        <v>3392</v>
      </c>
      <c r="K871" t="s">
        <v>3301</v>
      </c>
      <c r="L871" t="s">
        <v>6778</v>
      </c>
      <c r="M871" t="s">
        <v>6779</v>
      </c>
      <c r="N871" t="s">
        <v>6792</v>
      </c>
      <c r="O871">
        <v>1</v>
      </c>
      <c r="P871" t="str">
        <f>+BARRAS[[#This Row],[Barra]]&amp;"_"&amp;BARRAS[[#This Row],[Nivel de tensión]]</f>
        <v>COMPANIA_110</v>
      </c>
    </row>
    <row r="872" spans="1:16">
      <c r="A872" t="s">
        <v>6227</v>
      </c>
      <c r="B872">
        <v>66</v>
      </c>
      <c r="C872">
        <v>1154</v>
      </c>
      <c r="D872" t="s">
        <v>6228</v>
      </c>
      <c r="E872" t="s">
        <v>6229</v>
      </c>
      <c r="F872" t="s">
        <v>6230</v>
      </c>
      <c r="G872">
        <v>16301</v>
      </c>
      <c r="H872" t="s">
        <v>3414</v>
      </c>
      <c r="I872" t="s">
        <v>3391</v>
      </c>
      <c r="J872" t="s">
        <v>3392</v>
      </c>
      <c r="K872" t="s">
        <v>3304</v>
      </c>
      <c r="L872" t="s">
        <v>6778</v>
      </c>
      <c r="M872" t="s">
        <v>6779</v>
      </c>
      <c r="N872" t="s">
        <v>6792</v>
      </c>
      <c r="O872">
        <v>1</v>
      </c>
      <c r="P872" t="str">
        <f>+BARRAS[[#This Row],[Barra]]&amp;"_"&amp;BARRAS[[#This Row],[Nivel de tensión]]</f>
        <v>CONCEPCION_66</v>
      </c>
    </row>
    <row r="873" spans="1:16">
      <c r="A873" t="s">
        <v>6227</v>
      </c>
      <c r="B873">
        <v>154</v>
      </c>
      <c r="C873">
        <v>1</v>
      </c>
      <c r="D873" t="s">
        <v>3397</v>
      </c>
      <c r="E873" t="s">
        <v>6231</v>
      </c>
      <c r="F873" t="s">
        <v>3420</v>
      </c>
      <c r="G873">
        <v>16301</v>
      </c>
      <c r="H873" t="s">
        <v>3414</v>
      </c>
      <c r="I873" t="s">
        <v>3391</v>
      </c>
      <c r="J873" t="s">
        <v>3392</v>
      </c>
      <c r="K873" t="s">
        <v>3304</v>
      </c>
      <c r="L873" t="s">
        <v>6778</v>
      </c>
      <c r="M873" t="s">
        <v>6779</v>
      </c>
      <c r="N873" t="s">
        <v>6792</v>
      </c>
      <c r="O873">
        <v>1</v>
      </c>
      <c r="P873" t="str">
        <f>+BARRAS[[#This Row],[Barra]]&amp;"_"&amp;BARRAS[[#This Row],[Nivel de tensión]]</f>
        <v>CONCEPCION_154</v>
      </c>
    </row>
    <row r="874" spans="1:16">
      <c r="A874" t="s">
        <v>6227</v>
      </c>
      <c r="B874">
        <v>220</v>
      </c>
      <c r="C874">
        <v>3077</v>
      </c>
      <c r="D874" t="s">
        <v>6232</v>
      </c>
      <c r="E874" t="s">
        <v>6233</v>
      </c>
      <c r="F874" t="s">
        <v>6234</v>
      </c>
      <c r="G874">
        <v>16301</v>
      </c>
      <c r="H874" t="s">
        <v>3414</v>
      </c>
      <c r="I874" t="s">
        <v>3391</v>
      </c>
      <c r="J874" t="s">
        <v>3392</v>
      </c>
      <c r="K874" t="s">
        <v>3304</v>
      </c>
      <c r="L874" t="s">
        <v>6778</v>
      </c>
      <c r="M874" t="s">
        <v>6779</v>
      </c>
      <c r="N874" t="s">
        <v>6792</v>
      </c>
      <c r="O874">
        <v>1</v>
      </c>
      <c r="P874" t="str">
        <f>+BARRAS[[#This Row],[Barra]]&amp;"_"&amp;BARRAS[[#This Row],[Nivel de tensión]]</f>
        <v>CONCEPCION_220</v>
      </c>
    </row>
    <row r="875" spans="1:16">
      <c r="A875" t="s">
        <v>6235</v>
      </c>
      <c r="B875">
        <v>220</v>
      </c>
      <c r="C875">
        <v>1</v>
      </c>
      <c r="D875" t="s">
        <v>3397</v>
      </c>
      <c r="E875" t="s">
        <v>6236</v>
      </c>
      <c r="F875" t="s">
        <v>3420</v>
      </c>
      <c r="G875">
        <v>16301</v>
      </c>
      <c r="H875" t="s">
        <v>3405</v>
      </c>
      <c r="I875" t="s">
        <v>3391</v>
      </c>
      <c r="J875" t="s">
        <v>3392</v>
      </c>
      <c r="K875" t="s">
        <v>6315</v>
      </c>
      <c r="L875" t="s">
        <v>6778</v>
      </c>
      <c r="M875" t="s">
        <v>6779</v>
      </c>
      <c r="N875" t="s">
        <v>6792</v>
      </c>
      <c r="O875">
        <v>1</v>
      </c>
      <c r="P875" t="str">
        <f>+BARRAS[[#This Row],[Barra]]&amp;"_"&amp;BARRAS[[#This Row],[Nivel de tensión]]</f>
        <v>CONCHI_220</v>
      </c>
    </row>
    <row r="876" spans="1:16">
      <c r="A876" t="s">
        <v>335</v>
      </c>
      <c r="B876">
        <v>13</v>
      </c>
      <c r="C876">
        <v>2917</v>
      </c>
      <c r="D876" t="s">
        <v>6237</v>
      </c>
      <c r="E876" t="s">
        <v>6238</v>
      </c>
      <c r="F876" t="s">
        <v>6239</v>
      </c>
      <c r="G876">
        <v>16301</v>
      </c>
      <c r="H876" t="s">
        <v>3418</v>
      </c>
      <c r="I876" t="s">
        <v>3391</v>
      </c>
      <c r="J876" t="s">
        <v>3392</v>
      </c>
      <c r="K876" t="s">
        <v>3302</v>
      </c>
      <c r="L876" t="s">
        <v>6778</v>
      </c>
      <c r="M876" t="s">
        <v>6779</v>
      </c>
      <c r="N876" t="s">
        <v>6792</v>
      </c>
      <c r="O876">
        <v>1</v>
      </c>
      <c r="P876" t="str">
        <f>+BARRAS[[#This Row],[Barra]]&amp;"_"&amp;BARRAS[[#This Row],[Nivel de tensión]]</f>
        <v>CONCON_13</v>
      </c>
    </row>
    <row r="877" spans="1:16">
      <c r="A877" t="s">
        <v>335</v>
      </c>
      <c r="B877">
        <v>110</v>
      </c>
      <c r="C877">
        <v>1</v>
      </c>
      <c r="D877" t="s">
        <v>3397</v>
      </c>
      <c r="E877" t="s">
        <v>6240</v>
      </c>
      <c r="F877" t="s">
        <v>3420</v>
      </c>
      <c r="G877">
        <v>16301</v>
      </c>
      <c r="H877" t="s">
        <v>3418</v>
      </c>
      <c r="I877" t="s">
        <v>3391</v>
      </c>
      <c r="J877" t="s">
        <v>3392</v>
      </c>
      <c r="K877" t="s">
        <v>3302</v>
      </c>
      <c r="L877" t="s">
        <v>6778</v>
      </c>
      <c r="M877" t="s">
        <v>6779</v>
      </c>
      <c r="N877" t="s">
        <v>6792</v>
      </c>
      <c r="O877">
        <v>1</v>
      </c>
      <c r="P877" t="str">
        <f>+BARRAS[[#This Row],[Barra]]&amp;"_"&amp;BARRAS[[#This Row],[Nivel de tensión]]</f>
        <v>CONCON_110</v>
      </c>
    </row>
    <row r="878" spans="1:16">
      <c r="A878" t="s">
        <v>338</v>
      </c>
      <c r="B878">
        <v>110</v>
      </c>
      <c r="C878">
        <v>2065</v>
      </c>
      <c r="D878" t="s">
        <v>6241</v>
      </c>
      <c r="E878" t="s">
        <v>6242</v>
      </c>
      <c r="F878" t="s">
        <v>6243</v>
      </c>
      <c r="G878">
        <v>16301</v>
      </c>
      <c r="H878" t="s">
        <v>3443</v>
      </c>
      <c r="I878" t="s">
        <v>3391</v>
      </c>
      <c r="J878" t="s">
        <v>3392</v>
      </c>
      <c r="K878" t="s">
        <v>3300</v>
      </c>
      <c r="L878" t="s">
        <v>6778</v>
      </c>
      <c r="M878" t="s">
        <v>6779</v>
      </c>
      <c r="N878" t="s">
        <v>6792</v>
      </c>
      <c r="O878">
        <v>1</v>
      </c>
      <c r="P878" t="str">
        <f>+BARRAS[[#This Row],[Barra]]&amp;"_"&amp;BARRAS[[#This Row],[Nivel de tensión]]</f>
        <v>CONDORES_110</v>
      </c>
    </row>
    <row r="879" spans="1:16">
      <c r="A879" t="s">
        <v>338</v>
      </c>
      <c r="B879">
        <v>220</v>
      </c>
      <c r="C879">
        <v>2067</v>
      </c>
      <c r="D879" t="s">
        <v>6244</v>
      </c>
      <c r="E879" t="s">
        <v>6245</v>
      </c>
      <c r="F879" t="s">
        <v>6243</v>
      </c>
      <c r="G879">
        <v>16301</v>
      </c>
      <c r="H879" t="s">
        <v>3409</v>
      </c>
      <c r="I879" t="s">
        <v>3391</v>
      </c>
      <c r="J879" t="s">
        <v>3392</v>
      </c>
      <c r="K879" t="s">
        <v>6315</v>
      </c>
      <c r="L879" t="s">
        <v>6778</v>
      </c>
      <c r="M879" t="s">
        <v>6779</v>
      </c>
      <c r="N879" t="s">
        <v>6792</v>
      </c>
      <c r="O879">
        <v>1</v>
      </c>
      <c r="P879" t="str">
        <f>+BARRAS[[#This Row],[Barra]]&amp;"_"&amp;BARRAS[[#This Row],[Nivel de tensión]]</f>
        <v>CONDORES_220</v>
      </c>
    </row>
    <row r="880" spans="1:16">
      <c r="A880" t="s">
        <v>6246</v>
      </c>
      <c r="B880">
        <v>66</v>
      </c>
      <c r="C880">
        <v>566</v>
      </c>
      <c r="D880" t="s">
        <v>6247</v>
      </c>
      <c r="E880" t="s">
        <v>6248</v>
      </c>
      <c r="F880" t="s">
        <v>6249</v>
      </c>
      <c r="G880">
        <v>16301</v>
      </c>
      <c r="H880" t="s">
        <v>3414</v>
      </c>
      <c r="I880" t="s">
        <v>3391</v>
      </c>
      <c r="J880" t="s">
        <v>3392</v>
      </c>
      <c r="K880" t="s">
        <v>3304</v>
      </c>
      <c r="L880" t="s">
        <v>6778</v>
      </c>
      <c r="M880" t="s">
        <v>6779</v>
      </c>
      <c r="N880" t="s">
        <v>6792</v>
      </c>
      <c r="O880">
        <v>1</v>
      </c>
      <c r="P880" t="str">
        <f>+BARRAS[[#This Row],[Barra]]&amp;"_"&amp;BARRAS[[#This Row],[Nivel de tensión]]</f>
        <v>CONSTIT._66</v>
      </c>
    </row>
    <row r="881" spans="1:16">
      <c r="A881" t="s">
        <v>342</v>
      </c>
      <c r="B881">
        <v>23</v>
      </c>
      <c r="C881">
        <v>565</v>
      </c>
      <c r="D881" t="s">
        <v>6250</v>
      </c>
      <c r="E881" t="s">
        <v>5843</v>
      </c>
      <c r="F881" t="s">
        <v>6249</v>
      </c>
      <c r="G881">
        <v>16301</v>
      </c>
      <c r="H881" t="s">
        <v>3414</v>
      </c>
      <c r="I881" t="s">
        <v>3391</v>
      </c>
      <c r="J881" t="s">
        <v>3392</v>
      </c>
      <c r="K881" t="s">
        <v>3304</v>
      </c>
      <c r="L881" t="s">
        <v>6778</v>
      </c>
      <c r="M881" t="s">
        <v>6779</v>
      </c>
      <c r="N881" t="s">
        <v>6792</v>
      </c>
      <c r="O881">
        <v>1</v>
      </c>
      <c r="P881" t="str">
        <f>+BARRAS[[#This Row],[Barra]]&amp;"_"&amp;BARRAS[[#This Row],[Nivel de tensión]]</f>
        <v>CONSTIT1_23</v>
      </c>
    </row>
    <row r="882" spans="1:16">
      <c r="A882" t="s">
        <v>6251</v>
      </c>
      <c r="B882">
        <v>23</v>
      </c>
      <c r="C882">
        <v>567</v>
      </c>
      <c r="D882" t="s">
        <v>6252</v>
      </c>
      <c r="E882" t="s">
        <v>5843</v>
      </c>
      <c r="F882" t="s">
        <v>3484</v>
      </c>
      <c r="G882">
        <v>16301</v>
      </c>
      <c r="H882" t="s">
        <v>3414</v>
      </c>
      <c r="I882" t="s">
        <v>3391</v>
      </c>
      <c r="J882" t="s">
        <v>3392</v>
      </c>
      <c r="K882" t="s">
        <v>3304</v>
      </c>
      <c r="L882" t="s">
        <v>6778</v>
      </c>
      <c r="M882" t="s">
        <v>6779</v>
      </c>
      <c r="N882" t="s">
        <v>6792</v>
      </c>
      <c r="O882">
        <v>1</v>
      </c>
      <c r="P882" t="str">
        <f>+BARRAS[[#This Row],[Barra]]&amp;"_"&amp;BARRAS[[#This Row],[Nivel de tensión]]</f>
        <v>CONSTIT2_23</v>
      </c>
    </row>
    <row r="883" spans="1:16">
      <c r="A883" t="s">
        <v>3428</v>
      </c>
      <c r="B883">
        <v>154</v>
      </c>
      <c r="C883">
        <v>1</v>
      </c>
      <c r="D883" t="s">
        <v>3397</v>
      </c>
      <c r="E883" t="s">
        <v>3429</v>
      </c>
      <c r="F883" t="s">
        <v>3420</v>
      </c>
      <c r="G883">
        <v>16301</v>
      </c>
      <c r="H883" t="s">
        <v>3414</v>
      </c>
      <c r="I883" t="s">
        <v>3391</v>
      </c>
      <c r="J883" t="s">
        <v>3392</v>
      </c>
      <c r="K883" t="s">
        <v>3304</v>
      </c>
      <c r="L883" t="s">
        <v>6778</v>
      </c>
      <c r="M883" t="s">
        <v>6779</v>
      </c>
      <c r="N883" t="s">
        <v>6792</v>
      </c>
      <c r="O883">
        <v>1</v>
      </c>
      <c r="P883" t="str">
        <f>+BARRAS[[#This Row],[Barra]]&amp;"_"&amp;BARRAS[[#This Row],[Nivel de tensión]]</f>
        <v>CONVENTOVIEJO_154</v>
      </c>
    </row>
    <row r="884" spans="1:16">
      <c r="A884" t="s">
        <v>6253</v>
      </c>
      <c r="B884">
        <v>110</v>
      </c>
      <c r="C884">
        <v>1</v>
      </c>
      <c r="D884" t="s">
        <v>3397</v>
      </c>
      <c r="E884" t="s">
        <v>6254</v>
      </c>
      <c r="F884" t="s">
        <v>3420</v>
      </c>
      <c r="G884">
        <v>16301</v>
      </c>
      <c r="H884" t="s">
        <v>3400</v>
      </c>
      <c r="I884" t="s">
        <v>3391</v>
      </c>
      <c r="J884" t="s">
        <v>3392</v>
      </c>
      <c r="K884" t="s">
        <v>3301</v>
      </c>
      <c r="L884" t="s">
        <v>6778</v>
      </c>
      <c r="M884" t="s">
        <v>6779</v>
      </c>
      <c r="N884" t="s">
        <v>6792</v>
      </c>
      <c r="O884">
        <v>1</v>
      </c>
      <c r="P884" t="str">
        <f>+BARRAS[[#This Row],[Barra]]&amp;"_"&amp;BARRAS[[#This Row],[Nivel de tensión]]</f>
        <v>COPAYAPU_110</v>
      </c>
    </row>
    <row r="885" spans="1:16">
      <c r="A885" t="s">
        <v>347</v>
      </c>
      <c r="B885">
        <v>13</v>
      </c>
      <c r="C885">
        <v>542</v>
      </c>
      <c r="D885" t="s">
        <v>6255</v>
      </c>
      <c r="E885" t="s">
        <v>6256</v>
      </c>
      <c r="F885" t="s">
        <v>6257</v>
      </c>
      <c r="G885">
        <v>16301</v>
      </c>
      <c r="H885" t="s">
        <v>3400</v>
      </c>
      <c r="I885" t="s">
        <v>3391</v>
      </c>
      <c r="J885" t="s">
        <v>3392</v>
      </c>
      <c r="K885" t="s">
        <v>3301</v>
      </c>
      <c r="L885" t="s">
        <v>6778</v>
      </c>
      <c r="M885" t="s">
        <v>6779</v>
      </c>
      <c r="N885" t="s">
        <v>6792</v>
      </c>
      <c r="O885">
        <v>1</v>
      </c>
      <c r="P885" t="str">
        <f>+BARRAS[[#This Row],[Barra]]&amp;"_"&amp;BARRAS[[#This Row],[Nivel de tensión]]</f>
        <v>COPIAPO_13</v>
      </c>
    </row>
    <row r="886" spans="1:16">
      <c r="A886" t="s">
        <v>377</v>
      </c>
      <c r="B886">
        <v>66</v>
      </c>
      <c r="C886">
        <v>1449</v>
      </c>
      <c r="D886" t="s">
        <v>4765</v>
      </c>
      <c r="E886" t="s">
        <v>4766</v>
      </c>
      <c r="F886" t="s">
        <v>3432</v>
      </c>
      <c r="G886">
        <v>16301</v>
      </c>
      <c r="H886" t="s">
        <v>3414</v>
      </c>
      <c r="I886" t="s">
        <v>3391</v>
      </c>
      <c r="J886" t="s">
        <v>3392</v>
      </c>
      <c r="K886" t="s">
        <v>3304</v>
      </c>
      <c r="L886" t="s">
        <v>6778</v>
      </c>
      <c r="M886" t="s">
        <v>6779</v>
      </c>
      <c r="N886" t="s">
        <v>6792</v>
      </c>
      <c r="O886">
        <v>1</v>
      </c>
      <c r="P886" t="str">
        <f>+BARRAS[[#This Row],[Barra]]&amp;"_"&amp;BARRAS[[#This Row],[Nivel de tensión]]</f>
        <v>CURICO_66</v>
      </c>
    </row>
    <row r="887" spans="1:16">
      <c r="A887" t="s">
        <v>380</v>
      </c>
      <c r="B887">
        <v>13</v>
      </c>
      <c r="C887">
        <v>1214</v>
      </c>
      <c r="D887" t="s">
        <v>3430</v>
      </c>
      <c r="E887" t="s">
        <v>4767</v>
      </c>
      <c r="F887" t="s">
        <v>3432</v>
      </c>
      <c r="G887">
        <v>16301</v>
      </c>
      <c r="H887" t="s">
        <v>3414</v>
      </c>
      <c r="I887" t="s">
        <v>3391</v>
      </c>
      <c r="J887" t="s">
        <v>3392</v>
      </c>
      <c r="K887" t="s">
        <v>3304</v>
      </c>
      <c r="L887" t="s">
        <v>6778</v>
      </c>
      <c r="M887" t="s">
        <v>6779</v>
      </c>
      <c r="N887" t="s">
        <v>6792</v>
      </c>
      <c r="O887">
        <v>1</v>
      </c>
      <c r="P887" t="str">
        <f>+BARRAS[[#This Row],[Barra]]&amp;"_"&amp;BARRAS[[#This Row],[Nivel de tensión]]</f>
        <v>CURICO2_13</v>
      </c>
    </row>
    <row r="888" spans="1:16">
      <c r="A888" t="s">
        <v>4768</v>
      </c>
      <c r="B888">
        <v>154</v>
      </c>
      <c r="C888">
        <v>1</v>
      </c>
      <c r="D888" t="s">
        <v>3397</v>
      </c>
      <c r="E888" t="s">
        <v>4769</v>
      </c>
      <c r="F888" t="s">
        <v>3420</v>
      </c>
      <c r="G888">
        <v>16301</v>
      </c>
      <c r="H888" t="s">
        <v>3396</v>
      </c>
      <c r="I888" t="s">
        <v>3391</v>
      </c>
      <c r="J888" t="s">
        <v>3392</v>
      </c>
      <c r="K888" t="s">
        <v>6315</v>
      </c>
      <c r="L888" t="s">
        <v>6778</v>
      </c>
      <c r="M888" t="s">
        <v>6779</v>
      </c>
      <c r="N888" t="s">
        <v>6792</v>
      </c>
      <c r="O888">
        <v>1</v>
      </c>
      <c r="P888" t="str">
        <f>+BARRAS[[#This Row],[Barra]]&amp;"_"&amp;BARRAS[[#This Row],[Nivel de tensión]]</f>
        <v>CURILLINQUE_154</v>
      </c>
    </row>
    <row r="889" spans="1:16">
      <c r="A889" t="s">
        <v>383</v>
      </c>
      <c r="B889">
        <v>23</v>
      </c>
      <c r="C889">
        <v>483</v>
      </c>
      <c r="D889" t="s">
        <v>4770</v>
      </c>
      <c r="E889" t="s">
        <v>4771</v>
      </c>
      <c r="F889" t="s">
        <v>4772</v>
      </c>
      <c r="G889">
        <v>16301</v>
      </c>
      <c r="H889" t="s">
        <v>3400</v>
      </c>
      <c r="I889" t="s">
        <v>3391</v>
      </c>
      <c r="J889" t="s">
        <v>3392</v>
      </c>
      <c r="K889" t="s">
        <v>3301</v>
      </c>
      <c r="L889" t="s">
        <v>6778</v>
      </c>
      <c r="M889" t="s">
        <v>6779</v>
      </c>
      <c r="N889" t="s">
        <v>6792</v>
      </c>
      <c r="O889">
        <v>1</v>
      </c>
      <c r="P889" t="str">
        <f>+BARRAS[[#This Row],[Barra]]&amp;"_"&amp;BARRAS[[#This Row],[Nivel de tensión]]</f>
        <v>D.ALMAGRO_23</v>
      </c>
    </row>
    <row r="890" spans="1:16">
      <c r="A890" t="s">
        <v>383</v>
      </c>
      <c r="B890">
        <v>110</v>
      </c>
      <c r="C890">
        <v>480</v>
      </c>
      <c r="D890" t="s">
        <v>4773</v>
      </c>
      <c r="E890" t="s">
        <v>4774</v>
      </c>
      <c r="F890" t="s">
        <v>4772</v>
      </c>
      <c r="G890">
        <v>16301</v>
      </c>
      <c r="H890" t="s">
        <v>3396</v>
      </c>
      <c r="I890" t="s">
        <v>3391</v>
      </c>
      <c r="J890" t="s">
        <v>3392</v>
      </c>
      <c r="K890" t="s">
        <v>6315</v>
      </c>
      <c r="L890" t="s">
        <v>6778</v>
      </c>
      <c r="M890" t="s">
        <v>6779</v>
      </c>
      <c r="N890" t="s">
        <v>6792</v>
      </c>
      <c r="O890">
        <v>1</v>
      </c>
      <c r="P890" t="str">
        <f>+BARRAS[[#This Row],[Barra]]&amp;"_"&amp;BARRAS[[#This Row],[Nivel de tensión]]</f>
        <v>D.ALMAGRO_110</v>
      </c>
    </row>
    <row r="891" spans="1:16">
      <c r="A891" t="s">
        <v>383</v>
      </c>
      <c r="B891">
        <v>220</v>
      </c>
      <c r="C891">
        <v>482</v>
      </c>
      <c r="D891" t="s">
        <v>4775</v>
      </c>
      <c r="E891" t="s">
        <v>4776</v>
      </c>
      <c r="F891" t="s">
        <v>4772</v>
      </c>
      <c r="G891">
        <v>16301</v>
      </c>
      <c r="H891" t="s">
        <v>3400</v>
      </c>
      <c r="I891" t="s">
        <v>3391</v>
      </c>
      <c r="J891" t="s">
        <v>3392</v>
      </c>
      <c r="K891" t="s">
        <v>3301</v>
      </c>
      <c r="L891" t="s">
        <v>6778</v>
      </c>
      <c r="M891" t="s">
        <v>6779</v>
      </c>
      <c r="N891" t="s">
        <v>6792</v>
      </c>
      <c r="O891">
        <v>1</v>
      </c>
      <c r="P891" t="str">
        <f>+BARRAS[[#This Row],[Barra]]&amp;"_"&amp;BARRAS[[#This Row],[Nivel de tensión]]</f>
        <v>D.ALMAGRO_220</v>
      </c>
    </row>
    <row r="892" spans="1:16">
      <c r="A892" t="s">
        <v>4777</v>
      </c>
      <c r="B892">
        <v>23</v>
      </c>
      <c r="C892">
        <v>485</v>
      </c>
      <c r="D892" t="s">
        <v>4778</v>
      </c>
      <c r="E892" t="s">
        <v>4779</v>
      </c>
      <c r="F892" t="s">
        <v>4780</v>
      </c>
      <c r="G892">
        <v>16301</v>
      </c>
      <c r="H892" t="s">
        <v>3405</v>
      </c>
      <c r="I892" t="s">
        <v>3391</v>
      </c>
      <c r="J892" t="s">
        <v>3392</v>
      </c>
      <c r="K892" t="s">
        <v>6315</v>
      </c>
      <c r="L892" t="s">
        <v>6778</v>
      </c>
      <c r="M892" t="s">
        <v>6779</v>
      </c>
      <c r="N892" t="s">
        <v>6792</v>
      </c>
      <c r="O892">
        <v>1</v>
      </c>
      <c r="P892" t="str">
        <f>+BARRAS[[#This Row],[Barra]]&amp;"_"&amp;BARRAS[[#This Row],[Nivel de tensión]]</f>
        <v>D.AMIGOS_23</v>
      </c>
    </row>
    <row r="893" spans="1:16">
      <c r="A893" t="s">
        <v>4777</v>
      </c>
      <c r="B893">
        <v>110</v>
      </c>
      <c r="C893">
        <v>1</v>
      </c>
      <c r="D893" t="s">
        <v>3397</v>
      </c>
      <c r="E893" t="s">
        <v>4781</v>
      </c>
      <c r="F893" t="s">
        <v>3420</v>
      </c>
      <c r="G893">
        <v>16301</v>
      </c>
      <c r="H893" t="s">
        <v>3405</v>
      </c>
      <c r="I893" t="s">
        <v>3391</v>
      </c>
      <c r="J893" t="s">
        <v>3392</v>
      </c>
      <c r="K893" t="s">
        <v>6315</v>
      </c>
      <c r="L893" t="s">
        <v>6778</v>
      </c>
      <c r="M893" t="s">
        <v>6779</v>
      </c>
      <c r="N893" t="s">
        <v>6792</v>
      </c>
      <c r="O893">
        <v>1</v>
      </c>
      <c r="P893" t="str">
        <f>+BARRAS[[#This Row],[Barra]]&amp;"_"&amp;BARRAS[[#This Row],[Nivel de tensión]]</f>
        <v>D.AMIGOS_110</v>
      </c>
    </row>
    <row r="894" spans="1:16">
      <c r="A894" t="s">
        <v>4782</v>
      </c>
      <c r="B894">
        <v>23</v>
      </c>
      <c r="C894">
        <v>1589</v>
      </c>
      <c r="D894" t="s">
        <v>4783</v>
      </c>
      <c r="E894" t="s">
        <v>4784</v>
      </c>
      <c r="F894" t="s">
        <v>4785</v>
      </c>
      <c r="G894">
        <v>16301</v>
      </c>
      <c r="H894" t="s">
        <v>3390</v>
      </c>
      <c r="I894" t="s">
        <v>3391</v>
      </c>
      <c r="J894" t="s">
        <v>3392</v>
      </c>
      <c r="K894" t="s">
        <v>3305</v>
      </c>
      <c r="L894" t="s">
        <v>6778</v>
      </c>
      <c r="M894" t="s">
        <v>6779</v>
      </c>
      <c r="N894" t="s">
        <v>6792</v>
      </c>
      <c r="O894">
        <v>1</v>
      </c>
      <c r="P894" t="str">
        <f>+BARRAS[[#This Row],[Barra]]&amp;"_"&amp;BARRAS[[#This Row],[Nivel de tensión]]</f>
        <v>DALCAHUE_23</v>
      </c>
    </row>
    <row r="895" spans="1:16">
      <c r="A895" t="s">
        <v>4782</v>
      </c>
      <c r="B895">
        <v>110</v>
      </c>
      <c r="C895">
        <v>1</v>
      </c>
      <c r="D895" t="s">
        <v>3397</v>
      </c>
      <c r="E895" t="s">
        <v>4786</v>
      </c>
      <c r="F895" t="s">
        <v>3420</v>
      </c>
      <c r="G895">
        <v>16301</v>
      </c>
      <c r="H895" t="s">
        <v>3390</v>
      </c>
      <c r="I895" t="s">
        <v>3391</v>
      </c>
      <c r="J895" t="s">
        <v>3392</v>
      </c>
      <c r="K895" t="s">
        <v>3305</v>
      </c>
      <c r="L895" t="s">
        <v>6778</v>
      </c>
      <c r="M895" t="s">
        <v>6779</v>
      </c>
      <c r="N895" t="s">
        <v>6792</v>
      </c>
      <c r="O895">
        <v>1</v>
      </c>
      <c r="P895" t="str">
        <f>+BARRAS[[#This Row],[Barra]]&amp;"_"&amp;BARRAS[[#This Row],[Nivel de tensión]]</f>
        <v>DALCAHUE_110</v>
      </c>
    </row>
    <row r="896" spans="1:16">
      <c r="A896" t="s">
        <v>4787</v>
      </c>
      <c r="B896">
        <v>110</v>
      </c>
      <c r="C896">
        <v>3756</v>
      </c>
      <c r="D896" t="s">
        <v>4788</v>
      </c>
      <c r="E896" t="s">
        <v>4789</v>
      </c>
      <c r="F896" t="s">
        <v>4790</v>
      </c>
      <c r="G896">
        <v>4106</v>
      </c>
      <c r="H896" t="s">
        <v>3400</v>
      </c>
      <c r="I896" t="s">
        <v>3391</v>
      </c>
      <c r="J896" t="s">
        <v>4791</v>
      </c>
      <c r="K896" t="s">
        <v>3301</v>
      </c>
      <c r="L896" t="s">
        <v>6778</v>
      </c>
      <c r="M896" t="s">
        <v>6779</v>
      </c>
      <c r="N896" t="s">
        <v>6792</v>
      </c>
      <c r="O896">
        <v>1</v>
      </c>
      <c r="P896" t="str">
        <f>+BARRAS[[#This Row],[Barra]]&amp;"_"&amp;BARRAS[[#This Row],[Nivel de tensión]]</f>
        <v>DAMASCAL_110</v>
      </c>
    </row>
    <row r="897" spans="1:16">
      <c r="A897" t="s">
        <v>4792</v>
      </c>
      <c r="B897">
        <v>13</v>
      </c>
      <c r="C897">
        <v>64</v>
      </c>
      <c r="D897" t="s">
        <v>4793</v>
      </c>
      <c r="E897" t="s">
        <v>4794</v>
      </c>
      <c r="F897" t="s">
        <v>4795</v>
      </c>
      <c r="G897">
        <v>16301</v>
      </c>
      <c r="H897" t="s">
        <v>3396</v>
      </c>
      <c r="I897" t="s">
        <v>3391</v>
      </c>
      <c r="J897" t="s">
        <v>3392</v>
      </c>
      <c r="K897" t="s">
        <v>6315</v>
      </c>
      <c r="L897" t="s">
        <v>6778</v>
      </c>
      <c r="M897" t="s">
        <v>6779</v>
      </c>
      <c r="N897" t="s">
        <v>6792</v>
      </c>
      <c r="O897">
        <v>1</v>
      </c>
      <c r="P897" t="str">
        <f>+BARRAS[[#This Row],[Barra]]&amp;"_"&amp;BARRAS[[#This Row],[Nivel de tensión]]</f>
        <v>DEGAN_13</v>
      </c>
    </row>
    <row r="898" spans="1:16">
      <c r="A898" t="s">
        <v>4792</v>
      </c>
      <c r="B898">
        <v>110</v>
      </c>
      <c r="C898">
        <v>1</v>
      </c>
      <c r="D898" t="s">
        <v>3397</v>
      </c>
      <c r="E898" t="s">
        <v>4796</v>
      </c>
      <c r="F898" t="s">
        <v>3420</v>
      </c>
      <c r="G898">
        <v>16301</v>
      </c>
      <c r="H898" t="s">
        <v>3396</v>
      </c>
      <c r="I898" t="s">
        <v>3391</v>
      </c>
      <c r="J898" t="s">
        <v>3392</v>
      </c>
      <c r="K898" t="s">
        <v>6315</v>
      </c>
      <c r="L898" t="s">
        <v>6778</v>
      </c>
      <c r="M898" t="s">
        <v>6779</v>
      </c>
      <c r="N898" t="s">
        <v>6792</v>
      </c>
      <c r="O898">
        <v>1</v>
      </c>
      <c r="P898" t="str">
        <f>+BARRAS[[#This Row],[Barra]]&amp;"_"&amp;BARRAS[[#This Row],[Nivel de tensión]]</f>
        <v>DEGAN_110</v>
      </c>
    </row>
    <row r="899" spans="1:16">
      <c r="A899" t="s">
        <v>4797</v>
      </c>
      <c r="B899">
        <v>110</v>
      </c>
      <c r="C899">
        <v>2068</v>
      </c>
      <c r="D899" t="s">
        <v>4798</v>
      </c>
      <c r="E899" t="s">
        <v>3723</v>
      </c>
      <c r="F899" t="s">
        <v>4799</v>
      </c>
      <c r="G899">
        <v>16301</v>
      </c>
      <c r="H899" t="s">
        <v>3405</v>
      </c>
      <c r="I899" t="s">
        <v>3391</v>
      </c>
      <c r="J899" t="s">
        <v>3392</v>
      </c>
      <c r="K899" t="s">
        <v>6315</v>
      </c>
      <c r="L899" t="s">
        <v>6778</v>
      </c>
      <c r="M899" t="s">
        <v>6779</v>
      </c>
      <c r="N899" t="s">
        <v>6792</v>
      </c>
      <c r="O899">
        <v>1</v>
      </c>
      <c r="P899" t="str">
        <f>+BARRAS[[#This Row],[Barra]]&amp;"_"&amp;BARRAS[[#This Row],[Nivel de tensión]]</f>
        <v>DESALANT_110</v>
      </c>
    </row>
    <row r="900" spans="1:16">
      <c r="A900" t="s">
        <v>4800</v>
      </c>
      <c r="B900">
        <v>13</v>
      </c>
      <c r="C900">
        <v>2847</v>
      </c>
      <c r="D900" t="s">
        <v>3397</v>
      </c>
      <c r="E900" t="s">
        <v>4801</v>
      </c>
      <c r="F900" t="s">
        <v>4802</v>
      </c>
      <c r="G900">
        <v>16301</v>
      </c>
      <c r="H900" t="s">
        <v>3414</v>
      </c>
      <c r="I900" t="s">
        <v>3391</v>
      </c>
      <c r="J900" t="s">
        <v>3392</v>
      </c>
      <c r="K900" t="s">
        <v>3304</v>
      </c>
      <c r="L900" t="s">
        <v>6778</v>
      </c>
      <c r="M900" t="s">
        <v>6779</v>
      </c>
      <c r="N900" t="s">
        <v>6792</v>
      </c>
      <c r="O900">
        <v>1</v>
      </c>
      <c r="P900" t="str">
        <f>+BARRAS[[#This Row],[Barra]]&amp;"_"&amp;BARRAS[[#This Row],[Nivel de tensión]]</f>
        <v>DEUCO_13</v>
      </c>
    </row>
    <row r="901" spans="1:16">
      <c r="A901" t="s">
        <v>4800</v>
      </c>
      <c r="B901">
        <v>66</v>
      </c>
      <c r="C901">
        <v>1</v>
      </c>
      <c r="D901" t="s">
        <v>3397</v>
      </c>
      <c r="E901" t="s">
        <v>4803</v>
      </c>
      <c r="F901" t="s">
        <v>3420</v>
      </c>
      <c r="G901">
        <v>16301</v>
      </c>
      <c r="H901" t="s">
        <v>3414</v>
      </c>
      <c r="I901" t="s">
        <v>3391</v>
      </c>
      <c r="J901" t="s">
        <v>3392</v>
      </c>
      <c r="K901" t="s">
        <v>3304</v>
      </c>
      <c r="L901" t="s">
        <v>6778</v>
      </c>
      <c r="M901" t="s">
        <v>6779</v>
      </c>
      <c r="N901" t="s">
        <v>6792</v>
      </c>
      <c r="O901">
        <v>1</v>
      </c>
      <c r="P901" t="str">
        <f>+BARRAS[[#This Row],[Barra]]&amp;"_"&amp;BARRAS[[#This Row],[Nivel de tensión]]</f>
        <v>DEUCO_66</v>
      </c>
    </row>
    <row r="902" spans="1:16">
      <c r="A902" t="s">
        <v>4804</v>
      </c>
      <c r="B902">
        <v>66</v>
      </c>
      <c r="C902">
        <v>4006</v>
      </c>
      <c r="D902" t="s">
        <v>3397</v>
      </c>
      <c r="E902" t="s">
        <v>4805</v>
      </c>
      <c r="F902" t="s">
        <v>4806</v>
      </c>
      <c r="G902">
        <v>5102</v>
      </c>
      <c r="H902" t="s">
        <v>3418</v>
      </c>
      <c r="I902" t="s">
        <v>3391</v>
      </c>
      <c r="J902" t="s">
        <v>3458</v>
      </c>
      <c r="K902" t="s">
        <v>3302</v>
      </c>
      <c r="L902" t="s">
        <v>6778</v>
      </c>
      <c r="M902" t="s">
        <v>6779</v>
      </c>
      <c r="N902" t="s">
        <v>6792</v>
      </c>
      <c r="O902">
        <v>1</v>
      </c>
      <c r="P902" t="str">
        <f>+BARRAS[[#This Row],[Barra]]&amp;"_"&amp;BARRAS[[#This Row],[Nivel de tensión]]</f>
        <v>DICHAS_66</v>
      </c>
    </row>
    <row r="903" spans="1:16">
      <c r="A903" t="s">
        <v>4804</v>
      </c>
      <c r="B903">
        <v>220</v>
      </c>
      <c r="C903">
        <v>4004</v>
      </c>
      <c r="D903" t="s">
        <v>3397</v>
      </c>
      <c r="E903" t="s">
        <v>4805</v>
      </c>
      <c r="F903" t="s">
        <v>4806</v>
      </c>
      <c r="G903">
        <v>5102</v>
      </c>
      <c r="H903" t="s">
        <v>3418</v>
      </c>
      <c r="I903" t="s">
        <v>3391</v>
      </c>
      <c r="J903" t="s">
        <v>3458</v>
      </c>
      <c r="K903" t="s">
        <v>3302</v>
      </c>
      <c r="L903" t="s">
        <v>6778</v>
      </c>
      <c r="M903" t="s">
        <v>6779</v>
      </c>
      <c r="N903" t="s">
        <v>6792</v>
      </c>
      <c r="O903">
        <v>1</v>
      </c>
      <c r="P903" t="str">
        <f>+BARRAS[[#This Row],[Barra]]&amp;"_"&amp;BARRAS[[#This Row],[Nivel de tensión]]</f>
        <v>DICHAS_220</v>
      </c>
    </row>
    <row r="904" spans="1:16">
      <c r="A904" t="s">
        <v>4807</v>
      </c>
      <c r="B904">
        <v>66</v>
      </c>
      <c r="C904">
        <v>1</v>
      </c>
      <c r="D904" t="s">
        <v>3397</v>
      </c>
      <c r="E904" t="s">
        <v>3419</v>
      </c>
      <c r="F904" t="s">
        <v>3420</v>
      </c>
      <c r="G904">
        <v>16301</v>
      </c>
      <c r="H904" t="s">
        <v>3414</v>
      </c>
      <c r="I904" t="s">
        <v>3391</v>
      </c>
      <c r="J904" t="s">
        <v>3392</v>
      </c>
      <c r="K904" t="s">
        <v>3304</v>
      </c>
      <c r="L904" t="s">
        <v>6778</v>
      </c>
      <c r="M904" t="s">
        <v>6779</v>
      </c>
      <c r="N904" t="s">
        <v>6792</v>
      </c>
      <c r="O904">
        <v>1</v>
      </c>
      <c r="P904" t="str">
        <f>+BARRAS[[#This Row],[Barra]]&amp;"_"&amp;BARRAS[[#This Row],[Nivel de tensión]]</f>
        <v>DOLE_66</v>
      </c>
    </row>
    <row r="905" spans="1:16">
      <c r="A905" t="s">
        <v>4808</v>
      </c>
      <c r="B905">
        <v>220</v>
      </c>
      <c r="C905">
        <v>2070</v>
      </c>
      <c r="D905" t="s">
        <v>3402</v>
      </c>
      <c r="E905" t="s">
        <v>4809</v>
      </c>
      <c r="F905" t="s">
        <v>4810</v>
      </c>
      <c r="G905">
        <v>16301</v>
      </c>
      <c r="H905" t="s">
        <v>3396</v>
      </c>
      <c r="I905" t="s">
        <v>3391</v>
      </c>
      <c r="J905" t="s">
        <v>3392</v>
      </c>
      <c r="K905" t="s">
        <v>6315</v>
      </c>
      <c r="L905" t="s">
        <v>6778</v>
      </c>
      <c r="M905" t="s">
        <v>6779</v>
      </c>
      <c r="N905" t="s">
        <v>6792</v>
      </c>
      <c r="O905">
        <v>1</v>
      </c>
      <c r="P905" t="str">
        <f>+BARRAS[[#This Row],[Barra]]&amp;"_"&amp;BARRAS[[#This Row],[Nivel de tensión]]</f>
        <v>DOMEYKO_220</v>
      </c>
    </row>
    <row r="906" spans="1:16">
      <c r="A906" t="s">
        <v>4811</v>
      </c>
      <c r="B906">
        <v>220</v>
      </c>
      <c r="C906">
        <v>1</v>
      </c>
      <c r="D906" t="s">
        <v>3397</v>
      </c>
      <c r="E906" t="s">
        <v>4812</v>
      </c>
      <c r="F906" t="s">
        <v>3420</v>
      </c>
      <c r="G906">
        <v>16301</v>
      </c>
      <c r="H906" t="s">
        <v>3409</v>
      </c>
      <c r="I906" t="s">
        <v>3391</v>
      </c>
      <c r="J906" t="s">
        <v>3392</v>
      </c>
      <c r="K906" t="s">
        <v>6315</v>
      </c>
      <c r="L906" t="s">
        <v>6778</v>
      </c>
      <c r="M906" t="s">
        <v>6779</v>
      </c>
      <c r="N906" t="s">
        <v>6792</v>
      </c>
      <c r="O906">
        <v>1</v>
      </c>
      <c r="P906" t="str">
        <f>+BARRAS[[#This Row],[Barra]]&amp;"_"&amp;BARRAS[[#This Row],[Nivel de tensión]]</f>
        <v>DON_GOYO_220</v>
      </c>
    </row>
    <row r="907" spans="1:16">
      <c r="A907" t="s">
        <v>4813</v>
      </c>
      <c r="B907">
        <v>220</v>
      </c>
      <c r="C907">
        <v>1</v>
      </c>
      <c r="D907" t="s">
        <v>3397</v>
      </c>
      <c r="E907" t="s">
        <v>4814</v>
      </c>
      <c r="F907" t="s">
        <v>3420</v>
      </c>
      <c r="G907">
        <v>16301</v>
      </c>
      <c r="H907" t="s">
        <v>3409</v>
      </c>
      <c r="I907" t="s">
        <v>3391</v>
      </c>
      <c r="J907" t="s">
        <v>3392</v>
      </c>
      <c r="K907" t="s">
        <v>6315</v>
      </c>
      <c r="L907" t="s">
        <v>6778</v>
      </c>
      <c r="M907" t="s">
        <v>6779</v>
      </c>
      <c r="N907" t="s">
        <v>6792</v>
      </c>
      <c r="O907">
        <v>1</v>
      </c>
      <c r="P907" t="str">
        <f>+BARRAS[[#This Row],[Barra]]&amp;"_"&amp;BARRAS[[#This Row],[Nivel de tensión]]</f>
        <v>DON_HECTOR_220</v>
      </c>
    </row>
    <row r="908" spans="1:16">
      <c r="A908" t="s">
        <v>4815</v>
      </c>
      <c r="B908">
        <v>220</v>
      </c>
      <c r="C908">
        <v>1</v>
      </c>
      <c r="D908" t="s">
        <v>3397</v>
      </c>
      <c r="E908" t="s">
        <v>4816</v>
      </c>
      <c r="F908" t="s">
        <v>3420</v>
      </c>
      <c r="G908">
        <v>16301</v>
      </c>
      <c r="H908" t="s">
        <v>3409</v>
      </c>
      <c r="I908" t="s">
        <v>3391</v>
      </c>
      <c r="J908" t="s">
        <v>3392</v>
      </c>
      <c r="K908" t="s">
        <v>6315</v>
      </c>
      <c r="L908" t="s">
        <v>6778</v>
      </c>
      <c r="M908" t="s">
        <v>6779</v>
      </c>
      <c r="N908" t="s">
        <v>6792</v>
      </c>
      <c r="O908">
        <v>1</v>
      </c>
      <c r="P908" t="str">
        <f>+BARRAS[[#This Row],[Barra]]&amp;"_"&amp;BARRAS[[#This Row],[Nivel de tensión]]</f>
        <v>DONA_CARMEN_220</v>
      </c>
    </row>
    <row r="909" spans="1:16">
      <c r="A909" t="s">
        <v>4817</v>
      </c>
      <c r="B909">
        <v>33</v>
      </c>
      <c r="C909">
        <v>4294</v>
      </c>
      <c r="D909" t="s">
        <v>3397</v>
      </c>
      <c r="E909" t="s">
        <v>4818</v>
      </c>
      <c r="F909" t="s">
        <v>4819</v>
      </c>
      <c r="G909">
        <v>13303</v>
      </c>
      <c r="H909" t="s">
        <v>3405</v>
      </c>
      <c r="I909" t="s">
        <v>3391</v>
      </c>
      <c r="J909" t="s">
        <v>6317</v>
      </c>
      <c r="K909" t="s">
        <v>6315</v>
      </c>
      <c r="L909" t="s">
        <v>6778</v>
      </c>
      <c r="M909" t="s">
        <v>6779</v>
      </c>
      <c r="N909" t="s">
        <v>6792</v>
      </c>
      <c r="O909">
        <v>1</v>
      </c>
      <c r="P909" t="str">
        <f>+BARRAS[[#This Row],[Barra]]&amp;"_"&amp;BARRAS[[#This Row],[Nivel de tensión]]</f>
        <v>DONHUMBERTO_33</v>
      </c>
    </row>
    <row r="910" spans="1:16">
      <c r="A910" t="s">
        <v>4817</v>
      </c>
      <c r="B910">
        <v>110</v>
      </c>
      <c r="C910">
        <v>4293</v>
      </c>
      <c r="D910" t="s">
        <v>3397</v>
      </c>
      <c r="E910" t="s">
        <v>4820</v>
      </c>
      <c r="F910" t="s">
        <v>4819</v>
      </c>
      <c r="G910">
        <v>13303</v>
      </c>
      <c r="H910" t="s">
        <v>3405</v>
      </c>
      <c r="I910" t="s">
        <v>3391</v>
      </c>
      <c r="J910" t="s">
        <v>6317</v>
      </c>
      <c r="K910" t="s">
        <v>6315</v>
      </c>
      <c r="L910" t="s">
        <v>6778</v>
      </c>
      <c r="M910" t="s">
        <v>6779</v>
      </c>
      <c r="N910" t="s">
        <v>6792</v>
      </c>
      <c r="O910">
        <v>1</v>
      </c>
      <c r="P910" t="str">
        <f>+BARRAS[[#This Row],[Barra]]&amp;"_"&amp;BARRAS[[#This Row],[Nivel de tensión]]</f>
        <v>DONHUMBERTO_110</v>
      </c>
    </row>
    <row r="911" spans="1:16">
      <c r="A911" t="s">
        <v>432</v>
      </c>
      <c r="B911">
        <v>23</v>
      </c>
      <c r="C911">
        <v>227</v>
      </c>
      <c r="D911" t="s">
        <v>4875</v>
      </c>
      <c r="E911" t="s">
        <v>4876</v>
      </c>
      <c r="F911" t="s">
        <v>4877</v>
      </c>
      <c r="G911">
        <v>16301</v>
      </c>
      <c r="H911" t="s">
        <v>3414</v>
      </c>
      <c r="I911" t="s">
        <v>3391</v>
      </c>
      <c r="J911" t="s">
        <v>3392</v>
      </c>
      <c r="K911" t="s">
        <v>3304</v>
      </c>
      <c r="L911" t="s">
        <v>6778</v>
      </c>
      <c r="M911" t="s">
        <v>6779</v>
      </c>
      <c r="N911" t="s">
        <v>6792</v>
      </c>
      <c r="O911">
        <v>1</v>
      </c>
      <c r="P911" t="str">
        <f>+BARRAS[[#This Row],[Barra]]&amp;"_"&amp;BARRAS[[#This Row],[Nivel de tensión]]</f>
        <v>ELAVELLANO_23</v>
      </c>
    </row>
    <row r="912" spans="1:16">
      <c r="A912" t="s">
        <v>432</v>
      </c>
      <c r="B912">
        <v>66</v>
      </c>
      <c r="C912">
        <v>1</v>
      </c>
      <c r="D912" t="s">
        <v>3397</v>
      </c>
      <c r="E912" t="s">
        <v>4878</v>
      </c>
      <c r="F912" t="s">
        <v>3420</v>
      </c>
      <c r="G912">
        <v>16301</v>
      </c>
      <c r="H912" t="s">
        <v>3414</v>
      </c>
      <c r="I912" t="s">
        <v>3391</v>
      </c>
      <c r="J912" t="s">
        <v>3392</v>
      </c>
      <c r="K912" t="s">
        <v>3304</v>
      </c>
      <c r="L912" t="s">
        <v>6778</v>
      </c>
      <c r="M912" t="s">
        <v>6779</v>
      </c>
      <c r="N912" t="s">
        <v>6792</v>
      </c>
      <c r="O912">
        <v>1</v>
      </c>
      <c r="P912" t="str">
        <f>+BARRAS[[#This Row],[Barra]]&amp;"_"&amp;BARRAS[[#This Row],[Nivel de tensión]]</f>
        <v>ELAVELLANO_66</v>
      </c>
    </row>
    <row r="913" spans="1:16">
      <c r="A913" t="s">
        <v>435</v>
      </c>
      <c r="B913">
        <v>220</v>
      </c>
      <c r="C913">
        <v>2075</v>
      </c>
      <c r="D913" t="s">
        <v>4879</v>
      </c>
      <c r="E913" t="s">
        <v>4880</v>
      </c>
      <c r="F913" t="s">
        <v>4881</v>
      </c>
      <c r="G913">
        <v>16301</v>
      </c>
      <c r="H913" t="s">
        <v>3405</v>
      </c>
      <c r="I913" t="s">
        <v>3391</v>
      </c>
      <c r="J913" t="s">
        <v>3392</v>
      </c>
      <c r="K913" t="s">
        <v>6315</v>
      </c>
      <c r="L913" t="s">
        <v>6778</v>
      </c>
      <c r="M913" t="s">
        <v>6779</v>
      </c>
      <c r="N913" t="s">
        <v>6792</v>
      </c>
      <c r="O913">
        <v>1</v>
      </c>
      <c r="P913" t="str">
        <f>+BARRAS[[#This Row],[Barra]]&amp;"_"&amp;BARRAS[[#This Row],[Nivel de tensión]]</f>
        <v>ELCOBRE_220</v>
      </c>
    </row>
    <row r="914" spans="1:16">
      <c r="A914" t="s">
        <v>4882</v>
      </c>
      <c r="B914">
        <v>23</v>
      </c>
      <c r="C914">
        <v>3647</v>
      </c>
      <c r="D914" t="s">
        <v>3397</v>
      </c>
      <c r="E914" t="s">
        <v>4883</v>
      </c>
      <c r="F914" t="s">
        <v>4884</v>
      </c>
      <c r="G914">
        <v>14101</v>
      </c>
      <c r="H914" t="s">
        <v>3409</v>
      </c>
      <c r="I914" t="s">
        <v>3391</v>
      </c>
      <c r="J914" t="s">
        <v>6403</v>
      </c>
      <c r="K914" t="s">
        <v>6315</v>
      </c>
      <c r="L914" t="s">
        <v>6778</v>
      </c>
      <c r="M914" t="s">
        <v>6779</v>
      </c>
      <c r="N914" t="s">
        <v>6792</v>
      </c>
      <c r="O914">
        <v>1</v>
      </c>
      <c r="P914" t="str">
        <f>+BARRAS[[#This Row],[Barra]]&amp;"_"&amp;BARRAS[[#This Row],[Nivel de tensión]]</f>
        <v>ELLAUREL_23</v>
      </c>
    </row>
    <row r="915" spans="1:16">
      <c r="A915" t="s">
        <v>4882</v>
      </c>
      <c r="B915">
        <v>220</v>
      </c>
      <c r="C915">
        <v>1</v>
      </c>
      <c r="D915" t="s">
        <v>3397</v>
      </c>
      <c r="E915" t="s">
        <v>3419</v>
      </c>
      <c r="F915" t="s">
        <v>3420</v>
      </c>
      <c r="G915">
        <v>16301</v>
      </c>
      <c r="H915" t="s">
        <v>3409</v>
      </c>
      <c r="I915" t="s">
        <v>3391</v>
      </c>
      <c r="J915" t="s">
        <v>3392</v>
      </c>
      <c r="K915" t="s">
        <v>6315</v>
      </c>
      <c r="L915" t="s">
        <v>6778</v>
      </c>
      <c r="M915" t="s">
        <v>6779</v>
      </c>
      <c r="N915" t="s">
        <v>6792</v>
      </c>
      <c r="O915">
        <v>1</v>
      </c>
      <c r="P915" t="str">
        <f>+BARRAS[[#This Row],[Barra]]&amp;"_"&amp;BARRAS[[#This Row],[Nivel de tensión]]</f>
        <v>ELLAUREL_220</v>
      </c>
    </row>
    <row r="916" spans="1:16">
      <c r="A916" t="s">
        <v>438</v>
      </c>
      <c r="B916">
        <v>13</v>
      </c>
      <c r="C916">
        <v>568</v>
      </c>
      <c r="D916" t="s">
        <v>3436</v>
      </c>
      <c r="E916" t="s">
        <v>3437</v>
      </c>
      <c r="F916" t="s">
        <v>3438</v>
      </c>
      <c r="G916">
        <v>16301</v>
      </c>
      <c r="H916" t="s">
        <v>3414</v>
      </c>
      <c r="I916" t="s">
        <v>3391</v>
      </c>
      <c r="J916" t="s">
        <v>3392</v>
      </c>
      <c r="K916" t="s">
        <v>3304</v>
      </c>
      <c r="L916" t="s">
        <v>6778</v>
      </c>
      <c r="M916" t="s">
        <v>6779</v>
      </c>
      <c r="N916" t="s">
        <v>6792</v>
      </c>
      <c r="O916">
        <v>1</v>
      </c>
      <c r="P916" t="str">
        <f>+BARRAS[[#This Row],[Barra]]&amp;"_"&amp;BARRAS[[#This Row],[Nivel de tensión]]</f>
        <v>ELMAITEN_13</v>
      </c>
    </row>
    <row r="917" spans="1:16">
      <c r="A917" t="s">
        <v>438</v>
      </c>
      <c r="B917">
        <v>66</v>
      </c>
      <c r="C917">
        <v>1</v>
      </c>
      <c r="D917" t="s">
        <v>3397</v>
      </c>
      <c r="E917" t="s">
        <v>4885</v>
      </c>
      <c r="F917" t="s">
        <v>3420</v>
      </c>
      <c r="G917">
        <v>16301</v>
      </c>
      <c r="H917" t="s">
        <v>3414</v>
      </c>
      <c r="I917" t="s">
        <v>3391</v>
      </c>
      <c r="J917" t="s">
        <v>3392</v>
      </c>
      <c r="K917" t="s">
        <v>3304</v>
      </c>
      <c r="L917" t="s">
        <v>6778</v>
      </c>
      <c r="M917" t="s">
        <v>6779</v>
      </c>
      <c r="N917" t="s">
        <v>6792</v>
      </c>
      <c r="O917">
        <v>1</v>
      </c>
      <c r="P917" t="str">
        <f>+BARRAS[[#This Row],[Barra]]&amp;"_"&amp;BARRAS[[#This Row],[Nivel de tensión]]</f>
        <v>ELMAITEN_66</v>
      </c>
    </row>
    <row r="918" spans="1:16">
      <c r="A918" t="s">
        <v>441</v>
      </c>
      <c r="B918">
        <v>15</v>
      </c>
      <c r="C918">
        <v>207</v>
      </c>
      <c r="D918" t="s">
        <v>4886</v>
      </c>
      <c r="E918" t="s">
        <v>4887</v>
      </c>
      <c r="F918" t="s">
        <v>4888</v>
      </c>
      <c r="G918">
        <v>16301</v>
      </c>
      <c r="H918" t="s">
        <v>3414</v>
      </c>
      <c r="I918" t="s">
        <v>3391</v>
      </c>
      <c r="J918" t="s">
        <v>3392</v>
      </c>
      <c r="K918" t="s">
        <v>3304</v>
      </c>
      <c r="L918" t="s">
        <v>6778</v>
      </c>
      <c r="M918" t="s">
        <v>6779</v>
      </c>
      <c r="N918" t="s">
        <v>6792</v>
      </c>
      <c r="O918">
        <v>1</v>
      </c>
      <c r="P918" t="str">
        <f>+BARRAS[[#This Row],[Barra]]&amp;"_"&amp;BARRAS[[#This Row],[Nivel de tensión]]</f>
        <v>ELMANZANO_15</v>
      </c>
    </row>
    <row r="919" spans="1:16">
      <c r="A919" t="s">
        <v>441</v>
      </c>
      <c r="B919">
        <v>66</v>
      </c>
      <c r="C919">
        <v>1</v>
      </c>
      <c r="D919" t="s">
        <v>3397</v>
      </c>
      <c r="E919" t="s">
        <v>4889</v>
      </c>
      <c r="F919" t="s">
        <v>3420</v>
      </c>
      <c r="G919">
        <v>16301</v>
      </c>
      <c r="H919" t="s">
        <v>3414</v>
      </c>
      <c r="I919" t="s">
        <v>3391</v>
      </c>
      <c r="J919" t="s">
        <v>3392</v>
      </c>
      <c r="K919" t="s">
        <v>3304</v>
      </c>
      <c r="L919" t="s">
        <v>6778</v>
      </c>
      <c r="M919" t="s">
        <v>6779</v>
      </c>
      <c r="N919" t="s">
        <v>6792</v>
      </c>
      <c r="O919">
        <v>1</v>
      </c>
      <c r="P919" t="str">
        <f>+BARRAS[[#This Row],[Barra]]&amp;"_"&amp;BARRAS[[#This Row],[Nivel de tensión]]</f>
        <v>ELMANZANO_66</v>
      </c>
    </row>
    <row r="920" spans="1:16">
      <c r="A920" t="s">
        <v>444</v>
      </c>
      <c r="B920">
        <v>13</v>
      </c>
      <c r="C920">
        <v>571</v>
      </c>
      <c r="D920" t="s">
        <v>4890</v>
      </c>
      <c r="E920" t="s">
        <v>4891</v>
      </c>
      <c r="F920" t="s">
        <v>4892</v>
      </c>
      <c r="G920">
        <v>16301</v>
      </c>
      <c r="H920" t="s">
        <v>3414</v>
      </c>
      <c r="I920" t="s">
        <v>3391</v>
      </c>
      <c r="J920" t="s">
        <v>3392</v>
      </c>
      <c r="K920" t="s">
        <v>3304</v>
      </c>
      <c r="L920" t="s">
        <v>6778</v>
      </c>
      <c r="M920" t="s">
        <v>6779</v>
      </c>
      <c r="N920" t="s">
        <v>6792</v>
      </c>
      <c r="O920">
        <v>1</v>
      </c>
      <c r="P920" t="str">
        <f>+BARRAS[[#This Row],[Barra]]&amp;"_"&amp;BARRAS[[#This Row],[Nivel de tensión]]</f>
        <v>ELMONTE_13</v>
      </c>
    </row>
    <row r="921" spans="1:16">
      <c r="A921" t="s">
        <v>444</v>
      </c>
      <c r="B921">
        <v>66</v>
      </c>
      <c r="C921">
        <v>1</v>
      </c>
      <c r="D921" t="s">
        <v>3397</v>
      </c>
      <c r="E921" t="s">
        <v>4893</v>
      </c>
      <c r="F921" t="s">
        <v>3420</v>
      </c>
      <c r="G921">
        <v>16301</v>
      </c>
      <c r="H921" t="s">
        <v>3414</v>
      </c>
      <c r="I921" t="s">
        <v>3391</v>
      </c>
      <c r="J921" t="s">
        <v>3392</v>
      </c>
      <c r="K921" t="s">
        <v>3304</v>
      </c>
      <c r="L921" t="s">
        <v>6778</v>
      </c>
      <c r="M921" t="s">
        <v>6779</v>
      </c>
      <c r="N921" t="s">
        <v>6792</v>
      </c>
      <c r="O921">
        <v>1</v>
      </c>
      <c r="P921" t="str">
        <f>+BARRAS[[#This Row],[Barra]]&amp;"_"&amp;BARRAS[[#This Row],[Nivel de tensión]]</f>
        <v>ELMONTE_66</v>
      </c>
    </row>
    <row r="922" spans="1:16">
      <c r="A922" t="s">
        <v>447</v>
      </c>
      <c r="B922">
        <v>13</v>
      </c>
      <c r="C922">
        <v>572</v>
      </c>
      <c r="D922" t="s">
        <v>4894</v>
      </c>
      <c r="E922" t="s">
        <v>4895</v>
      </c>
      <c r="F922" t="s">
        <v>4896</v>
      </c>
      <c r="G922">
        <v>16301</v>
      </c>
      <c r="H922" t="s">
        <v>3414</v>
      </c>
      <c r="I922" t="s">
        <v>3391</v>
      </c>
      <c r="J922" t="s">
        <v>3392</v>
      </c>
      <c r="K922" t="s">
        <v>3304</v>
      </c>
      <c r="L922" t="s">
        <v>6778</v>
      </c>
      <c r="M922" t="s">
        <v>6779</v>
      </c>
      <c r="N922" t="s">
        <v>6792</v>
      </c>
      <c r="O922">
        <v>1</v>
      </c>
      <c r="P922" t="str">
        <f>+BARRAS[[#This Row],[Barra]]&amp;"_"&amp;BARRAS[[#This Row],[Nivel de tensión]]</f>
        <v>ELPAICO_13</v>
      </c>
    </row>
    <row r="923" spans="1:16">
      <c r="A923" t="s">
        <v>447</v>
      </c>
      <c r="B923">
        <v>66</v>
      </c>
      <c r="C923">
        <v>1</v>
      </c>
      <c r="D923" t="s">
        <v>3397</v>
      </c>
      <c r="E923" t="s">
        <v>4897</v>
      </c>
      <c r="F923" t="s">
        <v>3420</v>
      </c>
      <c r="G923">
        <v>16301</v>
      </c>
      <c r="H923" t="s">
        <v>3414</v>
      </c>
      <c r="I923" t="s">
        <v>3391</v>
      </c>
      <c r="J923" t="s">
        <v>3392</v>
      </c>
      <c r="K923" t="s">
        <v>3304</v>
      </c>
      <c r="L923" t="s">
        <v>6778</v>
      </c>
      <c r="M923" t="s">
        <v>6779</v>
      </c>
      <c r="N923" t="s">
        <v>6792</v>
      </c>
      <c r="O923">
        <v>1</v>
      </c>
      <c r="P923" t="str">
        <f>+BARRAS[[#This Row],[Barra]]&amp;"_"&amp;BARRAS[[#This Row],[Nivel de tensión]]</f>
        <v>ELPAICO_66</v>
      </c>
    </row>
    <row r="924" spans="1:16">
      <c r="A924" t="s">
        <v>450</v>
      </c>
      <c r="B924">
        <v>23</v>
      </c>
      <c r="C924">
        <v>574</v>
      </c>
      <c r="D924" t="s">
        <v>4898</v>
      </c>
      <c r="E924" t="s">
        <v>4899</v>
      </c>
      <c r="F924" t="s">
        <v>4900</v>
      </c>
      <c r="G924">
        <v>16301</v>
      </c>
      <c r="H924" t="s">
        <v>3414</v>
      </c>
      <c r="I924" t="s">
        <v>3391</v>
      </c>
      <c r="J924" t="s">
        <v>3392</v>
      </c>
      <c r="K924" t="s">
        <v>3304</v>
      </c>
      <c r="L924" t="s">
        <v>6778</v>
      </c>
      <c r="M924" t="s">
        <v>6779</v>
      </c>
      <c r="N924" t="s">
        <v>6792</v>
      </c>
      <c r="O924">
        <v>1</v>
      </c>
      <c r="P924" t="str">
        <f>+BARRAS[[#This Row],[Barra]]&amp;"_"&amp;BARRAS[[#This Row],[Nivel de tensión]]</f>
        <v>ELPEUMO_23</v>
      </c>
    </row>
    <row r="925" spans="1:16">
      <c r="A925" t="s">
        <v>450</v>
      </c>
      <c r="B925">
        <v>66</v>
      </c>
      <c r="C925">
        <v>1</v>
      </c>
      <c r="D925" t="s">
        <v>3397</v>
      </c>
      <c r="E925" t="s">
        <v>4901</v>
      </c>
      <c r="F925" t="s">
        <v>3420</v>
      </c>
      <c r="G925">
        <v>16301</v>
      </c>
      <c r="H925" t="s">
        <v>3414</v>
      </c>
      <c r="I925" t="s">
        <v>3391</v>
      </c>
      <c r="J925" t="s">
        <v>3392</v>
      </c>
      <c r="K925" t="s">
        <v>3304</v>
      </c>
      <c r="L925" t="s">
        <v>6778</v>
      </c>
      <c r="M925" t="s">
        <v>6779</v>
      </c>
      <c r="N925" t="s">
        <v>6792</v>
      </c>
      <c r="O925">
        <v>1</v>
      </c>
      <c r="P925" t="str">
        <f>+BARRAS[[#This Row],[Barra]]&amp;"_"&amp;BARRAS[[#This Row],[Nivel de tensión]]</f>
        <v>ELPEUMO_66</v>
      </c>
    </row>
    <row r="926" spans="1:16">
      <c r="A926" t="s">
        <v>453</v>
      </c>
      <c r="B926">
        <v>23</v>
      </c>
      <c r="C926">
        <v>488</v>
      </c>
      <c r="D926" t="s">
        <v>4902</v>
      </c>
      <c r="E926" t="s">
        <v>4903</v>
      </c>
      <c r="F926" t="s">
        <v>4904</v>
      </c>
      <c r="G926">
        <v>16301</v>
      </c>
      <c r="H926" t="s">
        <v>3400</v>
      </c>
      <c r="I926" t="s">
        <v>3391</v>
      </c>
      <c r="J926" t="s">
        <v>3392</v>
      </c>
      <c r="K926" t="s">
        <v>3301</v>
      </c>
      <c r="L926" t="s">
        <v>6778</v>
      </c>
      <c r="M926" t="s">
        <v>6779</v>
      </c>
      <c r="N926" t="s">
        <v>6792</v>
      </c>
      <c r="O926">
        <v>1</v>
      </c>
      <c r="P926" t="str">
        <f>+BARRAS[[#This Row],[Barra]]&amp;"_"&amp;BARRAS[[#This Row],[Nivel de tensión]]</f>
        <v>ELSALADO_23</v>
      </c>
    </row>
    <row r="927" spans="1:16">
      <c r="A927" t="s">
        <v>453</v>
      </c>
      <c r="B927">
        <v>110</v>
      </c>
      <c r="C927">
        <v>1</v>
      </c>
      <c r="D927" t="s">
        <v>3397</v>
      </c>
      <c r="E927" t="s">
        <v>4905</v>
      </c>
      <c r="F927" t="s">
        <v>3420</v>
      </c>
      <c r="G927">
        <v>16301</v>
      </c>
      <c r="H927" t="s">
        <v>3400</v>
      </c>
      <c r="I927" t="s">
        <v>3391</v>
      </c>
      <c r="J927" t="s">
        <v>3392</v>
      </c>
      <c r="K927" t="s">
        <v>3301</v>
      </c>
      <c r="L927" t="s">
        <v>6778</v>
      </c>
      <c r="M927" t="s">
        <v>6779</v>
      </c>
      <c r="N927" t="s">
        <v>6792</v>
      </c>
      <c r="O927">
        <v>1</v>
      </c>
      <c r="P927" t="str">
        <f>+BARRAS[[#This Row],[Barra]]&amp;"_"&amp;BARRAS[[#This Row],[Nivel de tensión]]</f>
        <v>ELSALADO_110</v>
      </c>
    </row>
    <row r="928" spans="1:16">
      <c r="A928" t="s">
        <v>456</v>
      </c>
      <c r="B928">
        <v>12</v>
      </c>
      <c r="C928">
        <v>1</v>
      </c>
      <c r="D928" t="s">
        <v>3397</v>
      </c>
      <c r="E928" t="s">
        <v>3419</v>
      </c>
      <c r="F928" t="s">
        <v>3420</v>
      </c>
      <c r="G928">
        <v>16301</v>
      </c>
      <c r="H928" t="s">
        <v>3405</v>
      </c>
      <c r="I928" t="s">
        <v>3391</v>
      </c>
      <c r="J928" t="s">
        <v>3392</v>
      </c>
      <c r="K928" t="s">
        <v>6315</v>
      </c>
      <c r="L928" t="s">
        <v>6778</v>
      </c>
      <c r="M928" t="s">
        <v>6779</v>
      </c>
      <c r="N928" t="s">
        <v>6792</v>
      </c>
      <c r="O928">
        <v>1</v>
      </c>
      <c r="P928" t="str">
        <f>+BARRAS[[#This Row],[Barra]]&amp;"_"&amp;BARRAS[[#This Row],[Nivel de tensión]]</f>
        <v>ELSALVADOR_12</v>
      </c>
    </row>
    <row r="929" spans="1:16">
      <c r="A929" t="s">
        <v>456</v>
      </c>
      <c r="B929">
        <v>110</v>
      </c>
      <c r="C929">
        <v>1</v>
      </c>
      <c r="D929" t="s">
        <v>3397</v>
      </c>
      <c r="E929" t="s">
        <v>4906</v>
      </c>
      <c r="F929" t="s">
        <v>3420</v>
      </c>
      <c r="G929">
        <v>16301</v>
      </c>
      <c r="H929" t="s">
        <v>3405</v>
      </c>
      <c r="I929" t="s">
        <v>3391</v>
      </c>
      <c r="J929" t="s">
        <v>3392</v>
      </c>
      <c r="K929" t="s">
        <v>6315</v>
      </c>
      <c r="L929" t="s">
        <v>6778</v>
      </c>
      <c r="M929" t="s">
        <v>6779</v>
      </c>
      <c r="N929" t="s">
        <v>6792</v>
      </c>
      <c r="O929">
        <v>1</v>
      </c>
      <c r="P929" t="str">
        <f>+BARRAS[[#This Row],[Barra]]&amp;"_"&amp;BARRAS[[#This Row],[Nivel de tensión]]</f>
        <v>ELSALVADOR_110</v>
      </c>
    </row>
    <row r="930" spans="1:16">
      <c r="A930" t="s">
        <v>4907</v>
      </c>
      <c r="B930">
        <v>110</v>
      </c>
      <c r="C930">
        <v>1</v>
      </c>
      <c r="D930" t="s">
        <v>3397</v>
      </c>
      <c r="E930" t="s">
        <v>3419</v>
      </c>
      <c r="F930" t="s">
        <v>3420</v>
      </c>
      <c r="G930">
        <v>16301</v>
      </c>
      <c r="H930" t="s">
        <v>3405</v>
      </c>
      <c r="I930" t="s">
        <v>3391</v>
      </c>
      <c r="J930" t="s">
        <v>3392</v>
      </c>
      <c r="K930" t="s">
        <v>6315</v>
      </c>
      <c r="L930" t="s">
        <v>6778</v>
      </c>
      <c r="M930" t="s">
        <v>6779</v>
      </c>
      <c r="N930" t="s">
        <v>6792</v>
      </c>
      <c r="O930">
        <v>1</v>
      </c>
      <c r="P930" t="str">
        <f>+BARRAS[[#This Row],[Barra]]&amp;"_"&amp;BARRAS[[#This Row],[Nivel de tensión]]</f>
        <v>ELVCAPRI_110</v>
      </c>
    </row>
    <row r="931" spans="1:16">
      <c r="A931" t="s">
        <v>4908</v>
      </c>
      <c r="B931">
        <v>13</v>
      </c>
      <c r="C931">
        <v>415</v>
      </c>
      <c r="D931" t="s">
        <v>4909</v>
      </c>
      <c r="E931" t="s">
        <v>4910</v>
      </c>
      <c r="F931" t="s">
        <v>4911</v>
      </c>
      <c r="G931">
        <v>16301</v>
      </c>
      <c r="H931" t="s">
        <v>3390</v>
      </c>
      <c r="I931" t="s">
        <v>3391</v>
      </c>
      <c r="J931" t="s">
        <v>3392</v>
      </c>
      <c r="K931" t="s">
        <v>3305</v>
      </c>
      <c r="L931" t="s">
        <v>6778</v>
      </c>
      <c r="M931" t="s">
        <v>6779</v>
      </c>
      <c r="N931" t="s">
        <v>6792</v>
      </c>
      <c r="O931">
        <v>1</v>
      </c>
      <c r="P931" t="str">
        <f>+BARRAS[[#This Row],[Barra]]&amp;"_"&amp;BARRAS[[#This Row],[Nivel de tensión]]</f>
        <v>EMPALME_13</v>
      </c>
    </row>
    <row r="932" spans="1:16">
      <c r="A932" t="s">
        <v>4908</v>
      </c>
      <c r="B932">
        <v>110</v>
      </c>
      <c r="C932">
        <v>1</v>
      </c>
      <c r="D932" t="s">
        <v>3397</v>
      </c>
      <c r="E932" t="s">
        <v>4912</v>
      </c>
      <c r="F932" t="s">
        <v>3420</v>
      </c>
      <c r="G932">
        <v>16301</v>
      </c>
      <c r="H932" t="s">
        <v>3390</v>
      </c>
      <c r="I932" t="s">
        <v>3391</v>
      </c>
      <c r="J932" t="s">
        <v>3392</v>
      </c>
      <c r="K932" t="s">
        <v>3305</v>
      </c>
      <c r="L932" t="s">
        <v>6778</v>
      </c>
      <c r="M932" t="s">
        <v>6779</v>
      </c>
      <c r="N932" t="s">
        <v>6792</v>
      </c>
      <c r="O932">
        <v>1</v>
      </c>
      <c r="P932" t="str">
        <f>+BARRAS[[#This Row],[Barra]]&amp;"_"&amp;BARRAS[[#This Row],[Nivel de tensión]]</f>
        <v>EMPALME_110</v>
      </c>
    </row>
    <row r="933" spans="1:16">
      <c r="A933" t="s">
        <v>4913</v>
      </c>
      <c r="B933">
        <v>66</v>
      </c>
      <c r="C933">
        <v>1</v>
      </c>
      <c r="D933" t="s">
        <v>3397</v>
      </c>
      <c r="E933" t="s">
        <v>4914</v>
      </c>
      <c r="F933" t="s">
        <v>3420</v>
      </c>
      <c r="G933">
        <v>16301</v>
      </c>
      <c r="H933" t="s">
        <v>3414</v>
      </c>
      <c r="I933" t="s">
        <v>3391</v>
      </c>
      <c r="J933" t="s">
        <v>3392</v>
      </c>
      <c r="K933" t="s">
        <v>3304</v>
      </c>
      <c r="L933" t="s">
        <v>6778</v>
      </c>
      <c r="M933" t="s">
        <v>6779</v>
      </c>
      <c r="N933" t="s">
        <v>6792</v>
      </c>
      <c r="O933">
        <v>1</v>
      </c>
      <c r="P933" t="str">
        <f>+BARRAS[[#This Row],[Barra]]&amp;"_"&amp;BARRAS[[#This Row],[Nivel de tensión]]</f>
        <v>ENACAR_66</v>
      </c>
    </row>
    <row r="934" spans="1:16">
      <c r="A934" t="s">
        <v>462</v>
      </c>
      <c r="B934">
        <v>220</v>
      </c>
      <c r="C934">
        <v>2087</v>
      </c>
      <c r="D934" t="s">
        <v>4915</v>
      </c>
      <c r="E934" t="s">
        <v>4916</v>
      </c>
      <c r="F934" t="s">
        <v>4917</v>
      </c>
      <c r="G934">
        <v>16301</v>
      </c>
      <c r="H934" t="s">
        <v>3405</v>
      </c>
      <c r="I934" t="s">
        <v>3391</v>
      </c>
      <c r="J934" t="s">
        <v>3392</v>
      </c>
      <c r="K934" t="s">
        <v>6315</v>
      </c>
      <c r="L934" t="s">
        <v>6778</v>
      </c>
      <c r="M934" t="s">
        <v>6779</v>
      </c>
      <c r="N934" t="s">
        <v>6792</v>
      </c>
      <c r="O934">
        <v>1</v>
      </c>
      <c r="P934" t="str">
        <f>+BARRAS[[#This Row],[Barra]]&amp;"_"&amp;BARRAS[[#This Row],[Nivel de tensión]]</f>
        <v>ENCUENTRO_220</v>
      </c>
    </row>
    <row r="935" spans="1:16">
      <c r="A935" t="s">
        <v>4918</v>
      </c>
      <c r="B935">
        <v>110</v>
      </c>
      <c r="C935">
        <v>2408</v>
      </c>
      <c r="D935" t="s">
        <v>4919</v>
      </c>
      <c r="E935" t="s">
        <v>4920</v>
      </c>
      <c r="F935" t="s">
        <v>4921</v>
      </c>
      <c r="G935">
        <v>16301</v>
      </c>
      <c r="H935" t="s">
        <v>3418</v>
      </c>
      <c r="I935" t="s">
        <v>3391</v>
      </c>
      <c r="J935" t="s">
        <v>3392</v>
      </c>
      <c r="K935" t="s">
        <v>3302</v>
      </c>
      <c r="L935" t="s">
        <v>6778</v>
      </c>
      <c r="M935" t="s">
        <v>6779</v>
      </c>
      <c r="N935" t="s">
        <v>6792</v>
      </c>
      <c r="O935">
        <v>1</v>
      </c>
      <c r="P935" t="str">
        <f>+BARRAS[[#This Row],[Barra]]&amp;"_"&amp;BARRAS[[#This Row],[Nivel de tensión]]</f>
        <v>ENL.MAITENES_110</v>
      </c>
    </row>
    <row r="936" spans="1:16">
      <c r="A936" t="s">
        <v>4922</v>
      </c>
      <c r="B936">
        <v>66</v>
      </c>
      <c r="C936">
        <v>1</v>
      </c>
      <c r="D936" t="s">
        <v>3397</v>
      </c>
      <c r="E936" t="s">
        <v>4923</v>
      </c>
      <c r="F936" t="s">
        <v>3420</v>
      </c>
      <c r="G936">
        <v>16301</v>
      </c>
      <c r="H936" t="s">
        <v>3414</v>
      </c>
      <c r="I936" t="s">
        <v>3391</v>
      </c>
      <c r="J936" t="s">
        <v>3392</v>
      </c>
      <c r="K936" t="s">
        <v>3304</v>
      </c>
      <c r="L936" t="s">
        <v>6778</v>
      </c>
      <c r="M936" t="s">
        <v>6779</v>
      </c>
      <c r="N936" t="s">
        <v>6792</v>
      </c>
      <c r="O936">
        <v>1</v>
      </c>
      <c r="P936" t="str">
        <f>+BARRAS[[#This Row],[Barra]]&amp;"_"&amp;BARRAS[[#This Row],[Nivel de tensión]]</f>
        <v>ENLACE_66</v>
      </c>
    </row>
    <row r="937" spans="1:16">
      <c r="A937" t="s">
        <v>6578</v>
      </c>
      <c r="B937">
        <v>33</v>
      </c>
      <c r="D937" t="s">
        <v>3680</v>
      </c>
      <c r="E937" t="s">
        <v>3925</v>
      </c>
      <c r="F937" t="s">
        <v>6579</v>
      </c>
      <c r="G937">
        <v>1401</v>
      </c>
      <c r="H937" t="s">
        <v>3405</v>
      </c>
      <c r="I937" t="s">
        <v>3683</v>
      </c>
      <c r="J937" t="s">
        <v>6580</v>
      </c>
      <c r="K937" t="s">
        <v>6315</v>
      </c>
      <c r="L937" t="s">
        <v>6778</v>
      </c>
      <c r="M937" t="s">
        <v>6779</v>
      </c>
      <c r="N937" t="s">
        <v>6792</v>
      </c>
      <c r="O937">
        <v>1</v>
      </c>
      <c r="P937" t="str">
        <f>+BARRAS[[#This Row],[Barra]]&amp;"_"&amp;BARRAS[[#This Row],[Nivel de tensión]]</f>
        <v>ESTELA_33</v>
      </c>
    </row>
    <row r="938" spans="1:16">
      <c r="A938" t="s">
        <v>6578</v>
      </c>
      <c r="B938">
        <v>220</v>
      </c>
      <c r="D938" t="s">
        <v>3680</v>
      </c>
      <c r="E938" t="s">
        <v>3925</v>
      </c>
      <c r="F938" t="s">
        <v>6579</v>
      </c>
      <c r="G938">
        <v>1401</v>
      </c>
      <c r="H938" t="s">
        <v>3405</v>
      </c>
      <c r="I938" t="s">
        <v>3683</v>
      </c>
      <c r="J938" t="s">
        <v>6580</v>
      </c>
      <c r="K938" t="s">
        <v>6315</v>
      </c>
      <c r="L938" t="s">
        <v>6778</v>
      </c>
      <c r="M938" t="s">
        <v>6779</v>
      </c>
      <c r="N938" t="s">
        <v>6792</v>
      </c>
      <c r="O938">
        <v>1</v>
      </c>
      <c r="P938" t="str">
        <f>+BARRAS[[#This Row],[Barra]]&amp;"_"&amp;BARRAS[[#This Row],[Nivel de tensión]]</f>
        <v>ESTELA_220</v>
      </c>
    </row>
    <row r="939" spans="1:16">
      <c r="A939" t="s">
        <v>6511</v>
      </c>
      <c r="B939">
        <v>220</v>
      </c>
      <c r="D939" t="s">
        <v>3680</v>
      </c>
      <c r="E939" t="s">
        <v>3925</v>
      </c>
      <c r="F939" t="s">
        <v>6511</v>
      </c>
      <c r="G939">
        <v>2302</v>
      </c>
      <c r="H939" t="s">
        <v>3405</v>
      </c>
      <c r="I939" t="s">
        <v>3683</v>
      </c>
      <c r="J939" t="s">
        <v>6512</v>
      </c>
      <c r="K939" t="s">
        <v>6315</v>
      </c>
      <c r="L939" t="s">
        <v>6778</v>
      </c>
      <c r="M939" t="s">
        <v>6779</v>
      </c>
      <c r="N939" t="s">
        <v>6792</v>
      </c>
      <c r="O939">
        <v>1</v>
      </c>
      <c r="P939" t="str">
        <f>+BARRAS[[#This Row],[Barra]]&amp;"_"&amp;BARRAS[[#This Row],[Nivel de tensión]]</f>
        <v>ESTEPA_220</v>
      </c>
    </row>
    <row r="940" spans="1:16">
      <c r="A940" t="s">
        <v>4961</v>
      </c>
      <c r="B940">
        <v>66</v>
      </c>
      <c r="C940">
        <v>1</v>
      </c>
      <c r="D940" t="s">
        <v>3397</v>
      </c>
      <c r="E940" t="s">
        <v>3419</v>
      </c>
      <c r="F940" t="s">
        <v>3420</v>
      </c>
      <c r="G940">
        <v>16301</v>
      </c>
      <c r="H940" t="s">
        <v>3443</v>
      </c>
      <c r="I940" t="s">
        <v>3391</v>
      </c>
      <c r="J940" t="s">
        <v>3392</v>
      </c>
      <c r="K940" t="s">
        <v>3300</v>
      </c>
      <c r="L940" t="s">
        <v>6778</v>
      </c>
      <c r="M940" t="s">
        <v>6779</v>
      </c>
      <c r="N940" t="s">
        <v>6792</v>
      </c>
      <c r="O940">
        <v>1</v>
      </c>
      <c r="P940" t="str">
        <f>+BARRAS[[#This Row],[Barra]]&amp;"_"&amp;BARRAS[[#This Row],[Nivel de tensión]]</f>
        <v>ESTN6_66</v>
      </c>
    </row>
    <row r="941" spans="1:16">
      <c r="A941" t="s">
        <v>4962</v>
      </c>
      <c r="B941">
        <v>220</v>
      </c>
      <c r="C941">
        <v>2113</v>
      </c>
      <c r="D941" t="s">
        <v>3402</v>
      </c>
      <c r="E941" t="s">
        <v>4963</v>
      </c>
      <c r="F941" t="s">
        <v>4964</v>
      </c>
      <c r="G941">
        <v>16301</v>
      </c>
      <c r="H941" t="s">
        <v>3405</v>
      </c>
      <c r="I941" t="s">
        <v>3391</v>
      </c>
      <c r="J941" t="s">
        <v>3392</v>
      </c>
      <c r="K941" t="s">
        <v>6315</v>
      </c>
      <c r="L941" t="s">
        <v>6778</v>
      </c>
      <c r="M941" t="s">
        <v>6779</v>
      </c>
      <c r="N941" t="s">
        <v>6792</v>
      </c>
      <c r="O941">
        <v>1</v>
      </c>
      <c r="P941" t="str">
        <f>+BARRAS[[#This Row],[Barra]]&amp;"_"&amp;BARRAS[[#This Row],[Nivel de tensión]]</f>
        <v>FARELLON_220</v>
      </c>
    </row>
    <row r="942" spans="1:16">
      <c r="A942" t="s">
        <v>485</v>
      </c>
      <c r="B942">
        <v>15</v>
      </c>
      <c r="C942">
        <v>1571</v>
      </c>
      <c r="D942" t="s">
        <v>4965</v>
      </c>
      <c r="E942" t="s">
        <v>4966</v>
      </c>
      <c r="F942" t="s">
        <v>4967</v>
      </c>
      <c r="G942">
        <v>16301</v>
      </c>
      <c r="H942" t="s">
        <v>3414</v>
      </c>
      <c r="I942" t="s">
        <v>3391</v>
      </c>
      <c r="J942" t="s">
        <v>3392</v>
      </c>
      <c r="K942" t="s">
        <v>3304</v>
      </c>
      <c r="L942" t="s">
        <v>6778</v>
      </c>
      <c r="M942" t="s">
        <v>6779</v>
      </c>
      <c r="N942" t="s">
        <v>6792</v>
      </c>
      <c r="O942">
        <v>1</v>
      </c>
      <c r="P942" t="str">
        <f>+BARRAS[[#This Row],[Barra]]&amp;"_"&amp;BARRAS[[#This Row],[Nivel de tensión]]</f>
        <v>FATIMA_15</v>
      </c>
    </row>
    <row r="943" spans="1:16">
      <c r="A943" t="s">
        <v>485</v>
      </c>
      <c r="B943">
        <v>66</v>
      </c>
      <c r="C943">
        <v>1</v>
      </c>
      <c r="D943" t="s">
        <v>3397</v>
      </c>
      <c r="E943" t="s">
        <v>4968</v>
      </c>
      <c r="F943" t="s">
        <v>3420</v>
      </c>
      <c r="G943">
        <v>16301</v>
      </c>
      <c r="H943" t="s">
        <v>3414</v>
      </c>
      <c r="I943" t="s">
        <v>3391</v>
      </c>
      <c r="J943" t="s">
        <v>3392</v>
      </c>
      <c r="K943" t="s">
        <v>3304</v>
      </c>
      <c r="L943" t="s">
        <v>6778</v>
      </c>
      <c r="M943" t="s">
        <v>6779</v>
      </c>
      <c r="N943" t="s">
        <v>6792</v>
      </c>
      <c r="O943">
        <v>1</v>
      </c>
      <c r="P943" t="str">
        <f>+BARRAS[[#This Row],[Barra]]&amp;"_"&amp;BARRAS[[#This Row],[Nivel de tensión]]</f>
        <v>FATIMA_66</v>
      </c>
    </row>
    <row r="944" spans="1:16">
      <c r="A944" t="s">
        <v>485</v>
      </c>
      <c r="B944">
        <v>154</v>
      </c>
      <c r="C944">
        <v>1</v>
      </c>
      <c r="D944" t="s">
        <v>3397</v>
      </c>
      <c r="E944" t="s">
        <v>4969</v>
      </c>
      <c r="F944" t="s">
        <v>3420</v>
      </c>
      <c r="G944">
        <v>16301</v>
      </c>
      <c r="H944" t="s">
        <v>3414</v>
      </c>
      <c r="I944" t="s">
        <v>3391</v>
      </c>
      <c r="J944" t="s">
        <v>3392</v>
      </c>
      <c r="K944" t="s">
        <v>3304</v>
      </c>
      <c r="L944" t="s">
        <v>6778</v>
      </c>
      <c r="M944" t="s">
        <v>6779</v>
      </c>
      <c r="N944" t="s">
        <v>6792</v>
      </c>
      <c r="O944">
        <v>1</v>
      </c>
      <c r="P944" t="str">
        <f>+BARRAS[[#This Row],[Barra]]&amp;"_"&amp;BARRAS[[#This Row],[Nivel de tensión]]</f>
        <v>FATIMA_154</v>
      </c>
    </row>
    <row r="945" spans="1:16">
      <c r="A945" t="s">
        <v>4970</v>
      </c>
      <c r="B945">
        <v>154</v>
      </c>
      <c r="C945">
        <v>1</v>
      </c>
      <c r="D945" t="s">
        <v>3397</v>
      </c>
      <c r="E945" t="s">
        <v>4971</v>
      </c>
      <c r="F945" t="s">
        <v>3420</v>
      </c>
      <c r="G945">
        <v>16301</v>
      </c>
      <c r="H945" t="s">
        <v>3414</v>
      </c>
      <c r="I945" t="s">
        <v>3391</v>
      </c>
      <c r="J945" t="s">
        <v>3392</v>
      </c>
      <c r="K945" t="s">
        <v>3304</v>
      </c>
      <c r="L945" t="s">
        <v>6778</v>
      </c>
      <c r="M945" t="s">
        <v>6779</v>
      </c>
      <c r="N945" t="s">
        <v>6792</v>
      </c>
      <c r="O945">
        <v>1</v>
      </c>
      <c r="P945" t="str">
        <f>+BARRAS[[#This Row],[Barra]]&amp;"_"&amp;BARRAS[[#This Row],[Nivel de tensión]]</f>
        <v>FATIMA1_154</v>
      </c>
    </row>
    <row r="946" spans="1:16">
      <c r="A946" t="s">
        <v>4972</v>
      </c>
      <c r="B946">
        <v>154</v>
      </c>
      <c r="C946">
        <v>1</v>
      </c>
      <c r="D946" t="s">
        <v>3397</v>
      </c>
      <c r="E946" t="s">
        <v>4973</v>
      </c>
      <c r="F946" t="s">
        <v>3420</v>
      </c>
      <c r="G946">
        <v>16301</v>
      </c>
      <c r="H946" t="s">
        <v>3414</v>
      </c>
      <c r="I946" t="s">
        <v>3391</v>
      </c>
      <c r="J946" t="s">
        <v>3392</v>
      </c>
      <c r="K946" t="s">
        <v>3304</v>
      </c>
      <c r="L946" t="s">
        <v>6778</v>
      </c>
      <c r="M946" t="s">
        <v>6779</v>
      </c>
      <c r="N946" t="s">
        <v>6792</v>
      </c>
      <c r="O946">
        <v>1</v>
      </c>
      <c r="P946" t="str">
        <f>+BARRAS[[#This Row],[Barra]]&amp;"_"&amp;BARRAS[[#This Row],[Nivel de tensión]]</f>
        <v>FATIMA2_154</v>
      </c>
    </row>
    <row r="947" spans="1:16">
      <c r="A947" t="s">
        <v>4974</v>
      </c>
      <c r="B947">
        <v>110</v>
      </c>
      <c r="C947">
        <v>1</v>
      </c>
      <c r="D947" t="s">
        <v>4975</v>
      </c>
      <c r="E947" t="s">
        <v>4976</v>
      </c>
      <c r="F947" t="s">
        <v>3484</v>
      </c>
      <c r="G947">
        <v>16301</v>
      </c>
      <c r="H947" t="s">
        <v>3469</v>
      </c>
      <c r="I947" t="s">
        <v>3391</v>
      </c>
      <c r="J947" t="s">
        <v>3392</v>
      </c>
      <c r="K947" t="s">
        <v>3303</v>
      </c>
      <c r="L947" t="s">
        <v>6778</v>
      </c>
      <c r="M947" t="s">
        <v>6779</v>
      </c>
      <c r="N947" t="s">
        <v>6792</v>
      </c>
      <c r="O947">
        <v>1</v>
      </c>
      <c r="P947" t="str">
        <f>+BARRAS[[#This Row],[Barra]]&amp;"_"&amp;BARRAS[[#This Row],[Nivel de tensión]]</f>
        <v>FFCC_110</v>
      </c>
    </row>
    <row r="948" spans="1:16">
      <c r="A948" t="s">
        <v>4977</v>
      </c>
      <c r="B948">
        <v>66</v>
      </c>
      <c r="C948">
        <v>1119</v>
      </c>
      <c r="D948" t="s">
        <v>4978</v>
      </c>
      <c r="E948" t="s">
        <v>4979</v>
      </c>
      <c r="F948" t="s">
        <v>4980</v>
      </c>
      <c r="G948">
        <v>16301</v>
      </c>
      <c r="H948" t="s">
        <v>3414</v>
      </c>
      <c r="I948" t="s">
        <v>3391</v>
      </c>
      <c r="J948" t="s">
        <v>3392</v>
      </c>
      <c r="K948" t="s">
        <v>3304</v>
      </c>
      <c r="L948" t="s">
        <v>6778</v>
      </c>
      <c r="M948" t="s">
        <v>6779</v>
      </c>
      <c r="N948" t="s">
        <v>6792</v>
      </c>
      <c r="O948">
        <v>1</v>
      </c>
      <c r="P948" t="str">
        <f>+BARRAS[[#This Row],[Barra]]&amp;"_"&amp;BARRAS[[#This Row],[Nivel de tensión]]</f>
        <v>FIBRANOVA_66</v>
      </c>
    </row>
    <row r="949" spans="1:16">
      <c r="A949" t="s">
        <v>493</v>
      </c>
      <c r="B949">
        <v>12</v>
      </c>
      <c r="C949">
        <v>1825</v>
      </c>
      <c r="D949" t="s">
        <v>4981</v>
      </c>
      <c r="E949" t="s">
        <v>4982</v>
      </c>
      <c r="F949" t="s">
        <v>4983</v>
      </c>
      <c r="G949">
        <v>16301</v>
      </c>
      <c r="H949" t="s">
        <v>3469</v>
      </c>
      <c r="I949" t="s">
        <v>3391</v>
      </c>
      <c r="J949" t="s">
        <v>3392</v>
      </c>
      <c r="K949" t="s">
        <v>3303</v>
      </c>
      <c r="L949" t="s">
        <v>6778</v>
      </c>
      <c r="M949" t="s">
        <v>6779</v>
      </c>
      <c r="N949" t="s">
        <v>6792</v>
      </c>
      <c r="O949">
        <v>1</v>
      </c>
      <c r="P949" t="str">
        <f>+BARRAS[[#This Row],[Barra]]&amp;"_"&amp;BARRAS[[#This Row],[Nivel de tensión]]</f>
        <v>FLORIDA_12</v>
      </c>
    </row>
    <row r="950" spans="1:16">
      <c r="A950" t="s">
        <v>493</v>
      </c>
      <c r="B950">
        <v>110</v>
      </c>
      <c r="C950">
        <v>1</v>
      </c>
      <c r="D950" t="s">
        <v>3397</v>
      </c>
      <c r="E950" t="s">
        <v>4984</v>
      </c>
      <c r="F950" t="s">
        <v>3420</v>
      </c>
      <c r="G950">
        <v>16301</v>
      </c>
      <c r="H950" t="s">
        <v>3469</v>
      </c>
      <c r="I950" t="s">
        <v>3391</v>
      </c>
      <c r="J950" t="s">
        <v>3392</v>
      </c>
      <c r="K950" t="s">
        <v>3303</v>
      </c>
      <c r="L950" t="s">
        <v>6778</v>
      </c>
      <c r="M950" t="s">
        <v>6779</v>
      </c>
      <c r="N950" t="s">
        <v>6792</v>
      </c>
      <c r="O950">
        <v>1</v>
      </c>
      <c r="P950" t="str">
        <f>+BARRAS[[#This Row],[Barra]]&amp;"_"&amp;BARRAS[[#This Row],[Nivel de tensión]]</f>
        <v>FLORIDA_110</v>
      </c>
    </row>
    <row r="951" spans="1:16">
      <c r="A951" t="s">
        <v>3444</v>
      </c>
      <c r="B951">
        <v>6</v>
      </c>
      <c r="C951">
        <v>3590</v>
      </c>
      <c r="D951" t="s">
        <v>3397</v>
      </c>
      <c r="E951" t="s">
        <v>3445</v>
      </c>
      <c r="F951" t="s">
        <v>3446</v>
      </c>
      <c r="G951">
        <v>16301</v>
      </c>
      <c r="H951" t="s">
        <v>3405</v>
      </c>
      <c r="I951" t="s">
        <v>3391</v>
      </c>
      <c r="J951" t="s">
        <v>3392</v>
      </c>
      <c r="K951" t="s">
        <v>6315</v>
      </c>
      <c r="L951" t="s">
        <v>6778</v>
      </c>
      <c r="M951" t="s">
        <v>6779</v>
      </c>
      <c r="N951" t="s">
        <v>6792</v>
      </c>
      <c r="O951">
        <v>1</v>
      </c>
      <c r="P951" t="str">
        <f>+BARRAS[[#This Row],[Barra]]&amp;"_"&amp;BARRAS[[#This Row],[Nivel de tensión]]</f>
        <v>FOPACO_6</v>
      </c>
    </row>
    <row r="952" spans="1:16">
      <c r="A952" t="s">
        <v>3444</v>
      </c>
      <c r="B952">
        <v>154</v>
      </c>
      <c r="C952">
        <v>2521</v>
      </c>
      <c r="D952" t="s">
        <v>4985</v>
      </c>
      <c r="E952" t="s">
        <v>4986</v>
      </c>
      <c r="F952" t="s">
        <v>3446</v>
      </c>
      <c r="G952">
        <v>16301</v>
      </c>
      <c r="H952" t="s">
        <v>3405</v>
      </c>
      <c r="I952" t="s">
        <v>3391</v>
      </c>
      <c r="J952" t="s">
        <v>3392</v>
      </c>
      <c r="K952" t="s">
        <v>6315</v>
      </c>
      <c r="L952" t="s">
        <v>6778</v>
      </c>
      <c r="M952" t="s">
        <v>6779</v>
      </c>
      <c r="N952" t="s">
        <v>6792</v>
      </c>
      <c r="O952">
        <v>1</v>
      </c>
      <c r="P952" t="str">
        <f>+BARRAS[[#This Row],[Barra]]&amp;"_"&amp;BARRAS[[#This Row],[Nivel de tensión]]</f>
        <v>FOPACO_154</v>
      </c>
    </row>
    <row r="953" spans="1:16">
      <c r="A953" t="s">
        <v>4987</v>
      </c>
      <c r="B953">
        <v>220</v>
      </c>
      <c r="C953">
        <v>1</v>
      </c>
      <c r="D953" t="s">
        <v>3397</v>
      </c>
      <c r="E953" t="s">
        <v>3419</v>
      </c>
      <c r="F953" t="s">
        <v>3420</v>
      </c>
      <c r="G953">
        <v>16301</v>
      </c>
      <c r="H953" t="s">
        <v>3409</v>
      </c>
      <c r="I953" t="s">
        <v>3391</v>
      </c>
      <c r="J953" t="s">
        <v>3392</v>
      </c>
      <c r="K953" t="s">
        <v>6315</v>
      </c>
      <c r="L953" t="s">
        <v>6778</v>
      </c>
      <c r="M953" t="s">
        <v>6779</v>
      </c>
      <c r="N953" t="s">
        <v>6792</v>
      </c>
      <c r="O953">
        <v>1</v>
      </c>
      <c r="P953" t="str">
        <f>+BARRAS[[#This Row],[Barra]]&amp;"_"&amp;BARRAS[[#This Row],[Nivel de tensión]]</f>
        <v>FRONTERA_220</v>
      </c>
    </row>
    <row r="954" spans="1:16">
      <c r="A954" t="s">
        <v>4988</v>
      </c>
      <c r="B954">
        <v>13</v>
      </c>
      <c r="C954">
        <v>417</v>
      </c>
      <c r="D954" t="s">
        <v>4989</v>
      </c>
      <c r="E954" t="s">
        <v>4990</v>
      </c>
      <c r="F954" t="s">
        <v>4991</v>
      </c>
      <c r="G954">
        <v>16301</v>
      </c>
      <c r="H954" t="s">
        <v>3390</v>
      </c>
      <c r="I954" t="s">
        <v>3391</v>
      </c>
      <c r="J954" t="s">
        <v>3392</v>
      </c>
      <c r="K954" t="s">
        <v>3305</v>
      </c>
      <c r="L954" t="s">
        <v>6778</v>
      </c>
      <c r="M954" t="s">
        <v>6779</v>
      </c>
      <c r="N954" t="s">
        <v>6792</v>
      </c>
      <c r="O954">
        <v>1</v>
      </c>
      <c r="P954" t="str">
        <f>+BARRAS[[#This Row],[Barra]]&amp;"_"&amp;BARRAS[[#This Row],[Nivel de tensión]]</f>
        <v>FRUTILLAR_13</v>
      </c>
    </row>
    <row r="955" spans="1:16">
      <c r="A955" t="s">
        <v>4988</v>
      </c>
      <c r="B955">
        <v>66</v>
      </c>
      <c r="C955">
        <v>1</v>
      </c>
      <c r="D955" t="s">
        <v>3397</v>
      </c>
      <c r="E955" t="s">
        <v>4992</v>
      </c>
      <c r="F955" t="s">
        <v>3420</v>
      </c>
      <c r="G955">
        <v>16301</v>
      </c>
      <c r="H955" t="s">
        <v>3390</v>
      </c>
      <c r="I955" t="s">
        <v>3391</v>
      </c>
      <c r="J955" t="s">
        <v>3392</v>
      </c>
      <c r="K955" t="s">
        <v>3305</v>
      </c>
      <c r="L955" t="s">
        <v>6778</v>
      </c>
      <c r="M955" t="s">
        <v>6779</v>
      </c>
      <c r="N955" t="s">
        <v>6792</v>
      </c>
      <c r="O955">
        <v>1</v>
      </c>
      <c r="P955" t="str">
        <f>+BARRAS[[#This Row],[Barra]]&amp;"_"&amp;BARRAS[[#This Row],[Nivel de tensión]]</f>
        <v>FRUTILLAR_66</v>
      </c>
    </row>
    <row r="956" spans="1:16">
      <c r="A956" t="s">
        <v>4993</v>
      </c>
      <c r="B956">
        <v>15</v>
      </c>
      <c r="C956">
        <v>3606</v>
      </c>
      <c r="D956" t="s">
        <v>4994</v>
      </c>
      <c r="E956" t="s">
        <v>4995</v>
      </c>
      <c r="F956" t="s">
        <v>4996</v>
      </c>
      <c r="G956">
        <v>16301</v>
      </c>
      <c r="H956" t="s">
        <v>3414</v>
      </c>
      <c r="I956" t="s">
        <v>3391</v>
      </c>
      <c r="J956" t="s">
        <v>3928</v>
      </c>
      <c r="K956" t="s">
        <v>6315</v>
      </c>
      <c r="L956" t="s">
        <v>6778</v>
      </c>
      <c r="M956" t="s">
        <v>6779</v>
      </c>
      <c r="N956" t="s">
        <v>6792</v>
      </c>
      <c r="O956">
        <v>1</v>
      </c>
      <c r="P956" t="str">
        <f>+BARRAS[[#This Row],[Barra]]&amp;"_"&amp;BARRAS[[#This Row],[Nivel de tensión]]</f>
        <v>FUENTECILLA_15</v>
      </c>
    </row>
    <row r="957" spans="1:16">
      <c r="A957" t="s">
        <v>4993</v>
      </c>
      <c r="B957">
        <v>66</v>
      </c>
      <c r="C957">
        <v>3604</v>
      </c>
      <c r="D957" t="s">
        <v>4997</v>
      </c>
      <c r="E957" t="s">
        <v>4998</v>
      </c>
      <c r="F957" t="s">
        <v>4996</v>
      </c>
      <c r="G957">
        <v>16301</v>
      </c>
      <c r="H957" t="s">
        <v>3414</v>
      </c>
      <c r="I957" t="s">
        <v>3391</v>
      </c>
      <c r="J957" t="s">
        <v>3928</v>
      </c>
      <c r="K957" t="s">
        <v>6315</v>
      </c>
      <c r="L957" t="s">
        <v>6778</v>
      </c>
      <c r="M957" t="s">
        <v>6779</v>
      </c>
      <c r="N957" t="s">
        <v>6792</v>
      </c>
      <c r="O957">
        <v>1</v>
      </c>
      <c r="P957" t="str">
        <f>+BARRAS[[#This Row],[Barra]]&amp;"_"&amp;BARRAS[[#This Row],[Nivel de tensión]]</f>
        <v>FUENTECILLA_66</v>
      </c>
    </row>
    <row r="958" spans="1:16">
      <c r="A958" t="s">
        <v>4999</v>
      </c>
      <c r="B958">
        <v>33</v>
      </c>
      <c r="C958">
        <v>1</v>
      </c>
      <c r="D958" t="s">
        <v>3397</v>
      </c>
      <c r="E958" t="s">
        <v>3419</v>
      </c>
      <c r="F958" t="s">
        <v>5000</v>
      </c>
      <c r="G958">
        <v>2101</v>
      </c>
      <c r="H958" t="s">
        <v>3405</v>
      </c>
      <c r="I958" t="s">
        <v>3391</v>
      </c>
      <c r="J958" t="s">
        <v>5001</v>
      </c>
      <c r="K958" t="s">
        <v>6315</v>
      </c>
      <c r="L958" t="s">
        <v>6778</v>
      </c>
      <c r="M958" t="s">
        <v>6779</v>
      </c>
      <c r="N958" t="s">
        <v>6792</v>
      </c>
      <c r="O958">
        <v>1</v>
      </c>
      <c r="P958" t="str">
        <f>+BARRAS[[#This Row],[Barra]]&amp;"_"&amp;BARRAS[[#This Row],[Nivel de tensión]]</f>
        <v>FUTURO_33</v>
      </c>
    </row>
    <row r="959" spans="1:16">
      <c r="A959" t="s">
        <v>4999</v>
      </c>
      <c r="B959">
        <v>220</v>
      </c>
      <c r="C959">
        <v>1</v>
      </c>
      <c r="D959" t="s">
        <v>3397</v>
      </c>
      <c r="E959" t="s">
        <v>3419</v>
      </c>
      <c r="F959" t="s">
        <v>5000</v>
      </c>
      <c r="G959">
        <v>2101</v>
      </c>
      <c r="H959" t="s">
        <v>3405</v>
      </c>
      <c r="I959" t="s">
        <v>3391</v>
      </c>
      <c r="J959" t="s">
        <v>5001</v>
      </c>
      <c r="K959" t="s">
        <v>6315</v>
      </c>
      <c r="L959" t="s">
        <v>6778</v>
      </c>
      <c r="M959" t="s">
        <v>6779</v>
      </c>
      <c r="N959" t="s">
        <v>6792</v>
      </c>
      <c r="O959">
        <v>1</v>
      </c>
      <c r="P959" t="str">
        <f>+BARRAS[[#This Row],[Barra]]&amp;"_"&amp;BARRAS[[#This Row],[Nivel de tensión]]</f>
        <v>FUTURO_220</v>
      </c>
    </row>
    <row r="960" spans="1:16">
      <c r="A960" t="s">
        <v>6583</v>
      </c>
      <c r="B960">
        <v>33</v>
      </c>
      <c r="D960" t="s">
        <v>3680</v>
      </c>
      <c r="E960" t="s">
        <v>3925</v>
      </c>
      <c r="F960" t="s">
        <v>6584</v>
      </c>
      <c r="G960">
        <v>1401</v>
      </c>
      <c r="H960" t="s">
        <v>3405</v>
      </c>
      <c r="I960" t="s">
        <v>3683</v>
      </c>
      <c r="J960" t="s">
        <v>6585</v>
      </c>
      <c r="K960" t="s">
        <v>6315</v>
      </c>
      <c r="L960" t="s">
        <v>6778</v>
      </c>
      <c r="M960" t="s">
        <v>6779</v>
      </c>
      <c r="N960" t="s">
        <v>6792</v>
      </c>
      <c r="O960">
        <v>1</v>
      </c>
      <c r="P960" t="str">
        <f>+BARRAS[[#This Row],[Barra]]&amp;"_"&amp;BARRAS[[#This Row],[Nivel de tensión]]</f>
        <v>G.SOLAR_33</v>
      </c>
    </row>
    <row r="961" spans="1:16">
      <c r="A961" t="s">
        <v>6583</v>
      </c>
      <c r="B961">
        <v>220</v>
      </c>
      <c r="D961" t="s">
        <v>3680</v>
      </c>
      <c r="E961" t="s">
        <v>3925</v>
      </c>
      <c r="F961" t="s">
        <v>6584</v>
      </c>
      <c r="G961">
        <v>1401</v>
      </c>
      <c r="H961" t="s">
        <v>3405</v>
      </c>
      <c r="I961" t="s">
        <v>3683</v>
      </c>
      <c r="J961" t="s">
        <v>6585</v>
      </c>
      <c r="K961" t="s">
        <v>6315</v>
      </c>
      <c r="L961" t="s">
        <v>6778</v>
      </c>
      <c r="M961" t="s">
        <v>6779</v>
      </c>
      <c r="N961" t="s">
        <v>6792</v>
      </c>
      <c r="O961">
        <v>1</v>
      </c>
      <c r="P961" t="str">
        <f>+BARRAS[[#This Row],[Barra]]&amp;"_"&amp;BARRAS[[#This Row],[Nivel de tensión]]</f>
        <v>G.SOLAR_220</v>
      </c>
    </row>
    <row r="962" spans="1:16">
      <c r="A962" t="s">
        <v>6528</v>
      </c>
      <c r="B962">
        <v>33</v>
      </c>
      <c r="D962" t="s">
        <v>3680</v>
      </c>
      <c r="E962" t="s">
        <v>3925</v>
      </c>
      <c r="F962" t="s">
        <v>6529</v>
      </c>
      <c r="G962">
        <v>2103</v>
      </c>
      <c r="H962" t="s">
        <v>3405</v>
      </c>
      <c r="I962" t="s">
        <v>3683</v>
      </c>
      <c r="J962" t="s">
        <v>6530</v>
      </c>
      <c r="K962" t="s">
        <v>6315</v>
      </c>
      <c r="L962" t="s">
        <v>6778</v>
      </c>
      <c r="M962" t="s">
        <v>6779</v>
      </c>
      <c r="N962" t="s">
        <v>6792</v>
      </c>
      <c r="O962">
        <v>1</v>
      </c>
      <c r="P962" t="str">
        <f>+BARRAS[[#This Row],[Barra]]&amp;"_"&amp;BARRAS[[#This Row],[Nivel de tensión]]</f>
        <v>GABRIELA_33</v>
      </c>
    </row>
    <row r="963" spans="1:16">
      <c r="A963" t="s">
        <v>525</v>
      </c>
      <c r="B963">
        <v>66</v>
      </c>
      <c r="C963">
        <v>1</v>
      </c>
      <c r="D963" t="s">
        <v>3397</v>
      </c>
      <c r="E963" t="s">
        <v>5056</v>
      </c>
      <c r="F963" t="s">
        <v>3420</v>
      </c>
      <c r="G963">
        <v>16301</v>
      </c>
      <c r="H963" t="s">
        <v>3414</v>
      </c>
      <c r="I963" t="s">
        <v>3391</v>
      </c>
      <c r="J963" t="s">
        <v>3392</v>
      </c>
      <c r="K963" t="s">
        <v>3304</v>
      </c>
      <c r="L963" t="s">
        <v>6778</v>
      </c>
      <c r="M963" t="s">
        <v>6779</v>
      </c>
      <c r="N963" t="s">
        <v>6792</v>
      </c>
      <c r="O963">
        <v>1</v>
      </c>
      <c r="P963" t="str">
        <f>+BARRAS[[#This Row],[Barra]]&amp;"_"&amp;BARRAS[[#This Row],[Nivel de tensión]]</f>
        <v>HUALTE_66</v>
      </c>
    </row>
    <row r="964" spans="1:16">
      <c r="A964" t="s">
        <v>5057</v>
      </c>
      <c r="B964">
        <v>13</v>
      </c>
      <c r="C964">
        <v>2485</v>
      </c>
      <c r="D964" t="s">
        <v>5058</v>
      </c>
      <c r="E964" t="s">
        <v>5059</v>
      </c>
      <c r="F964" t="s">
        <v>5060</v>
      </c>
      <c r="G964">
        <v>16301</v>
      </c>
      <c r="H964" t="s">
        <v>3400</v>
      </c>
      <c r="I964" t="s">
        <v>3391</v>
      </c>
      <c r="J964" t="s">
        <v>3392</v>
      </c>
      <c r="K964" t="s">
        <v>3301</v>
      </c>
      <c r="L964" t="s">
        <v>6778</v>
      </c>
      <c r="M964" t="s">
        <v>6779</v>
      </c>
      <c r="N964" t="s">
        <v>6792</v>
      </c>
      <c r="O964">
        <v>1</v>
      </c>
      <c r="P964" t="str">
        <f>+BARRAS[[#This Row],[Barra]]&amp;"_"&amp;BARRAS[[#This Row],[Nivel de tensión]]</f>
        <v>HUASCO_13</v>
      </c>
    </row>
    <row r="965" spans="1:16">
      <c r="A965" t="s">
        <v>5057</v>
      </c>
      <c r="B965">
        <v>110</v>
      </c>
      <c r="C965">
        <v>490</v>
      </c>
      <c r="D965" t="s">
        <v>5061</v>
      </c>
      <c r="E965" t="s">
        <v>5062</v>
      </c>
      <c r="F965" t="s">
        <v>5060</v>
      </c>
      <c r="G965">
        <v>16301</v>
      </c>
      <c r="H965" t="s">
        <v>3400</v>
      </c>
      <c r="I965" t="s">
        <v>3391</v>
      </c>
      <c r="J965" t="s">
        <v>3392</v>
      </c>
      <c r="K965" t="s">
        <v>3301</v>
      </c>
      <c r="L965" t="s">
        <v>6778</v>
      </c>
      <c r="M965" t="s">
        <v>6779</v>
      </c>
      <c r="N965" t="s">
        <v>6792</v>
      </c>
      <c r="O965">
        <v>1</v>
      </c>
      <c r="P965" t="str">
        <f>+BARRAS[[#This Row],[Barra]]&amp;"_"&amp;BARRAS[[#This Row],[Nivel de tensión]]</f>
        <v>HUASCO_110</v>
      </c>
    </row>
    <row r="966" spans="1:16">
      <c r="A966" t="s">
        <v>5063</v>
      </c>
      <c r="B966">
        <v>220</v>
      </c>
      <c r="C966">
        <v>1</v>
      </c>
      <c r="D966" t="s">
        <v>3397</v>
      </c>
      <c r="E966" t="s">
        <v>3419</v>
      </c>
      <c r="F966" t="s">
        <v>3420</v>
      </c>
      <c r="G966">
        <v>16301</v>
      </c>
      <c r="H966" t="s">
        <v>3405</v>
      </c>
      <c r="I966" t="s">
        <v>3391</v>
      </c>
      <c r="J966" t="s">
        <v>3392</v>
      </c>
      <c r="K966" t="s">
        <v>6315</v>
      </c>
      <c r="L966" t="s">
        <v>6778</v>
      </c>
      <c r="M966" t="s">
        <v>6779</v>
      </c>
      <c r="N966" t="s">
        <v>6792</v>
      </c>
      <c r="O966">
        <v>1</v>
      </c>
      <c r="P966" t="str">
        <f>+BARRAS[[#This Row],[Barra]]&amp;"_"&amp;BARRAS[[#This Row],[Nivel de tensión]]</f>
        <v>IBERATACAMA_220</v>
      </c>
    </row>
    <row r="967" spans="1:16">
      <c r="A967" t="s">
        <v>5064</v>
      </c>
      <c r="B967">
        <v>23</v>
      </c>
      <c r="C967">
        <v>1</v>
      </c>
      <c r="D967" t="s">
        <v>3397</v>
      </c>
      <c r="E967" t="s">
        <v>3419</v>
      </c>
      <c r="F967" t="s">
        <v>3420</v>
      </c>
      <c r="G967">
        <v>16301</v>
      </c>
      <c r="H967" t="s">
        <v>3405</v>
      </c>
      <c r="I967" t="s">
        <v>3391</v>
      </c>
      <c r="J967" t="s">
        <v>3392</v>
      </c>
      <c r="K967" t="s">
        <v>6315</v>
      </c>
      <c r="L967" t="s">
        <v>6778</v>
      </c>
      <c r="M967" t="s">
        <v>6779</v>
      </c>
      <c r="N967" t="s">
        <v>6792</v>
      </c>
      <c r="O967">
        <v>1</v>
      </c>
      <c r="P967" t="str">
        <f>+BARRAS[[#This Row],[Barra]]&amp;"_"&amp;BARRAS[[#This Row],[Nivel de tensión]]</f>
        <v>IEM_23</v>
      </c>
    </row>
    <row r="968" spans="1:16">
      <c r="A968" t="s">
        <v>5065</v>
      </c>
      <c r="B968">
        <v>220</v>
      </c>
      <c r="C968">
        <v>1</v>
      </c>
      <c r="D968" t="s">
        <v>3397</v>
      </c>
      <c r="E968" t="s">
        <v>3419</v>
      </c>
      <c r="F968" t="s">
        <v>3420</v>
      </c>
      <c r="G968">
        <v>16301</v>
      </c>
      <c r="H968" t="s">
        <v>3409</v>
      </c>
      <c r="I968" t="s">
        <v>3391</v>
      </c>
      <c r="J968" t="s">
        <v>3392</v>
      </c>
      <c r="K968" t="s">
        <v>6315</v>
      </c>
      <c r="L968" t="s">
        <v>6778</v>
      </c>
      <c r="M968" t="s">
        <v>6779</v>
      </c>
      <c r="N968" t="s">
        <v>6792</v>
      </c>
      <c r="O968">
        <v>1</v>
      </c>
      <c r="P968" t="str">
        <f>+BARRAS[[#This Row],[Barra]]&amp;"_"&amp;BARRAS[[#This Row],[Nivel de tensión]]</f>
        <v>ILLAPA_220</v>
      </c>
    </row>
    <row r="969" spans="1:16">
      <c r="A969" t="s">
        <v>532</v>
      </c>
      <c r="B969">
        <v>23</v>
      </c>
      <c r="C969">
        <v>324</v>
      </c>
      <c r="D969" t="s">
        <v>5066</v>
      </c>
      <c r="E969" t="s">
        <v>5067</v>
      </c>
      <c r="F969" t="s">
        <v>5068</v>
      </c>
      <c r="G969">
        <v>16301</v>
      </c>
      <c r="H969" t="s">
        <v>3400</v>
      </c>
      <c r="I969" t="s">
        <v>3391</v>
      </c>
      <c r="J969" t="s">
        <v>3392</v>
      </c>
      <c r="K969" t="s">
        <v>3301</v>
      </c>
      <c r="L969" t="s">
        <v>6778</v>
      </c>
      <c r="M969" t="s">
        <v>6779</v>
      </c>
      <c r="N969" t="s">
        <v>6792</v>
      </c>
      <c r="O969">
        <v>1</v>
      </c>
      <c r="P969" t="str">
        <f>+BARRAS[[#This Row],[Barra]]&amp;"_"&amp;BARRAS[[#This Row],[Nivel de tensión]]</f>
        <v>ILLAPEL_23</v>
      </c>
    </row>
    <row r="970" spans="1:16">
      <c r="A970" t="s">
        <v>532</v>
      </c>
      <c r="B970">
        <v>66</v>
      </c>
      <c r="C970">
        <v>1</v>
      </c>
      <c r="D970" t="s">
        <v>3397</v>
      </c>
      <c r="E970" t="s">
        <v>5069</v>
      </c>
      <c r="F970" t="s">
        <v>3420</v>
      </c>
      <c r="G970">
        <v>16301</v>
      </c>
      <c r="H970" t="s">
        <v>3400</v>
      </c>
      <c r="I970" t="s">
        <v>3391</v>
      </c>
      <c r="J970" t="s">
        <v>3392</v>
      </c>
      <c r="K970" t="s">
        <v>3301</v>
      </c>
      <c r="L970" t="s">
        <v>6778</v>
      </c>
      <c r="M970" t="s">
        <v>6779</v>
      </c>
      <c r="N970" t="s">
        <v>6792</v>
      </c>
      <c r="O970">
        <v>1</v>
      </c>
      <c r="P970" t="str">
        <f>+BARRAS[[#This Row],[Barra]]&amp;"_"&amp;BARRAS[[#This Row],[Nivel de tensión]]</f>
        <v>ILLAPEL_66</v>
      </c>
    </row>
    <row r="971" spans="1:16">
      <c r="A971" t="s">
        <v>532</v>
      </c>
      <c r="B971">
        <v>110</v>
      </c>
      <c r="C971">
        <v>1</v>
      </c>
      <c r="D971" t="s">
        <v>3397</v>
      </c>
      <c r="E971" t="s">
        <v>5070</v>
      </c>
      <c r="F971" t="s">
        <v>3420</v>
      </c>
      <c r="G971">
        <v>16301</v>
      </c>
      <c r="H971" t="s">
        <v>3400</v>
      </c>
      <c r="I971" t="s">
        <v>3391</v>
      </c>
      <c r="J971" t="s">
        <v>3392</v>
      </c>
      <c r="K971" t="s">
        <v>3301</v>
      </c>
      <c r="L971" t="s">
        <v>6778</v>
      </c>
      <c r="M971" t="s">
        <v>6779</v>
      </c>
      <c r="N971" t="s">
        <v>6792</v>
      </c>
      <c r="O971">
        <v>1</v>
      </c>
      <c r="P971" t="str">
        <f>+BARRAS[[#This Row],[Barra]]&amp;"_"&amp;BARRAS[[#This Row],[Nivel de tensión]]</f>
        <v>ILLAPEL_110</v>
      </c>
    </row>
    <row r="972" spans="1:16">
      <c r="A972" t="s">
        <v>5071</v>
      </c>
      <c r="B972">
        <v>13</v>
      </c>
      <c r="C972">
        <v>1073</v>
      </c>
      <c r="D972" t="s">
        <v>5072</v>
      </c>
      <c r="E972" t="s">
        <v>5073</v>
      </c>
      <c r="F972" t="s">
        <v>5074</v>
      </c>
      <c r="G972">
        <v>16301</v>
      </c>
      <c r="H972" t="s">
        <v>3414</v>
      </c>
      <c r="I972" t="s">
        <v>3391</v>
      </c>
      <c r="J972" t="s">
        <v>3392</v>
      </c>
      <c r="K972" t="s">
        <v>3304</v>
      </c>
      <c r="L972" t="s">
        <v>6778</v>
      </c>
      <c r="M972" t="s">
        <v>6779</v>
      </c>
      <c r="N972" t="s">
        <v>6792</v>
      </c>
      <c r="O972">
        <v>1</v>
      </c>
      <c r="P972" t="str">
        <f>+BARRAS[[#This Row],[Barra]]&amp;"_"&amp;BARRAS[[#This Row],[Nivel de tensión]]</f>
        <v>IMPERIAL_13</v>
      </c>
    </row>
    <row r="973" spans="1:16">
      <c r="A973" t="s">
        <v>5071</v>
      </c>
      <c r="B973">
        <v>66</v>
      </c>
      <c r="C973">
        <v>1</v>
      </c>
      <c r="D973" t="s">
        <v>3397</v>
      </c>
      <c r="E973" t="s">
        <v>5075</v>
      </c>
      <c r="F973" t="s">
        <v>3420</v>
      </c>
      <c r="G973">
        <v>16301</v>
      </c>
      <c r="H973" t="s">
        <v>3414</v>
      </c>
      <c r="I973" t="s">
        <v>3391</v>
      </c>
      <c r="J973" t="s">
        <v>3392</v>
      </c>
      <c r="K973" t="s">
        <v>3304</v>
      </c>
      <c r="L973" t="s">
        <v>6778</v>
      </c>
      <c r="M973" t="s">
        <v>6779</v>
      </c>
      <c r="N973" t="s">
        <v>6792</v>
      </c>
      <c r="O973">
        <v>1</v>
      </c>
      <c r="P973" t="str">
        <f>+BARRAS[[#This Row],[Barra]]&amp;"_"&amp;BARRAS[[#This Row],[Nivel de tensión]]</f>
        <v>IMPERIAL_66</v>
      </c>
    </row>
    <row r="974" spans="1:16">
      <c r="A974" t="s">
        <v>5076</v>
      </c>
      <c r="B974">
        <v>23</v>
      </c>
      <c r="C974">
        <v>2131</v>
      </c>
      <c r="D974" t="s">
        <v>5077</v>
      </c>
      <c r="E974" t="s">
        <v>5078</v>
      </c>
      <c r="F974" t="s">
        <v>5079</v>
      </c>
      <c r="G974">
        <v>16301</v>
      </c>
      <c r="H974" t="s">
        <v>3405</v>
      </c>
      <c r="I974" t="s">
        <v>3391</v>
      </c>
      <c r="J974" t="s">
        <v>3392</v>
      </c>
      <c r="K974" t="s">
        <v>6315</v>
      </c>
      <c r="L974" t="s">
        <v>6778</v>
      </c>
      <c r="M974" t="s">
        <v>6779</v>
      </c>
      <c r="N974" t="s">
        <v>6792</v>
      </c>
      <c r="O974">
        <v>1</v>
      </c>
      <c r="P974" t="str">
        <f>+BARRAS[[#This Row],[Barra]]&amp;"_"&amp;BARRAS[[#This Row],[Nivel de tensión]]</f>
        <v>INACESA_23</v>
      </c>
    </row>
    <row r="975" spans="1:16">
      <c r="A975" t="s">
        <v>5080</v>
      </c>
      <c r="B975">
        <v>33</v>
      </c>
      <c r="C975">
        <v>1</v>
      </c>
      <c r="D975" t="s">
        <v>3397</v>
      </c>
      <c r="E975" t="s">
        <v>3419</v>
      </c>
      <c r="F975" t="s">
        <v>3420</v>
      </c>
      <c r="G975">
        <v>16301</v>
      </c>
      <c r="H975" t="s">
        <v>3405</v>
      </c>
      <c r="I975" t="s">
        <v>3391</v>
      </c>
      <c r="J975" t="s">
        <v>3392</v>
      </c>
      <c r="K975" t="s">
        <v>6315</v>
      </c>
      <c r="L975" t="s">
        <v>6778</v>
      </c>
      <c r="M975" t="s">
        <v>6779</v>
      </c>
      <c r="N975" t="s">
        <v>6792</v>
      </c>
      <c r="O975">
        <v>1</v>
      </c>
      <c r="P975" t="str">
        <f>+BARRAS[[#This Row],[Barra]]&amp;"_"&amp;BARRAS[[#This Row],[Nivel de tensión]]</f>
        <v>INCA_DE_ORO_33</v>
      </c>
    </row>
    <row r="976" spans="1:16">
      <c r="A976" t="s">
        <v>5080</v>
      </c>
      <c r="B976">
        <v>220</v>
      </c>
      <c r="C976">
        <v>1</v>
      </c>
      <c r="D976" t="s">
        <v>3397</v>
      </c>
      <c r="E976" t="s">
        <v>3419</v>
      </c>
      <c r="F976" t="s">
        <v>3420</v>
      </c>
      <c r="G976">
        <v>16301</v>
      </c>
      <c r="H976" t="s">
        <v>3405</v>
      </c>
      <c r="I976" t="s">
        <v>3391</v>
      </c>
      <c r="J976" t="s">
        <v>3392</v>
      </c>
      <c r="K976" t="s">
        <v>6315</v>
      </c>
      <c r="L976" t="s">
        <v>6778</v>
      </c>
      <c r="M976" t="s">
        <v>6779</v>
      </c>
      <c r="N976" t="s">
        <v>6792</v>
      </c>
      <c r="O976">
        <v>1</v>
      </c>
      <c r="P976" t="str">
        <f>+BARRAS[[#This Row],[Barra]]&amp;"_"&amp;BARRAS[[#This Row],[Nivel de tensión]]</f>
        <v>INCA_DE_ORO_220</v>
      </c>
    </row>
    <row r="977" spans="1:16">
      <c r="A977" t="s">
        <v>539</v>
      </c>
      <c r="B977">
        <v>23</v>
      </c>
      <c r="C977">
        <v>129</v>
      </c>
      <c r="D977" t="s">
        <v>5081</v>
      </c>
      <c r="E977" t="s">
        <v>5082</v>
      </c>
      <c r="F977" t="s">
        <v>5083</v>
      </c>
      <c r="G977">
        <v>16301</v>
      </c>
      <c r="H977" t="s">
        <v>3400</v>
      </c>
      <c r="I977" t="s">
        <v>3391</v>
      </c>
      <c r="J977" t="s">
        <v>3392</v>
      </c>
      <c r="K977" t="s">
        <v>3301</v>
      </c>
      <c r="L977" t="s">
        <v>6778</v>
      </c>
      <c r="M977" t="s">
        <v>6779</v>
      </c>
      <c r="N977" t="s">
        <v>6792</v>
      </c>
      <c r="O977">
        <v>1</v>
      </c>
      <c r="P977" t="str">
        <f>+BARRAS[[#This Row],[Barra]]&amp;"_"&amp;BARRAS[[#This Row],[Nivel de tensión]]</f>
        <v>INCAHUASI_23</v>
      </c>
    </row>
    <row r="978" spans="1:16">
      <c r="A978" t="s">
        <v>539</v>
      </c>
      <c r="B978">
        <v>110</v>
      </c>
      <c r="C978">
        <v>1</v>
      </c>
      <c r="D978" t="s">
        <v>5084</v>
      </c>
      <c r="E978" t="s">
        <v>5085</v>
      </c>
      <c r="F978" t="s">
        <v>3484</v>
      </c>
      <c r="G978">
        <v>16301</v>
      </c>
      <c r="H978" t="s">
        <v>3400</v>
      </c>
      <c r="I978" t="s">
        <v>3391</v>
      </c>
      <c r="J978" t="s">
        <v>3392</v>
      </c>
      <c r="K978" t="s">
        <v>3301</v>
      </c>
      <c r="L978" t="s">
        <v>6778</v>
      </c>
      <c r="M978" t="s">
        <v>6779</v>
      </c>
      <c r="N978" t="s">
        <v>6792</v>
      </c>
      <c r="O978">
        <v>1</v>
      </c>
      <c r="P978" t="str">
        <f>+BARRAS[[#This Row],[Barra]]&amp;"_"&amp;BARRAS[[#This Row],[Nivel de tensión]]</f>
        <v>INCAHUASI_110</v>
      </c>
    </row>
    <row r="979" spans="1:16">
      <c r="A979" t="s">
        <v>5086</v>
      </c>
      <c r="B979">
        <v>66</v>
      </c>
      <c r="C979">
        <v>1</v>
      </c>
      <c r="D979" t="s">
        <v>5087</v>
      </c>
      <c r="E979" t="s">
        <v>5088</v>
      </c>
      <c r="F979" t="s">
        <v>3484</v>
      </c>
      <c r="G979">
        <v>16301</v>
      </c>
      <c r="H979" t="s">
        <v>3414</v>
      </c>
      <c r="I979" t="s">
        <v>3391</v>
      </c>
      <c r="J979" t="s">
        <v>3392</v>
      </c>
      <c r="K979" t="s">
        <v>3304</v>
      </c>
      <c r="L979" t="s">
        <v>6778</v>
      </c>
      <c r="M979" t="s">
        <v>6779</v>
      </c>
      <c r="N979" t="s">
        <v>6792</v>
      </c>
      <c r="O979">
        <v>1</v>
      </c>
      <c r="P979" t="str">
        <f>+BARRAS[[#This Row],[Barra]]&amp;"_"&amp;BARRAS[[#This Row],[Nivel de tensión]]</f>
        <v>INDURA_66</v>
      </c>
    </row>
    <row r="980" spans="1:16">
      <c r="A980" t="s">
        <v>5089</v>
      </c>
      <c r="B980">
        <v>13</v>
      </c>
      <c r="C980">
        <v>1</v>
      </c>
      <c r="D980" t="s">
        <v>3397</v>
      </c>
      <c r="E980" t="s">
        <v>3419</v>
      </c>
      <c r="F980" t="s">
        <v>3420</v>
      </c>
      <c r="G980">
        <v>16301</v>
      </c>
      <c r="H980" t="s">
        <v>3405</v>
      </c>
      <c r="I980" t="s">
        <v>3391</v>
      </c>
      <c r="J980" t="s">
        <v>3392</v>
      </c>
      <c r="K980" t="s">
        <v>6315</v>
      </c>
      <c r="L980" t="s">
        <v>6778</v>
      </c>
      <c r="M980" t="s">
        <v>6779</v>
      </c>
      <c r="N980" t="s">
        <v>6792</v>
      </c>
      <c r="O980">
        <v>1</v>
      </c>
      <c r="P980" t="str">
        <f>+BARRAS[[#This Row],[Barra]]&amp;"_"&amp;BARRAS[[#This Row],[Nivel de tensión]]</f>
        <v>ISLA_13</v>
      </c>
    </row>
    <row r="981" spans="1:16">
      <c r="A981" t="s">
        <v>5089</v>
      </c>
      <c r="B981">
        <v>154</v>
      </c>
      <c r="C981">
        <v>1</v>
      </c>
      <c r="D981" t="s">
        <v>3397</v>
      </c>
      <c r="E981" t="s">
        <v>5090</v>
      </c>
      <c r="F981" t="s">
        <v>3420</v>
      </c>
      <c r="G981">
        <v>16301</v>
      </c>
      <c r="H981" t="s">
        <v>3405</v>
      </c>
      <c r="I981" t="s">
        <v>3391</v>
      </c>
      <c r="J981" t="s">
        <v>3392</v>
      </c>
      <c r="K981" t="s">
        <v>6315</v>
      </c>
      <c r="L981" t="s">
        <v>6778</v>
      </c>
      <c r="M981" t="s">
        <v>6779</v>
      </c>
      <c r="N981" t="s">
        <v>6792</v>
      </c>
      <c r="O981">
        <v>1</v>
      </c>
      <c r="P981" t="str">
        <f>+BARRAS[[#This Row],[Barra]]&amp;"_"&amp;BARRAS[[#This Row],[Nivel de tensión]]</f>
        <v>ISLA_154</v>
      </c>
    </row>
    <row r="982" spans="1:16">
      <c r="A982" t="s">
        <v>545</v>
      </c>
      <c r="B982">
        <v>13</v>
      </c>
      <c r="C982">
        <v>218</v>
      </c>
      <c r="D982" t="s">
        <v>5091</v>
      </c>
      <c r="E982" t="s">
        <v>5092</v>
      </c>
      <c r="F982" t="s">
        <v>5093</v>
      </c>
      <c r="G982">
        <v>16301</v>
      </c>
      <c r="H982" t="s">
        <v>3414</v>
      </c>
      <c r="I982" t="s">
        <v>3391</v>
      </c>
      <c r="J982" t="s">
        <v>3392</v>
      </c>
      <c r="K982" t="s">
        <v>3304</v>
      </c>
      <c r="L982" t="s">
        <v>6778</v>
      </c>
      <c r="M982" t="s">
        <v>6779</v>
      </c>
      <c r="N982" t="s">
        <v>6792</v>
      </c>
      <c r="O982">
        <v>1</v>
      </c>
      <c r="P982" t="str">
        <f>+BARRAS[[#This Row],[Barra]]&amp;"_"&amp;BARRAS[[#This Row],[Nivel de tensión]]</f>
        <v>ISLADMAIPO_13</v>
      </c>
    </row>
    <row r="983" spans="1:16">
      <c r="A983" t="s">
        <v>545</v>
      </c>
      <c r="B983">
        <v>66</v>
      </c>
      <c r="C983">
        <v>378</v>
      </c>
      <c r="D983" t="s">
        <v>5094</v>
      </c>
      <c r="E983" t="s">
        <v>5095</v>
      </c>
      <c r="F983" t="s">
        <v>5093</v>
      </c>
      <c r="G983">
        <v>16301</v>
      </c>
      <c r="H983" t="s">
        <v>3414</v>
      </c>
      <c r="I983" t="s">
        <v>3391</v>
      </c>
      <c r="J983" t="s">
        <v>3392</v>
      </c>
      <c r="K983" t="s">
        <v>3304</v>
      </c>
      <c r="L983" t="s">
        <v>6778</v>
      </c>
      <c r="M983" t="s">
        <v>6779</v>
      </c>
      <c r="N983" t="s">
        <v>6792</v>
      </c>
      <c r="O983">
        <v>1</v>
      </c>
      <c r="P983" t="str">
        <f>+BARRAS[[#This Row],[Barra]]&amp;"_"&amp;BARRAS[[#This Row],[Nivel de tensión]]</f>
        <v>ISLADMAIPO_66</v>
      </c>
    </row>
    <row r="984" spans="1:16">
      <c r="A984" t="s">
        <v>548</v>
      </c>
      <c r="B984">
        <v>13</v>
      </c>
      <c r="C984">
        <v>2517</v>
      </c>
      <c r="D984" t="s">
        <v>5096</v>
      </c>
      <c r="E984" t="s">
        <v>5097</v>
      </c>
      <c r="F984" t="s">
        <v>5098</v>
      </c>
      <c r="G984">
        <v>16301</v>
      </c>
      <c r="H984" t="s">
        <v>3414</v>
      </c>
      <c r="I984" t="s">
        <v>3391</v>
      </c>
      <c r="J984" t="s">
        <v>3392</v>
      </c>
      <c r="K984" t="s">
        <v>3304</v>
      </c>
      <c r="L984" t="s">
        <v>6778</v>
      </c>
      <c r="M984" t="s">
        <v>6779</v>
      </c>
      <c r="N984" t="s">
        <v>6792</v>
      </c>
      <c r="O984">
        <v>1</v>
      </c>
      <c r="P984" t="str">
        <f>+BARRAS[[#This Row],[Barra]]&amp;"_"&amp;BARRAS[[#This Row],[Nivel de tensión]]</f>
        <v>ITAHUE_13</v>
      </c>
    </row>
    <row r="985" spans="1:16">
      <c r="A985" t="s">
        <v>548</v>
      </c>
      <c r="B985">
        <v>66</v>
      </c>
      <c r="C985">
        <v>1147</v>
      </c>
      <c r="D985" t="s">
        <v>3450</v>
      </c>
      <c r="E985" t="s">
        <v>3451</v>
      </c>
      <c r="F985" t="s">
        <v>3452</v>
      </c>
      <c r="G985">
        <v>16301</v>
      </c>
      <c r="H985" t="s">
        <v>3414</v>
      </c>
      <c r="I985" t="s">
        <v>3391</v>
      </c>
      <c r="J985" t="s">
        <v>3392</v>
      </c>
      <c r="K985" t="s">
        <v>3304</v>
      </c>
      <c r="L985" t="s">
        <v>6778</v>
      </c>
      <c r="M985" t="s">
        <v>6779</v>
      </c>
      <c r="N985" t="s">
        <v>6792</v>
      </c>
      <c r="O985">
        <v>1</v>
      </c>
      <c r="P985" t="str">
        <f>+BARRAS[[#This Row],[Barra]]&amp;"_"&amp;BARRAS[[#This Row],[Nivel de tensión]]</f>
        <v>ITAHUE_66</v>
      </c>
    </row>
    <row r="986" spans="1:16">
      <c r="A986" t="s">
        <v>548</v>
      </c>
      <c r="B986">
        <v>154</v>
      </c>
      <c r="C986">
        <v>491</v>
      </c>
      <c r="D986" t="s">
        <v>5099</v>
      </c>
      <c r="E986" t="s">
        <v>5100</v>
      </c>
      <c r="F986" t="s">
        <v>5098</v>
      </c>
      <c r="G986">
        <v>16301</v>
      </c>
      <c r="H986" t="s">
        <v>3414</v>
      </c>
      <c r="I986" t="s">
        <v>3391</v>
      </c>
      <c r="J986" t="s">
        <v>3392</v>
      </c>
      <c r="K986" t="s">
        <v>3304</v>
      </c>
      <c r="L986" t="s">
        <v>6778</v>
      </c>
      <c r="M986" t="s">
        <v>6779</v>
      </c>
      <c r="N986" t="s">
        <v>6792</v>
      </c>
      <c r="O986">
        <v>1</v>
      </c>
      <c r="P986" t="str">
        <f>+BARRAS[[#This Row],[Barra]]&amp;"_"&amp;BARRAS[[#This Row],[Nivel de tensión]]</f>
        <v>ITAHUE_154</v>
      </c>
    </row>
    <row r="987" spans="1:16">
      <c r="A987" t="s">
        <v>548</v>
      </c>
      <c r="B987">
        <v>220</v>
      </c>
      <c r="C987">
        <v>1</v>
      </c>
      <c r="D987" t="s">
        <v>3397</v>
      </c>
      <c r="E987" t="s">
        <v>5101</v>
      </c>
      <c r="F987" t="s">
        <v>3420</v>
      </c>
      <c r="G987">
        <v>16301</v>
      </c>
      <c r="H987" t="s">
        <v>3414</v>
      </c>
      <c r="I987" t="s">
        <v>3391</v>
      </c>
      <c r="J987" t="s">
        <v>3392</v>
      </c>
      <c r="K987" t="s">
        <v>3304</v>
      </c>
      <c r="L987" t="s">
        <v>6778</v>
      </c>
      <c r="M987" t="s">
        <v>6779</v>
      </c>
      <c r="N987" t="s">
        <v>6792</v>
      </c>
      <c r="O987">
        <v>1</v>
      </c>
      <c r="P987" t="str">
        <f>+BARRAS[[#This Row],[Barra]]&amp;"_"&amp;BARRAS[[#This Row],[Nivel de tensión]]</f>
        <v>ITAHUE_220</v>
      </c>
    </row>
    <row r="988" spans="1:16">
      <c r="A988" t="s">
        <v>5102</v>
      </c>
      <c r="B988">
        <v>220</v>
      </c>
      <c r="C988">
        <v>3795</v>
      </c>
      <c r="D988" t="s">
        <v>3811</v>
      </c>
      <c r="E988" t="s">
        <v>4195</v>
      </c>
      <c r="F988" t="s">
        <v>5103</v>
      </c>
      <c r="G988">
        <v>2101</v>
      </c>
      <c r="H988" t="s">
        <v>3701</v>
      </c>
      <c r="I988" t="s">
        <v>3391</v>
      </c>
      <c r="J988" t="s">
        <v>3922</v>
      </c>
      <c r="K988" t="s">
        <v>6315</v>
      </c>
      <c r="L988" t="s">
        <v>6778</v>
      </c>
      <c r="M988" t="s">
        <v>6779</v>
      </c>
      <c r="N988" t="s">
        <v>6792</v>
      </c>
      <c r="O988">
        <v>1</v>
      </c>
      <c r="P988" t="str">
        <f>+BARRAS[[#This Row],[Barra]]&amp;"_"&amp;BARRAS[[#This Row],[Nivel de tensión]]</f>
        <v>JADRESIC_220</v>
      </c>
    </row>
    <row r="989" spans="1:16">
      <c r="A989" t="s">
        <v>5155</v>
      </c>
      <c r="B989">
        <v>66</v>
      </c>
      <c r="C989">
        <v>1</v>
      </c>
      <c r="D989" t="s">
        <v>3397</v>
      </c>
      <c r="E989" t="s">
        <v>5159</v>
      </c>
      <c r="F989" t="s">
        <v>3420</v>
      </c>
      <c r="G989">
        <v>16301</v>
      </c>
      <c r="H989" t="s">
        <v>3390</v>
      </c>
      <c r="I989" t="s">
        <v>3391</v>
      </c>
      <c r="J989" t="s">
        <v>3392</v>
      </c>
      <c r="K989" t="s">
        <v>3305</v>
      </c>
      <c r="L989" t="s">
        <v>6778</v>
      </c>
      <c r="M989" t="s">
        <v>6779</v>
      </c>
      <c r="N989" t="s">
        <v>6792</v>
      </c>
      <c r="O989">
        <v>1</v>
      </c>
      <c r="P989" t="str">
        <f>+BARRAS[[#This Row],[Barra]]&amp;"_"&amp;BARRAS[[#This Row],[Nivel de tensión]]</f>
        <v>L.LAGOS_66</v>
      </c>
    </row>
    <row r="990" spans="1:16">
      <c r="A990" t="s">
        <v>5160</v>
      </c>
      <c r="B990">
        <v>110</v>
      </c>
      <c r="C990">
        <v>1</v>
      </c>
      <c r="D990" t="s">
        <v>5161</v>
      </c>
      <c r="E990" t="s">
        <v>5162</v>
      </c>
      <c r="F990" t="s">
        <v>3484</v>
      </c>
      <c r="G990">
        <v>16301</v>
      </c>
      <c r="H990" t="s">
        <v>3396</v>
      </c>
      <c r="I990" t="s">
        <v>3391</v>
      </c>
      <c r="J990" t="s">
        <v>3392</v>
      </c>
      <c r="K990" t="s">
        <v>6315</v>
      </c>
      <c r="L990" t="s">
        <v>6778</v>
      </c>
      <c r="M990" t="s">
        <v>6779</v>
      </c>
      <c r="N990" t="s">
        <v>6792</v>
      </c>
      <c r="O990">
        <v>1</v>
      </c>
      <c r="P990" t="str">
        <f>+BARRAS[[#This Row],[Barra]]&amp;"_"&amp;BARRAS[[#This Row],[Nivel de tensión]]</f>
        <v>L.LAJA_110</v>
      </c>
    </row>
    <row r="991" spans="1:16">
      <c r="A991" t="s">
        <v>5163</v>
      </c>
      <c r="B991">
        <v>33</v>
      </c>
      <c r="C991">
        <v>1</v>
      </c>
      <c r="D991" t="s">
        <v>3397</v>
      </c>
      <c r="E991" t="s">
        <v>5164</v>
      </c>
      <c r="F991" t="s">
        <v>3420</v>
      </c>
      <c r="G991">
        <v>16301</v>
      </c>
      <c r="H991" t="s">
        <v>3414</v>
      </c>
      <c r="I991" t="s">
        <v>3391</v>
      </c>
      <c r="J991" t="s">
        <v>3392</v>
      </c>
      <c r="K991" t="s">
        <v>3304</v>
      </c>
      <c r="L991" t="s">
        <v>6778</v>
      </c>
      <c r="M991" t="s">
        <v>6779</v>
      </c>
      <c r="N991" t="s">
        <v>6792</v>
      </c>
      <c r="O991">
        <v>1</v>
      </c>
      <c r="P991" t="str">
        <f>+BARRAS[[#This Row],[Barra]]&amp;"_"&amp;BARRAS[[#This Row],[Nivel de tensión]]</f>
        <v>L.LAJUELAS_33</v>
      </c>
    </row>
    <row r="992" spans="1:16">
      <c r="A992" t="s">
        <v>5165</v>
      </c>
      <c r="B992">
        <v>66</v>
      </c>
      <c r="C992">
        <v>1150</v>
      </c>
      <c r="D992" t="s">
        <v>5166</v>
      </c>
      <c r="E992" t="s">
        <v>5167</v>
      </c>
      <c r="F992" t="s">
        <v>5168</v>
      </c>
      <c r="G992">
        <v>16301</v>
      </c>
      <c r="H992" t="s">
        <v>3414</v>
      </c>
      <c r="I992" t="s">
        <v>3391</v>
      </c>
      <c r="J992" t="s">
        <v>3392</v>
      </c>
      <c r="K992" t="s">
        <v>3304</v>
      </c>
      <c r="L992" t="s">
        <v>6778</v>
      </c>
      <c r="M992" t="s">
        <v>6779</v>
      </c>
      <c r="N992" t="s">
        <v>6792</v>
      </c>
      <c r="O992">
        <v>1</v>
      </c>
      <c r="P992" t="str">
        <f>+BARRAS[[#This Row],[Barra]]&amp;"_"&amp;BARRAS[[#This Row],[Nivel de tensión]]</f>
        <v>L.LIRIOS_66</v>
      </c>
    </row>
    <row r="993" spans="1:16">
      <c r="A993" t="s">
        <v>585</v>
      </c>
      <c r="B993">
        <v>13</v>
      </c>
      <c r="C993">
        <v>545</v>
      </c>
      <c r="D993" t="s">
        <v>5169</v>
      </c>
      <c r="E993" t="s">
        <v>5170</v>
      </c>
      <c r="F993" t="s">
        <v>5171</v>
      </c>
      <c r="G993">
        <v>16301</v>
      </c>
      <c r="H993" t="s">
        <v>3400</v>
      </c>
      <c r="I993" t="s">
        <v>3391</v>
      </c>
      <c r="J993" t="s">
        <v>3392</v>
      </c>
      <c r="K993" t="s">
        <v>3301</v>
      </c>
      <c r="L993" t="s">
        <v>6778</v>
      </c>
      <c r="M993" t="s">
        <v>6779</v>
      </c>
      <c r="N993" t="s">
        <v>6792</v>
      </c>
      <c r="O993">
        <v>1</v>
      </c>
      <c r="P993" t="str">
        <f>+BARRAS[[#This Row],[Barra]]&amp;"_"&amp;BARRAS[[#This Row],[Nivel de tensión]]</f>
        <v>L.LOROS_13</v>
      </c>
    </row>
    <row r="994" spans="1:16">
      <c r="A994" t="s">
        <v>585</v>
      </c>
      <c r="B994">
        <v>110</v>
      </c>
      <c r="C994">
        <v>1</v>
      </c>
      <c r="D994" t="s">
        <v>3397</v>
      </c>
      <c r="E994" t="s">
        <v>5172</v>
      </c>
      <c r="F994" t="s">
        <v>3420</v>
      </c>
      <c r="G994">
        <v>16301</v>
      </c>
      <c r="H994" t="s">
        <v>3400</v>
      </c>
      <c r="I994" t="s">
        <v>3391</v>
      </c>
      <c r="J994" t="s">
        <v>3392</v>
      </c>
      <c r="K994" t="s">
        <v>3301</v>
      </c>
      <c r="L994" t="s">
        <v>6778</v>
      </c>
      <c r="M994" t="s">
        <v>6779</v>
      </c>
      <c r="N994" t="s">
        <v>6792</v>
      </c>
      <c r="O994">
        <v>1</v>
      </c>
      <c r="P994" t="str">
        <f>+BARRAS[[#This Row],[Barra]]&amp;"_"&amp;BARRAS[[#This Row],[Nivel de tensión]]</f>
        <v>L.LOROS_110</v>
      </c>
    </row>
    <row r="995" spans="1:16">
      <c r="A995" t="s">
        <v>5173</v>
      </c>
      <c r="B995">
        <v>110</v>
      </c>
      <c r="C995">
        <v>1821</v>
      </c>
      <c r="D995" t="s">
        <v>5174</v>
      </c>
      <c r="E995" t="s">
        <v>5175</v>
      </c>
      <c r="F995" t="s">
        <v>3484</v>
      </c>
      <c r="G995">
        <v>16301</v>
      </c>
      <c r="H995" t="s">
        <v>3400</v>
      </c>
      <c r="I995" t="s">
        <v>3391</v>
      </c>
      <c r="J995" t="s">
        <v>3392</v>
      </c>
      <c r="K995" t="s">
        <v>3301</v>
      </c>
      <c r="L995" t="s">
        <v>6778</v>
      </c>
      <c r="M995" t="s">
        <v>6779</v>
      </c>
      <c r="N995" t="s">
        <v>6792</v>
      </c>
      <c r="O995">
        <v>1</v>
      </c>
      <c r="P995" t="str">
        <f>+BARRAS[[#This Row],[Barra]]&amp;"_"&amp;BARRAS[[#This Row],[Nivel de tensión]]</f>
        <v>L.LUCES_110</v>
      </c>
    </row>
    <row r="996" spans="1:16">
      <c r="A996" t="s">
        <v>589</v>
      </c>
      <c r="B996">
        <v>110</v>
      </c>
      <c r="C996">
        <v>1</v>
      </c>
      <c r="D996" t="s">
        <v>3397</v>
      </c>
      <c r="E996" t="s">
        <v>5176</v>
      </c>
      <c r="F996" t="s">
        <v>3420</v>
      </c>
      <c r="G996">
        <v>16301</v>
      </c>
      <c r="H996" t="s">
        <v>3405</v>
      </c>
      <c r="I996" t="s">
        <v>3391</v>
      </c>
      <c r="J996" t="s">
        <v>3392</v>
      </c>
      <c r="K996" t="s">
        <v>6315</v>
      </c>
      <c r="L996" t="s">
        <v>6778</v>
      </c>
      <c r="M996" t="s">
        <v>6779</v>
      </c>
      <c r="N996" t="s">
        <v>6792</v>
      </c>
      <c r="O996">
        <v>1</v>
      </c>
      <c r="P996" t="str">
        <f>+BARRAS[[#This Row],[Barra]]&amp;"_"&amp;BARRAS[[#This Row],[Nivel de tensión]]</f>
        <v>L.MAQUIS_110</v>
      </c>
    </row>
    <row r="997" spans="1:16">
      <c r="A997" t="s">
        <v>589</v>
      </c>
      <c r="B997">
        <v>220</v>
      </c>
      <c r="C997">
        <v>93</v>
      </c>
      <c r="D997" t="s">
        <v>5177</v>
      </c>
      <c r="E997" t="s">
        <v>5178</v>
      </c>
      <c r="F997" t="s">
        <v>5179</v>
      </c>
      <c r="G997">
        <v>16301</v>
      </c>
      <c r="H997" t="s">
        <v>3409</v>
      </c>
      <c r="I997" t="s">
        <v>3391</v>
      </c>
      <c r="J997" t="s">
        <v>3392</v>
      </c>
      <c r="K997" t="s">
        <v>6315</v>
      </c>
      <c r="L997" t="s">
        <v>6778</v>
      </c>
      <c r="M997" t="s">
        <v>6779</v>
      </c>
      <c r="N997" t="s">
        <v>6792</v>
      </c>
      <c r="O997">
        <v>1</v>
      </c>
      <c r="P997" t="str">
        <f>+BARRAS[[#This Row],[Barra]]&amp;"_"&amp;BARRAS[[#This Row],[Nivel de tensión]]</f>
        <v>L.MAQUIS_220</v>
      </c>
    </row>
    <row r="998" spans="1:16">
      <c r="A998" t="s">
        <v>5180</v>
      </c>
      <c r="B998">
        <v>13</v>
      </c>
      <c r="C998">
        <v>427</v>
      </c>
      <c r="D998" t="s">
        <v>5181</v>
      </c>
      <c r="E998" t="s">
        <v>5182</v>
      </c>
      <c r="F998" t="s">
        <v>5183</v>
      </c>
      <c r="G998">
        <v>16301</v>
      </c>
      <c r="H998" t="s">
        <v>3390</v>
      </c>
      <c r="I998" t="s">
        <v>3391</v>
      </c>
      <c r="J998" t="s">
        <v>3392</v>
      </c>
      <c r="K998" t="s">
        <v>3305</v>
      </c>
      <c r="L998" t="s">
        <v>6778</v>
      </c>
      <c r="M998" t="s">
        <v>6779</v>
      </c>
      <c r="N998" t="s">
        <v>6792</v>
      </c>
      <c r="O998">
        <v>1</v>
      </c>
      <c r="P998" t="str">
        <f>+BARRAS[[#This Row],[Barra]]&amp;"_"&amp;BARRAS[[#This Row],[Nivel de tensión]]</f>
        <v>L.NEGROS2_13</v>
      </c>
    </row>
    <row r="999" spans="1:16">
      <c r="A999" t="s">
        <v>5180</v>
      </c>
      <c r="B999">
        <v>66</v>
      </c>
      <c r="C999">
        <v>1</v>
      </c>
      <c r="D999" t="s">
        <v>3397</v>
      </c>
      <c r="E999" t="s">
        <v>5184</v>
      </c>
      <c r="F999" t="s">
        <v>3420</v>
      </c>
      <c r="G999">
        <v>16301</v>
      </c>
      <c r="H999" t="s">
        <v>3390</v>
      </c>
      <c r="I999" t="s">
        <v>3391</v>
      </c>
      <c r="J999" t="s">
        <v>3392</v>
      </c>
      <c r="K999" t="s">
        <v>3305</v>
      </c>
      <c r="L999" t="s">
        <v>6778</v>
      </c>
      <c r="M999" t="s">
        <v>6779</v>
      </c>
      <c r="N999" t="s">
        <v>6792</v>
      </c>
      <c r="O999">
        <v>1</v>
      </c>
      <c r="P999" t="str">
        <f>+BARRAS[[#This Row],[Barra]]&amp;"_"&amp;BARRAS[[#This Row],[Nivel de tensión]]</f>
        <v>L.NEGROS2_66</v>
      </c>
    </row>
    <row r="1000" spans="1:16">
      <c r="A1000" t="s">
        <v>5185</v>
      </c>
      <c r="B1000">
        <v>220</v>
      </c>
      <c r="C1000">
        <v>498</v>
      </c>
      <c r="D1000" t="s">
        <v>5186</v>
      </c>
      <c r="E1000" t="s">
        <v>5187</v>
      </c>
      <c r="F1000" t="s">
        <v>5188</v>
      </c>
      <c r="G1000">
        <v>16301</v>
      </c>
      <c r="H1000" t="s">
        <v>3409</v>
      </c>
      <c r="I1000" t="s">
        <v>3391</v>
      </c>
      <c r="J1000" t="s">
        <v>3392</v>
      </c>
      <c r="K1000" t="s">
        <v>6315</v>
      </c>
      <c r="L1000" t="s">
        <v>6778</v>
      </c>
      <c r="M1000" t="s">
        <v>6779</v>
      </c>
      <c r="N1000" t="s">
        <v>6792</v>
      </c>
      <c r="O1000">
        <v>1</v>
      </c>
      <c r="P1000" t="str">
        <f>+BARRAS[[#This Row],[Barra]]&amp;"_"&amp;BARRAS[[#This Row],[Nivel de tensión]]</f>
        <v>L.PALMAS_220</v>
      </c>
    </row>
    <row r="1001" spans="1:16">
      <c r="A1001" t="s">
        <v>5189</v>
      </c>
      <c r="B1001">
        <v>66</v>
      </c>
      <c r="C1001">
        <v>1</v>
      </c>
      <c r="D1001" t="s">
        <v>3397</v>
      </c>
      <c r="E1001" t="s">
        <v>5190</v>
      </c>
      <c r="F1001" t="s">
        <v>3420</v>
      </c>
      <c r="G1001">
        <v>16301</v>
      </c>
      <c r="H1001" t="s">
        <v>3405</v>
      </c>
      <c r="I1001" t="s">
        <v>3391</v>
      </c>
      <c r="J1001" t="s">
        <v>3392</v>
      </c>
      <c r="K1001" t="s">
        <v>6315</v>
      </c>
      <c r="L1001" t="s">
        <v>6778</v>
      </c>
      <c r="M1001" t="s">
        <v>6779</v>
      </c>
      <c r="N1001" t="s">
        <v>6792</v>
      </c>
      <c r="O1001">
        <v>1</v>
      </c>
      <c r="P1001" t="str">
        <f>+BARRAS[[#This Row],[Barra]]&amp;"_"&amp;BARRAS[[#This Row],[Nivel de tensión]]</f>
        <v>L.QUILOS_66</v>
      </c>
    </row>
    <row r="1002" spans="1:16">
      <c r="A1002" t="s">
        <v>5189</v>
      </c>
      <c r="B1002">
        <v>110</v>
      </c>
      <c r="C1002">
        <v>1</v>
      </c>
      <c r="D1002" t="s">
        <v>3397</v>
      </c>
      <c r="E1002" t="s">
        <v>5191</v>
      </c>
      <c r="F1002" t="s">
        <v>3420</v>
      </c>
      <c r="G1002">
        <v>16301</v>
      </c>
      <c r="H1002" t="s">
        <v>3405</v>
      </c>
      <c r="I1002" t="s">
        <v>3391</v>
      </c>
      <c r="J1002" t="s">
        <v>3392</v>
      </c>
      <c r="K1002" t="s">
        <v>6315</v>
      </c>
      <c r="L1002" t="s">
        <v>6778</v>
      </c>
      <c r="M1002" t="s">
        <v>6779</v>
      </c>
      <c r="N1002" t="s">
        <v>6792</v>
      </c>
      <c r="O1002">
        <v>1</v>
      </c>
      <c r="P1002" t="str">
        <f>+BARRAS[[#This Row],[Barra]]&amp;"_"&amp;BARRAS[[#This Row],[Nivel de tensión]]</f>
        <v>L.QUILOS_110</v>
      </c>
    </row>
    <row r="1003" spans="1:16">
      <c r="A1003" t="s">
        <v>5192</v>
      </c>
      <c r="B1003">
        <v>13</v>
      </c>
      <c r="C1003">
        <v>420</v>
      </c>
      <c r="D1003" t="s">
        <v>5193</v>
      </c>
      <c r="E1003" t="s">
        <v>5194</v>
      </c>
      <c r="F1003" t="s">
        <v>5195</v>
      </c>
      <c r="G1003">
        <v>16301</v>
      </c>
      <c r="H1003" t="s">
        <v>3390</v>
      </c>
      <c r="I1003" t="s">
        <v>3391</v>
      </c>
      <c r="J1003" t="s">
        <v>3392</v>
      </c>
      <c r="K1003" t="s">
        <v>3305</v>
      </c>
      <c r="L1003" t="s">
        <v>6778</v>
      </c>
      <c r="M1003" t="s">
        <v>6779</v>
      </c>
      <c r="N1003" t="s">
        <v>6792</v>
      </c>
      <c r="O1003">
        <v>1</v>
      </c>
      <c r="P1003" t="str">
        <f>+BARRAS[[#This Row],[Barra]]&amp;"_"&amp;BARRAS[[#This Row],[Nivel de tensión]]</f>
        <v>L.UNION_13</v>
      </c>
    </row>
    <row r="1004" spans="1:16">
      <c r="A1004" t="s">
        <v>5192</v>
      </c>
      <c r="B1004">
        <v>66</v>
      </c>
      <c r="C1004">
        <v>1</v>
      </c>
      <c r="D1004" t="s">
        <v>3397</v>
      </c>
      <c r="E1004" t="s">
        <v>5196</v>
      </c>
      <c r="F1004" t="s">
        <v>3420</v>
      </c>
      <c r="G1004">
        <v>16301</v>
      </c>
      <c r="H1004" t="s">
        <v>3390</v>
      </c>
      <c r="I1004" t="s">
        <v>3391</v>
      </c>
      <c r="J1004" t="s">
        <v>3392</v>
      </c>
      <c r="K1004" t="s">
        <v>3305</v>
      </c>
      <c r="L1004" t="s">
        <v>6778</v>
      </c>
      <c r="M1004" t="s">
        <v>6779</v>
      </c>
      <c r="N1004" t="s">
        <v>6792</v>
      </c>
      <c r="O1004">
        <v>1</v>
      </c>
      <c r="P1004" t="str">
        <f>+BARRAS[[#This Row],[Barra]]&amp;"_"&amp;BARRAS[[#This Row],[Nivel de tensión]]</f>
        <v>L.UNION_66</v>
      </c>
    </row>
    <row r="1005" spans="1:16">
      <c r="A1005" t="s">
        <v>599</v>
      </c>
      <c r="B1005">
        <v>13</v>
      </c>
      <c r="C1005">
        <v>1011</v>
      </c>
      <c r="D1005" t="s">
        <v>5197</v>
      </c>
      <c r="E1005" t="s">
        <v>5198</v>
      </c>
      <c r="F1005" t="s">
        <v>5199</v>
      </c>
      <c r="G1005">
        <v>16301</v>
      </c>
      <c r="H1005" t="s">
        <v>3418</v>
      </c>
      <c r="I1005" t="s">
        <v>3391</v>
      </c>
      <c r="J1005" t="s">
        <v>3392</v>
      </c>
      <c r="K1005" t="s">
        <v>3302</v>
      </c>
      <c r="L1005" t="s">
        <v>6778</v>
      </c>
      <c r="M1005" t="s">
        <v>6779</v>
      </c>
      <c r="N1005" t="s">
        <v>6792</v>
      </c>
      <c r="O1005">
        <v>1</v>
      </c>
      <c r="P1005" t="str">
        <f>+BARRAS[[#This Row],[Barra]]&amp;"_"&amp;BARRAS[[#This Row],[Nivel de tensión]]</f>
        <v>L.VEGAS_13</v>
      </c>
    </row>
    <row r="1006" spans="1:16">
      <c r="A1006" t="s">
        <v>599</v>
      </c>
      <c r="B1006">
        <v>44</v>
      </c>
      <c r="C1006">
        <v>1</v>
      </c>
      <c r="D1006" t="s">
        <v>3397</v>
      </c>
      <c r="E1006" t="s">
        <v>5200</v>
      </c>
      <c r="F1006" t="s">
        <v>3420</v>
      </c>
      <c r="G1006">
        <v>16301</v>
      </c>
      <c r="H1006" t="s">
        <v>3418</v>
      </c>
      <c r="I1006" t="s">
        <v>3391</v>
      </c>
      <c r="J1006" t="s">
        <v>3392</v>
      </c>
      <c r="K1006" t="s">
        <v>3302</v>
      </c>
      <c r="L1006" t="s">
        <v>6778</v>
      </c>
      <c r="M1006" t="s">
        <v>6779</v>
      </c>
      <c r="N1006" t="s">
        <v>6792</v>
      </c>
      <c r="O1006">
        <v>1</v>
      </c>
      <c r="P1006" t="str">
        <f>+BARRAS[[#This Row],[Barra]]&amp;"_"&amp;BARRAS[[#This Row],[Nivel de tensión]]</f>
        <v>L.VEGAS_44</v>
      </c>
    </row>
    <row r="1007" spans="1:16">
      <c r="A1007" t="s">
        <v>599</v>
      </c>
      <c r="B1007">
        <v>110</v>
      </c>
      <c r="C1007">
        <v>1007</v>
      </c>
      <c r="D1007" t="s">
        <v>5201</v>
      </c>
      <c r="E1007" t="s">
        <v>5202</v>
      </c>
      <c r="F1007" t="s">
        <v>5199</v>
      </c>
      <c r="G1007">
        <v>16301</v>
      </c>
      <c r="H1007" t="s">
        <v>3418</v>
      </c>
      <c r="I1007" t="s">
        <v>3391</v>
      </c>
      <c r="J1007" t="s">
        <v>3392</v>
      </c>
      <c r="K1007" t="s">
        <v>3302</v>
      </c>
      <c r="L1007" t="s">
        <v>6778</v>
      </c>
      <c r="M1007" t="s">
        <v>6779</v>
      </c>
      <c r="N1007" t="s">
        <v>6792</v>
      </c>
      <c r="O1007">
        <v>1</v>
      </c>
      <c r="P1007" t="str">
        <f>+BARRAS[[#This Row],[Barra]]&amp;"_"&amp;BARRAS[[#This Row],[Nivel de tensión]]</f>
        <v>L.VEGAS_110</v>
      </c>
    </row>
    <row r="1008" spans="1:16">
      <c r="A1008" t="s">
        <v>5203</v>
      </c>
      <c r="B1008">
        <v>110</v>
      </c>
      <c r="C1008">
        <v>1</v>
      </c>
      <c r="D1008" t="s">
        <v>3397</v>
      </c>
      <c r="E1008" t="s">
        <v>3419</v>
      </c>
      <c r="F1008" t="s">
        <v>3420</v>
      </c>
      <c r="G1008">
        <v>16301</v>
      </c>
      <c r="H1008" t="s">
        <v>3469</v>
      </c>
      <c r="I1008" t="s">
        <v>3391</v>
      </c>
      <c r="J1008" t="s">
        <v>3392</v>
      </c>
      <c r="K1008" t="s">
        <v>3303</v>
      </c>
      <c r="L1008" t="s">
        <v>6778</v>
      </c>
      <c r="M1008" t="s">
        <v>6779</v>
      </c>
      <c r="N1008" t="s">
        <v>6792</v>
      </c>
      <c r="O1008">
        <v>1</v>
      </c>
      <c r="P1008" t="str">
        <f>+BARRAS[[#This Row],[Barra]]&amp;"_"&amp;BARRAS[[#This Row],[Nivel de tensión]]</f>
        <v>L.VEGAS2_110</v>
      </c>
    </row>
    <row r="1009" spans="1:16">
      <c r="A1009" t="s">
        <v>5204</v>
      </c>
      <c r="B1009">
        <v>66</v>
      </c>
      <c r="C1009">
        <v>1</v>
      </c>
      <c r="D1009" t="s">
        <v>3397</v>
      </c>
      <c r="E1009" t="s">
        <v>5205</v>
      </c>
      <c r="F1009" t="s">
        <v>3420</v>
      </c>
      <c r="G1009">
        <v>16301</v>
      </c>
      <c r="H1009" t="s">
        <v>3418</v>
      </c>
      <c r="I1009" t="s">
        <v>3391</v>
      </c>
      <c r="J1009" t="s">
        <v>3392</v>
      </c>
      <c r="K1009" t="s">
        <v>3302</v>
      </c>
      <c r="L1009" t="s">
        <v>6778</v>
      </c>
      <c r="M1009" t="s">
        <v>6779</v>
      </c>
      <c r="N1009" t="s">
        <v>6792</v>
      </c>
      <c r="O1009">
        <v>1</v>
      </c>
      <c r="P1009" t="str">
        <f>+BARRAS[[#This Row],[Barra]]&amp;"_"&amp;BARRAS[[#This Row],[Nivel de tensión]]</f>
        <v>L.VERDE_66</v>
      </c>
    </row>
    <row r="1010" spans="1:16">
      <c r="A1010" t="s">
        <v>5204</v>
      </c>
      <c r="B1010">
        <v>110</v>
      </c>
      <c r="C1010">
        <v>1</v>
      </c>
      <c r="D1010" t="s">
        <v>3397</v>
      </c>
      <c r="E1010" t="s">
        <v>5206</v>
      </c>
      <c r="F1010" t="s">
        <v>3420</v>
      </c>
      <c r="G1010">
        <v>16301</v>
      </c>
      <c r="H1010" t="s">
        <v>3418</v>
      </c>
      <c r="I1010" t="s">
        <v>3391</v>
      </c>
      <c r="J1010" t="s">
        <v>3392</v>
      </c>
      <c r="K1010" t="s">
        <v>3302</v>
      </c>
      <c r="L1010" t="s">
        <v>6778</v>
      </c>
      <c r="M1010" t="s">
        <v>6779</v>
      </c>
      <c r="N1010" t="s">
        <v>6792</v>
      </c>
      <c r="O1010">
        <v>1</v>
      </c>
      <c r="P1010" t="str">
        <f>+BARRAS[[#This Row],[Barra]]&amp;"_"&amp;BARRAS[[#This Row],[Nivel de tensión]]</f>
        <v>L.VERDE_110</v>
      </c>
    </row>
    <row r="1011" spans="1:16">
      <c r="A1011" t="s">
        <v>606</v>
      </c>
      <c r="B1011">
        <v>220</v>
      </c>
      <c r="C1011">
        <v>501</v>
      </c>
      <c r="D1011" t="s">
        <v>5207</v>
      </c>
      <c r="E1011" t="s">
        <v>5208</v>
      </c>
      <c r="F1011" t="s">
        <v>5209</v>
      </c>
      <c r="G1011">
        <v>16301</v>
      </c>
      <c r="H1011" t="s">
        <v>3409</v>
      </c>
      <c r="I1011" t="s">
        <v>3391</v>
      </c>
      <c r="J1011" t="s">
        <v>3392</v>
      </c>
      <c r="K1011" t="s">
        <v>6315</v>
      </c>
      <c r="L1011" t="s">
        <v>6778</v>
      </c>
      <c r="M1011" t="s">
        <v>6779</v>
      </c>
      <c r="N1011" t="s">
        <v>6792</v>
      </c>
      <c r="O1011">
        <v>1</v>
      </c>
      <c r="P1011" t="str">
        <f>+BARRAS[[#This Row],[Barra]]&amp;"_"&amp;BARRAS[[#This Row],[Nivel de tensión]]</f>
        <v>L.VILOS_220</v>
      </c>
    </row>
    <row r="1012" spans="1:16">
      <c r="A1012" t="s">
        <v>5210</v>
      </c>
      <c r="B1012">
        <v>110</v>
      </c>
      <c r="C1012">
        <v>1</v>
      </c>
      <c r="D1012" t="s">
        <v>3397</v>
      </c>
      <c r="E1012" t="s">
        <v>3419</v>
      </c>
      <c r="F1012" t="s">
        <v>3420</v>
      </c>
      <c r="G1012">
        <v>16301</v>
      </c>
      <c r="H1012" t="s">
        <v>3469</v>
      </c>
      <c r="I1012" t="s">
        <v>3391</v>
      </c>
      <c r="J1012" t="s">
        <v>3392</v>
      </c>
      <c r="K1012" t="s">
        <v>3303</v>
      </c>
      <c r="L1012" t="s">
        <v>6778</v>
      </c>
      <c r="M1012" t="s">
        <v>6779</v>
      </c>
      <c r="N1012" t="s">
        <v>6792</v>
      </c>
      <c r="O1012">
        <v>1</v>
      </c>
      <c r="P1012" t="str">
        <f>+BARRAS[[#This Row],[Barra]]&amp;"_"&amp;BARRAS[[#This Row],[Nivel de tensión]]</f>
        <v>L.VIZCACHAS_110</v>
      </c>
    </row>
    <row r="1013" spans="1:16">
      <c r="A1013" t="s">
        <v>5212</v>
      </c>
      <c r="B1013">
        <v>220</v>
      </c>
      <c r="C1013">
        <v>1</v>
      </c>
      <c r="D1013" t="s">
        <v>3397</v>
      </c>
      <c r="E1013" t="s">
        <v>3419</v>
      </c>
      <c r="F1013" t="s">
        <v>4240</v>
      </c>
      <c r="G1013">
        <v>16301</v>
      </c>
      <c r="H1013" t="s">
        <v>3405</v>
      </c>
      <c r="I1013" t="s">
        <v>3391</v>
      </c>
      <c r="J1013" t="s">
        <v>3392</v>
      </c>
      <c r="K1013" t="s">
        <v>6315</v>
      </c>
      <c r="L1013" t="s">
        <v>6778</v>
      </c>
      <c r="M1013" t="s">
        <v>6779</v>
      </c>
      <c r="N1013" t="s">
        <v>6792</v>
      </c>
      <c r="O1013">
        <v>1</v>
      </c>
      <c r="P1013" t="str">
        <f>+BARRAS[[#This Row],[Barra]]&amp;"_"&amp;BARRAS[[#This Row],[Nivel de tensión]]</f>
        <v>LA_CABANA_220</v>
      </c>
    </row>
    <row r="1014" spans="1:16">
      <c r="A1014" t="s">
        <v>609</v>
      </c>
      <c r="B1014">
        <v>13</v>
      </c>
      <c r="C1014">
        <v>1004</v>
      </c>
      <c r="D1014" t="s">
        <v>5213</v>
      </c>
      <c r="E1014" t="s">
        <v>5214</v>
      </c>
      <c r="F1014" t="s">
        <v>5215</v>
      </c>
      <c r="G1014">
        <v>16301</v>
      </c>
      <c r="H1014" t="s">
        <v>3418</v>
      </c>
      <c r="I1014" t="s">
        <v>3391</v>
      </c>
      <c r="J1014" t="s">
        <v>3392</v>
      </c>
      <c r="K1014" t="s">
        <v>3302</v>
      </c>
      <c r="L1014" t="s">
        <v>6778</v>
      </c>
      <c r="M1014" t="s">
        <v>6779</v>
      </c>
      <c r="N1014" t="s">
        <v>6792</v>
      </c>
      <c r="O1014">
        <v>1</v>
      </c>
      <c r="P1014" t="str">
        <f>+BARRAS[[#This Row],[Barra]]&amp;"_"&amp;BARRAS[[#This Row],[Nivel de tensión]]</f>
        <v>LA_CALERA_13</v>
      </c>
    </row>
    <row r="1015" spans="1:16">
      <c r="A1015" t="s">
        <v>639</v>
      </c>
      <c r="B1015">
        <v>220</v>
      </c>
      <c r="C1015">
        <v>1770</v>
      </c>
      <c r="D1015" t="s">
        <v>5267</v>
      </c>
      <c r="E1015" t="s">
        <v>5268</v>
      </c>
      <c r="F1015" t="s">
        <v>3480</v>
      </c>
      <c r="G1015">
        <v>16301</v>
      </c>
      <c r="H1015" t="s">
        <v>3405</v>
      </c>
      <c r="I1015" t="s">
        <v>3391</v>
      </c>
      <c r="J1015" t="s">
        <v>3392</v>
      </c>
      <c r="K1015" t="s">
        <v>6315</v>
      </c>
      <c r="L1015" t="s">
        <v>6778</v>
      </c>
      <c r="M1015" t="s">
        <v>6779</v>
      </c>
      <c r="N1015" t="s">
        <v>6792</v>
      </c>
      <c r="O1015">
        <v>1</v>
      </c>
      <c r="P1015" t="str">
        <f>+BARRAS[[#This Row],[Barra]]&amp;"_"&amp;BARRAS[[#This Row],[Nivel de tensión]]</f>
        <v>LAJA_220</v>
      </c>
    </row>
    <row r="1016" spans="1:16">
      <c r="A1016" t="s">
        <v>5269</v>
      </c>
      <c r="B1016">
        <v>33</v>
      </c>
      <c r="C1016">
        <v>1509</v>
      </c>
      <c r="D1016" t="s">
        <v>3397</v>
      </c>
      <c r="E1016" t="s">
        <v>3419</v>
      </c>
      <c r="F1016" t="s">
        <v>5270</v>
      </c>
      <c r="G1016">
        <v>2104</v>
      </c>
      <c r="H1016" t="s">
        <v>3405</v>
      </c>
      <c r="I1016" t="s">
        <v>3391</v>
      </c>
      <c r="J1016" t="s">
        <v>3392</v>
      </c>
      <c r="K1016" t="s">
        <v>6315</v>
      </c>
      <c r="L1016" t="s">
        <v>6778</v>
      </c>
      <c r="M1016" t="s">
        <v>6779</v>
      </c>
      <c r="N1016" t="s">
        <v>6792</v>
      </c>
      <c r="O1016">
        <v>1</v>
      </c>
      <c r="P1016" t="str">
        <f>+BARRAS[[#This Row],[Barra]]&amp;"_"&amp;BARRAS[[#This Row],[Nivel de tensión]]</f>
        <v>LALACKAMA_33</v>
      </c>
    </row>
    <row r="1017" spans="1:16">
      <c r="A1017" t="s">
        <v>5269</v>
      </c>
      <c r="B1017">
        <v>220</v>
      </c>
      <c r="C1017">
        <v>3753</v>
      </c>
      <c r="D1017" t="s">
        <v>3397</v>
      </c>
      <c r="E1017" t="s">
        <v>3419</v>
      </c>
      <c r="F1017" t="s">
        <v>4240</v>
      </c>
      <c r="G1017">
        <v>16301</v>
      </c>
      <c r="H1017" t="s">
        <v>3405</v>
      </c>
      <c r="I1017" t="s">
        <v>3391</v>
      </c>
      <c r="J1017" t="s">
        <v>3392</v>
      </c>
      <c r="K1017" t="s">
        <v>6315</v>
      </c>
      <c r="L1017" t="s">
        <v>6778</v>
      </c>
      <c r="M1017" t="s">
        <v>6779</v>
      </c>
      <c r="N1017" t="s">
        <v>6792</v>
      </c>
      <c r="O1017">
        <v>1</v>
      </c>
      <c r="P1017" t="str">
        <f>+BARRAS[[#This Row],[Barra]]&amp;"_"&amp;BARRAS[[#This Row],[Nivel de tensión]]</f>
        <v>LALACKAMA_220</v>
      </c>
    </row>
    <row r="1018" spans="1:16">
      <c r="A1018" t="s">
        <v>6783</v>
      </c>
      <c r="B1018">
        <v>110</v>
      </c>
      <c r="D1018" t="s">
        <v>3680</v>
      </c>
      <c r="E1018" t="s">
        <v>3925</v>
      </c>
      <c r="F1018" t="s">
        <v>6784</v>
      </c>
      <c r="G1018">
        <v>5401</v>
      </c>
      <c r="H1018" t="s">
        <v>3400</v>
      </c>
      <c r="I1018" t="s">
        <v>3683</v>
      </c>
      <c r="J1018" t="s">
        <v>6582</v>
      </c>
      <c r="K1018" t="s">
        <v>3301</v>
      </c>
      <c r="L1018" t="s">
        <v>6778</v>
      </c>
      <c r="M1018" t="s">
        <v>6779</v>
      </c>
      <c r="N1018" t="s">
        <v>6792</v>
      </c>
      <c r="O1018">
        <v>1</v>
      </c>
      <c r="P1018" t="str">
        <f>+BARRAS[[#This Row],[Barra]]&amp;"_"&amp;BARRAS[[#This Row],[Nivel de tensión]]</f>
        <v>LALIGUA_110</v>
      </c>
    </row>
    <row r="1019" spans="1:16">
      <c r="A1019" t="s">
        <v>6783</v>
      </c>
      <c r="B1019">
        <v>220</v>
      </c>
      <c r="D1019" t="s">
        <v>3680</v>
      </c>
      <c r="E1019" t="s">
        <v>3925</v>
      </c>
      <c r="F1019" t="s">
        <v>6784</v>
      </c>
      <c r="G1019">
        <v>5401</v>
      </c>
      <c r="H1019" t="s">
        <v>3409</v>
      </c>
      <c r="I1019" t="s">
        <v>3683</v>
      </c>
      <c r="J1019" t="s">
        <v>3466</v>
      </c>
      <c r="K1019" t="s">
        <v>6315</v>
      </c>
      <c r="L1019" t="s">
        <v>6778</v>
      </c>
      <c r="M1019" t="s">
        <v>6779</v>
      </c>
      <c r="N1019" t="s">
        <v>6792</v>
      </c>
      <c r="O1019">
        <v>1</v>
      </c>
      <c r="P1019" t="str">
        <f>+BARRAS[[#This Row],[Barra]]&amp;"_"&amp;BARRAS[[#This Row],[Nivel de tensión]]</f>
        <v>LALIGUA_220</v>
      </c>
    </row>
    <row r="1020" spans="1:16">
      <c r="A1020" t="s">
        <v>644</v>
      </c>
      <c r="B1020">
        <v>13</v>
      </c>
      <c r="C1020">
        <v>582</v>
      </c>
      <c r="D1020" t="s">
        <v>5271</v>
      </c>
      <c r="E1020" t="s">
        <v>5272</v>
      </c>
      <c r="F1020" t="s">
        <v>5273</v>
      </c>
      <c r="G1020">
        <v>16301</v>
      </c>
      <c r="H1020" t="s">
        <v>3414</v>
      </c>
      <c r="I1020" t="s">
        <v>3391</v>
      </c>
      <c r="J1020" t="s">
        <v>3392</v>
      </c>
      <c r="K1020" t="s">
        <v>3304</v>
      </c>
      <c r="L1020" t="s">
        <v>6778</v>
      </c>
      <c r="M1020" t="s">
        <v>6779</v>
      </c>
      <c r="N1020" t="s">
        <v>6792</v>
      </c>
      <c r="O1020">
        <v>1</v>
      </c>
      <c r="P1020" t="str">
        <f>+BARRAS[[#This Row],[Barra]]&amp;"_"&amp;BARRAS[[#This Row],[Nivel de tensión]]</f>
        <v>LAMANGA_13</v>
      </c>
    </row>
    <row r="1021" spans="1:16">
      <c r="A1021" t="s">
        <v>644</v>
      </c>
      <c r="B1021">
        <v>66</v>
      </c>
      <c r="C1021">
        <v>1</v>
      </c>
      <c r="D1021" t="s">
        <v>3397</v>
      </c>
      <c r="E1021" t="s">
        <v>5274</v>
      </c>
      <c r="F1021" t="s">
        <v>3420</v>
      </c>
      <c r="G1021">
        <v>16301</v>
      </c>
      <c r="H1021" t="s">
        <v>3414</v>
      </c>
      <c r="I1021" t="s">
        <v>3391</v>
      </c>
      <c r="J1021" t="s">
        <v>3392</v>
      </c>
      <c r="K1021" t="s">
        <v>3304</v>
      </c>
      <c r="L1021" t="s">
        <v>6778</v>
      </c>
      <c r="M1021" t="s">
        <v>6779</v>
      </c>
      <c r="N1021" t="s">
        <v>6792</v>
      </c>
      <c r="O1021">
        <v>1</v>
      </c>
      <c r="P1021" t="str">
        <f>+BARRAS[[#This Row],[Barra]]&amp;"_"&amp;BARRAS[[#This Row],[Nivel de tensión]]</f>
        <v>LAMANGA_66</v>
      </c>
    </row>
    <row r="1022" spans="1:16">
      <c r="A1022" t="s">
        <v>5275</v>
      </c>
      <c r="B1022">
        <v>23</v>
      </c>
      <c r="C1022">
        <v>3244</v>
      </c>
      <c r="D1022" t="s">
        <v>3842</v>
      </c>
      <c r="E1022" t="s">
        <v>5276</v>
      </c>
      <c r="F1022" t="s">
        <v>5277</v>
      </c>
      <c r="G1022">
        <v>16301</v>
      </c>
      <c r="H1022" t="s">
        <v>3390</v>
      </c>
      <c r="I1022" t="s">
        <v>3391</v>
      </c>
      <c r="J1022" t="s">
        <v>3392</v>
      </c>
      <c r="K1022" t="s">
        <v>3305</v>
      </c>
      <c r="L1022" t="s">
        <v>6778</v>
      </c>
      <c r="M1022" t="s">
        <v>6779</v>
      </c>
      <c r="N1022" t="s">
        <v>6792</v>
      </c>
      <c r="O1022">
        <v>1</v>
      </c>
      <c r="P1022" t="str">
        <f>+BARRAS[[#This Row],[Barra]]&amp;"_"&amp;BARRAS[[#This Row],[Nivel de tensión]]</f>
        <v>LAMISION_23</v>
      </c>
    </row>
    <row r="1023" spans="1:16">
      <c r="A1023" t="s">
        <v>5275</v>
      </c>
      <c r="B1023">
        <v>66</v>
      </c>
      <c r="C1023">
        <v>1</v>
      </c>
      <c r="D1023" t="s">
        <v>3397</v>
      </c>
      <c r="E1023" t="s">
        <v>5278</v>
      </c>
      <c r="F1023" t="s">
        <v>3420</v>
      </c>
      <c r="G1023">
        <v>16301</v>
      </c>
      <c r="H1023" t="s">
        <v>3390</v>
      </c>
      <c r="I1023" t="s">
        <v>3391</v>
      </c>
      <c r="J1023" t="s">
        <v>3392</v>
      </c>
      <c r="K1023" t="s">
        <v>3305</v>
      </c>
      <c r="L1023" t="s">
        <v>6778</v>
      </c>
      <c r="M1023" t="s">
        <v>6779</v>
      </c>
      <c r="N1023" t="s">
        <v>6792</v>
      </c>
      <c r="O1023">
        <v>1</v>
      </c>
      <c r="P1023" t="str">
        <f>+BARRAS[[#This Row],[Barra]]&amp;"_"&amp;BARRAS[[#This Row],[Nivel de tensión]]</f>
        <v>LAMISION_66</v>
      </c>
    </row>
    <row r="1024" spans="1:16">
      <c r="A1024" t="s">
        <v>649</v>
      </c>
      <c r="B1024">
        <v>23</v>
      </c>
      <c r="C1024">
        <v>777</v>
      </c>
      <c r="D1024" t="s">
        <v>6335</v>
      </c>
      <c r="E1024" t="s">
        <v>6336</v>
      </c>
      <c r="F1024" t="s">
        <v>5281</v>
      </c>
      <c r="G1024">
        <v>16301</v>
      </c>
      <c r="H1024" t="s">
        <v>3469</v>
      </c>
      <c r="I1024" t="s">
        <v>3391</v>
      </c>
      <c r="J1024" t="s">
        <v>3392</v>
      </c>
      <c r="K1024" t="s">
        <v>6315</v>
      </c>
      <c r="L1024" t="s">
        <v>6778</v>
      </c>
      <c r="M1024" t="s">
        <v>6779</v>
      </c>
      <c r="N1024" t="s">
        <v>6792</v>
      </c>
      <c r="O1024">
        <v>1</v>
      </c>
      <c r="P1024" t="str">
        <f>+BARRAS[[#This Row],[Barra]]&amp;"_"&amp;BARRAS[[#This Row],[Nivel de tensión]]</f>
        <v>LAMPA_23</v>
      </c>
    </row>
    <row r="1025" spans="1:16">
      <c r="A1025" t="s">
        <v>649</v>
      </c>
      <c r="B1025">
        <v>220</v>
      </c>
      <c r="C1025">
        <v>776</v>
      </c>
      <c r="D1025" t="s">
        <v>5279</v>
      </c>
      <c r="E1025" t="s">
        <v>5280</v>
      </c>
      <c r="F1025" t="s">
        <v>5281</v>
      </c>
      <c r="G1025">
        <v>16301</v>
      </c>
      <c r="H1025" t="s">
        <v>3409</v>
      </c>
      <c r="I1025" t="s">
        <v>3391</v>
      </c>
      <c r="J1025" t="s">
        <v>3392</v>
      </c>
      <c r="K1025" t="s">
        <v>6315</v>
      </c>
      <c r="L1025" t="s">
        <v>6778</v>
      </c>
      <c r="M1025" t="s">
        <v>6779</v>
      </c>
      <c r="N1025" t="s">
        <v>6792</v>
      </c>
      <c r="O1025">
        <v>1</v>
      </c>
      <c r="P1025" t="str">
        <f>+BARRAS[[#This Row],[Barra]]&amp;"_"&amp;BARRAS[[#This Row],[Nivel de tensión]]</f>
        <v>LAMPA_220</v>
      </c>
    </row>
    <row r="1026" spans="1:16">
      <c r="A1026" t="s">
        <v>651</v>
      </c>
      <c r="B1026">
        <v>13</v>
      </c>
      <c r="C1026">
        <v>122</v>
      </c>
      <c r="D1026" t="s">
        <v>5282</v>
      </c>
      <c r="E1026" t="s">
        <v>5283</v>
      </c>
      <c r="F1026" t="s">
        <v>5284</v>
      </c>
      <c r="G1026">
        <v>16301</v>
      </c>
      <c r="H1026" t="s">
        <v>3414</v>
      </c>
      <c r="I1026" t="s">
        <v>3391</v>
      </c>
      <c r="J1026" t="s">
        <v>3392</v>
      </c>
      <c r="K1026" t="s">
        <v>3304</v>
      </c>
      <c r="L1026" t="s">
        <v>6778</v>
      </c>
      <c r="M1026" t="s">
        <v>6779</v>
      </c>
      <c r="N1026" t="s">
        <v>6792</v>
      </c>
      <c r="O1026">
        <v>1</v>
      </c>
      <c r="P1026" t="str">
        <f>+BARRAS[[#This Row],[Barra]]&amp;"_"&amp;BARRAS[[#This Row],[Nivel de tensión]]</f>
        <v>LAPALMA_13</v>
      </c>
    </row>
    <row r="1027" spans="1:16">
      <c r="A1027" t="s">
        <v>651</v>
      </c>
      <c r="B1027">
        <v>66</v>
      </c>
      <c r="C1027">
        <v>1</v>
      </c>
      <c r="D1027" t="s">
        <v>3397</v>
      </c>
      <c r="E1027" t="s">
        <v>5285</v>
      </c>
      <c r="F1027" t="s">
        <v>3420</v>
      </c>
      <c r="G1027">
        <v>16301</v>
      </c>
      <c r="H1027" t="s">
        <v>3414</v>
      </c>
      <c r="I1027" t="s">
        <v>3391</v>
      </c>
      <c r="J1027" t="s">
        <v>3392</v>
      </c>
      <c r="K1027" t="s">
        <v>3304</v>
      </c>
      <c r="L1027" t="s">
        <v>6778</v>
      </c>
      <c r="M1027" t="s">
        <v>6779</v>
      </c>
      <c r="N1027" t="s">
        <v>6792</v>
      </c>
      <c r="O1027">
        <v>1</v>
      </c>
      <c r="P1027" t="str">
        <f>+BARRAS[[#This Row],[Barra]]&amp;"_"&amp;BARRAS[[#This Row],[Nivel de tensión]]</f>
        <v>LAPALMA_66</v>
      </c>
    </row>
    <row r="1028" spans="1:16">
      <c r="A1028" t="s">
        <v>5286</v>
      </c>
      <c r="B1028">
        <v>23</v>
      </c>
      <c r="C1028">
        <v>2152</v>
      </c>
      <c r="D1028" t="s">
        <v>5287</v>
      </c>
      <c r="E1028" t="s">
        <v>5288</v>
      </c>
      <c r="F1028" t="s">
        <v>5289</v>
      </c>
      <c r="G1028">
        <v>16301</v>
      </c>
      <c r="H1028" t="s">
        <v>3443</v>
      </c>
      <c r="I1028" t="s">
        <v>3391</v>
      </c>
      <c r="J1028" t="s">
        <v>3392</v>
      </c>
      <c r="K1028" t="s">
        <v>3300</v>
      </c>
      <c r="L1028" t="s">
        <v>6778</v>
      </c>
      <c r="M1028" t="s">
        <v>6779</v>
      </c>
      <c r="N1028" t="s">
        <v>6792</v>
      </c>
      <c r="O1028">
        <v>1</v>
      </c>
      <c r="P1028" t="str">
        <f>+BARRAS[[#This Row],[Barra]]&amp;"_"&amp;BARRAS[[#This Row],[Nivel de tensión]]</f>
        <v>LAPORTADA_23</v>
      </c>
    </row>
    <row r="1029" spans="1:16">
      <c r="A1029" t="s">
        <v>5286</v>
      </c>
      <c r="B1029">
        <v>110</v>
      </c>
      <c r="C1029">
        <v>1</v>
      </c>
      <c r="D1029" t="s">
        <v>3397</v>
      </c>
      <c r="E1029" t="s">
        <v>5290</v>
      </c>
      <c r="F1029" t="s">
        <v>3420</v>
      </c>
      <c r="G1029">
        <v>16301</v>
      </c>
      <c r="H1029" t="s">
        <v>3443</v>
      </c>
      <c r="I1029" t="s">
        <v>3391</v>
      </c>
      <c r="J1029" t="s">
        <v>3392</v>
      </c>
      <c r="K1029" t="s">
        <v>3300</v>
      </c>
      <c r="L1029" t="s">
        <v>6778</v>
      </c>
      <c r="M1029" t="s">
        <v>6779</v>
      </c>
      <c r="N1029" t="s">
        <v>6792</v>
      </c>
      <c r="O1029">
        <v>1</v>
      </c>
      <c r="P1029" t="str">
        <f>+BARRAS[[#This Row],[Barra]]&amp;"_"&amp;BARRAS[[#This Row],[Nivel de tensión]]</f>
        <v>LAPORTADA_110</v>
      </c>
    </row>
    <row r="1030" spans="1:16">
      <c r="A1030" t="s">
        <v>656</v>
      </c>
      <c r="B1030">
        <v>13</v>
      </c>
      <c r="C1030">
        <v>130</v>
      </c>
      <c r="D1030" t="s">
        <v>5291</v>
      </c>
      <c r="E1030" t="s">
        <v>5292</v>
      </c>
      <c r="F1030" t="s">
        <v>5293</v>
      </c>
      <c r="G1030">
        <v>16301</v>
      </c>
      <c r="H1030" t="s">
        <v>3414</v>
      </c>
      <c r="I1030" t="s">
        <v>3391</v>
      </c>
      <c r="J1030" t="s">
        <v>3392</v>
      </c>
      <c r="K1030" t="s">
        <v>3304</v>
      </c>
      <c r="L1030" t="s">
        <v>6778</v>
      </c>
      <c r="M1030" t="s">
        <v>6779</v>
      </c>
      <c r="N1030" t="s">
        <v>6792</v>
      </c>
      <c r="O1030">
        <v>1</v>
      </c>
      <c r="P1030" t="str">
        <f>+BARRAS[[#This Row],[Barra]]&amp;"_"&amp;BARRAS[[#This Row],[Nivel de tensión]]</f>
        <v>LARONDA_13</v>
      </c>
    </row>
    <row r="1031" spans="1:16">
      <c r="A1031" t="s">
        <v>656</v>
      </c>
      <c r="B1031">
        <v>66</v>
      </c>
      <c r="C1031">
        <v>1</v>
      </c>
      <c r="D1031" t="s">
        <v>3397</v>
      </c>
      <c r="E1031" t="s">
        <v>5294</v>
      </c>
      <c r="F1031" t="s">
        <v>3420</v>
      </c>
      <c r="G1031">
        <v>16301</v>
      </c>
      <c r="H1031" t="s">
        <v>3414</v>
      </c>
      <c r="I1031" t="s">
        <v>3391</v>
      </c>
      <c r="J1031" t="s">
        <v>3392</v>
      </c>
      <c r="K1031" t="s">
        <v>3304</v>
      </c>
      <c r="L1031" t="s">
        <v>6778</v>
      </c>
      <c r="M1031" t="s">
        <v>6779</v>
      </c>
      <c r="N1031" t="s">
        <v>6792</v>
      </c>
      <c r="O1031">
        <v>1</v>
      </c>
      <c r="P1031" t="str">
        <f>+BARRAS[[#This Row],[Barra]]&amp;"_"&amp;BARRAS[[#This Row],[Nivel de tensión]]</f>
        <v>LARONDA_66</v>
      </c>
    </row>
    <row r="1032" spans="1:16">
      <c r="A1032" t="s">
        <v>659</v>
      </c>
      <c r="B1032">
        <v>23</v>
      </c>
      <c r="C1032">
        <v>3261</v>
      </c>
      <c r="D1032" t="s">
        <v>3397</v>
      </c>
      <c r="E1032" t="s">
        <v>5295</v>
      </c>
      <c r="F1032" t="s">
        <v>5296</v>
      </c>
      <c r="G1032">
        <v>16301</v>
      </c>
      <c r="H1032" t="s">
        <v>3414</v>
      </c>
      <c r="I1032" t="s">
        <v>3391</v>
      </c>
      <c r="J1032" t="s">
        <v>3392</v>
      </c>
      <c r="K1032" t="s">
        <v>3304</v>
      </c>
      <c r="L1032" t="s">
        <v>6778</v>
      </c>
      <c r="M1032" t="s">
        <v>6779</v>
      </c>
      <c r="N1032" t="s">
        <v>6792</v>
      </c>
      <c r="O1032">
        <v>1</v>
      </c>
      <c r="P1032" t="str">
        <f>+BARRAS[[#This Row],[Barra]]&amp;"_"&amp;BARRAS[[#This Row],[Nivel de tensión]]</f>
        <v>LARQUI_23</v>
      </c>
    </row>
    <row r="1033" spans="1:16">
      <c r="A1033" t="s">
        <v>659</v>
      </c>
      <c r="B1033">
        <v>66</v>
      </c>
      <c r="C1033">
        <v>1</v>
      </c>
      <c r="D1033" t="s">
        <v>3397</v>
      </c>
      <c r="E1033" t="s">
        <v>5297</v>
      </c>
      <c r="F1033" t="s">
        <v>3420</v>
      </c>
      <c r="G1033">
        <v>16301</v>
      </c>
      <c r="H1033" t="s">
        <v>3414</v>
      </c>
      <c r="I1033" t="s">
        <v>3391</v>
      </c>
      <c r="J1033" t="s">
        <v>3392</v>
      </c>
      <c r="K1033" t="s">
        <v>3304</v>
      </c>
      <c r="L1033" t="s">
        <v>6778</v>
      </c>
      <c r="M1033" t="s">
        <v>6779</v>
      </c>
      <c r="N1033" t="s">
        <v>6792</v>
      </c>
      <c r="O1033">
        <v>1</v>
      </c>
      <c r="P1033" t="str">
        <f>+BARRAS[[#This Row],[Barra]]&amp;"_"&amp;BARRAS[[#This Row],[Nivel de tensión]]</f>
        <v>LARQUI_66</v>
      </c>
    </row>
    <row r="1034" spans="1:16">
      <c r="A1034" t="s">
        <v>5298</v>
      </c>
      <c r="B1034">
        <v>13</v>
      </c>
      <c r="C1034">
        <v>781</v>
      </c>
      <c r="D1034" t="s">
        <v>5299</v>
      </c>
      <c r="E1034" t="s">
        <v>5300</v>
      </c>
      <c r="F1034" t="s">
        <v>5301</v>
      </c>
      <c r="G1034">
        <v>16301</v>
      </c>
      <c r="H1034" t="s">
        <v>3469</v>
      </c>
      <c r="I1034" t="s">
        <v>3391</v>
      </c>
      <c r="J1034" t="s">
        <v>3392</v>
      </c>
      <c r="K1034" t="s">
        <v>3303</v>
      </c>
      <c r="L1034" t="s">
        <v>6778</v>
      </c>
      <c r="M1034" t="s">
        <v>6779</v>
      </c>
      <c r="N1034" t="s">
        <v>6792</v>
      </c>
      <c r="O1034">
        <v>1</v>
      </c>
      <c r="P1034" t="str">
        <f>+BARRAS[[#This Row],[Barra]]&amp;"_"&amp;BARRAS[[#This Row],[Nivel de tensión]]</f>
        <v>LAS_ACACIAS_13</v>
      </c>
    </row>
    <row r="1035" spans="1:16">
      <c r="A1035" t="s">
        <v>5298</v>
      </c>
      <c r="B1035">
        <v>110</v>
      </c>
      <c r="C1035">
        <v>1</v>
      </c>
      <c r="D1035" t="s">
        <v>3397</v>
      </c>
      <c r="E1035" t="s">
        <v>5302</v>
      </c>
      <c r="F1035" t="s">
        <v>3420</v>
      </c>
      <c r="G1035">
        <v>16301</v>
      </c>
      <c r="H1035" t="s">
        <v>3469</v>
      </c>
      <c r="I1035" t="s">
        <v>3391</v>
      </c>
      <c r="J1035" t="s">
        <v>3392</v>
      </c>
      <c r="K1035" t="s">
        <v>3303</v>
      </c>
      <c r="L1035" t="s">
        <v>6778</v>
      </c>
      <c r="M1035" t="s">
        <v>6779</v>
      </c>
      <c r="N1035" t="s">
        <v>6792</v>
      </c>
      <c r="O1035">
        <v>1</v>
      </c>
      <c r="P1035" t="str">
        <f>+BARRAS[[#This Row],[Barra]]&amp;"_"&amp;BARRAS[[#This Row],[Nivel de tensión]]</f>
        <v>LAS_ACACIAS_110</v>
      </c>
    </row>
    <row r="1036" spans="1:16">
      <c r="A1036" t="s">
        <v>663</v>
      </c>
      <c r="B1036">
        <v>23</v>
      </c>
      <c r="C1036">
        <v>3928</v>
      </c>
      <c r="D1036" t="s">
        <v>3397</v>
      </c>
      <c r="E1036" t="s">
        <v>3419</v>
      </c>
      <c r="F1036" t="s">
        <v>5303</v>
      </c>
      <c r="G1036">
        <v>4102</v>
      </c>
      <c r="H1036" t="s">
        <v>3405</v>
      </c>
      <c r="I1036" t="s">
        <v>3391</v>
      </c>
      <c r="J1036" t="s">
        <v>1788</v>
      </c>
      <c r="K1036" t="s">
        <v>6315</v>
      </c>
      <c r="L1036" t="s">
        <v>6778</v>
      </c>
      <c r="M1036" t="s">
        <v>6779</v>
      </c>
      <c r="N1036" t="s">
        <v>6792</v>
      </c>
      <c r="O1036">
        <v>1</v>
      </c>
      <c r="P1036" t="str">
        <f>+BARRAS[[#This Row],[Barra]]&amp;"_"&amp;BARRAS[[#This Row],[Nivel de tensión]]</f>
        <v>LAS_PIEDRAS_23</v>
      </c>
    </row>
    <row r="1037" spans="1:16">
      <c r="A1037" t="s">
        <v>663</v>
      </c>
      <c r="B1037">
        <v>110</v>
      </c>
      <c r="C1037">
        <v>1</v>
      </c>
      <c r="D1037" t="s">
        <v>3397</v>
      </c>
      <c r="E1037" t="s">
        <v>3419</v>
      </c>
      <c r="F1037" t="s">
        <v>5303</v>
      </c>
      <c r="G1037">
        <v>4102</v>
      </c>
      <c r="H1037" t="s">
        <v>3405</v>
      </c>
      <c r="I1037" t="s">
        <v>3391</v>
      </c>
      <c r="J1037" t="s">
        <v>3392</v>
      </c>
      <c r="K1037" t="s">
        <v>6315</v>
      </c>
      <c r="L1037" t="s">
        <v>6778</v>
      </c>
      <c r="M1037" t="s">
        <v>6779</v>
      </c>
      <c r="N1037" t="s">
        <v>6792</v>
      </c>
      <c r="O1037">
        <v>1</v>
      </c>
      <c r="P1037" t="str">
        <f>+BARRAS[[#This Row],[Barra]]&amp;"_"&amp;BARRAS[[#This Row],[Nivel de tensión]]</f>
        <v>LAS_PIEDRAS_110</v>
      </c>
    </row>
    <row r="1038" spans="1:16">
      <c r="A1038" t="s">
        <v>5304</v>
      </c>
      <c r="B1038">
        <v>23</v>
      </c>
      <c r="C1038">
        <v>3441</v>
      </c>
      <c r="D1038" t="s">
        <v>3397</v>
      </c>
      <c r="E1038" t="s">
        <v>5305</v>
      </c>
      <c r="F1038" t="s">
        <v>5306</v>
      </c>
      <c r="G1038">
        <v>16301</v>
      </c>
      <c r="H1038" t="s">
        <v>3414</v>
      </c>
      <c r="I1038" t="s">
        <v>3391</v>
      </c>
      <c r="J1038" t="s">
        <v>3392</v>
      </c>
      <c r="K1038" t="s">
        <v>3304</v>
      </c>
      <c r="L1038" t="s">
        <v>6778</v>
      </c>
      <c r="M1038" t="s">
        <v>6779</v>
      </c>
      <c r="N1038" t="s">
        <v>6792</v>
      </c>
      <c r="O1038">
        <v>1</v>
      </c>
      <c r="P1038" t="str">
        <f>+BARRAS[[#This Row],[Barra]]&amp;"_"&amp;BARRAS[[#This Row],[Nivel de tensión]]</f>
        <v>LAS_VIOLETAS_23</v>
      </c>
    </row>
    <row r="1039" spans="1:16">
      <c r="A1039" t="s">
        <v>5304</v>
      </c>
      <c r="B1039">
        <v>66</v>
      </c>
      <c r="C1039">
        <v>1</v>
      </c>
      <c r="D1039" t="s">
        <v>3397</v>
      </c>
      <c r="E1039" t="s">
        <v>5307</v>
      </c>
      <c r="F1039" t="s">
        <v>3420</v>
      </c>
      <c r="G1039">
        <v>16301</v>
      </c>
      <c r="H1039" t="s">
        <v>3414</v>
      </c>
      <c r="I1039" t="s">
        <v>3391</v>
      </c>
      <c r="J1039" t="s">
        <v>3392</v>
      </c>
      <c r="K1039" t="s">
        <v>3304</v>
      </c>
      <c r="L1039" t="s">
        <v>6778</v>
      </c>
      <c r="M1039" t="s">
        <v>6779</v>
      </c>
      <c r="N1039" t="s">
        <v>6792</v>
      </c>
      <c r="O1039">
        <v>1</v>
      </c>
      <c r="P1039" t="str">
        <f>+BARRAS[[#This Row],[Barra]]&amp;"_"&amp;BARRAS[[#This Row],[Nivel de tensión]]</f>
        <v>LAS_VIOLETAS_66</v>
      </c>
    </row>
    <row r="1040" spans="1:16">
      <c r="A1040" t="s">
        <v>5308</v>
      </c>
      <c r="B1040">
        <v>220</v>
      </c>
      <c r="C1040">
        <v>1</v>
      </c>
      <c r="D1040" t="s">
        <v>3397</v>
      </c>
      <c r="E1040" t="s">
        <v>5309</v>
      </c>
      <c r="F1040" t="s">
        <v>3420</v>
      </c>
      <c r="G1040">
        <v>16301</v>
      </c>
      <c r="H1040" t="s">
        <v>3405</v>
      </c>
      <c r="I1040" t="s">
        <v>3391</v>
      </c>
      <c r="J1040" t="s">
        <v>3392</v>
      </c>
      <c r="K1040" t="s">
        <v>6315</v>
      </c>
      <c r="L1040" t="s">
        <v>6778</v>
      </c>
      <c r="M1040" t="s">
        <v>6779</v>
      </c>
      <c r="N1040" t="s">
        <v>6792</v>
      </c>
      <c r="O1040">
        <v>1</v>
      </c>
      <c r="P1040" t="str">
        <f>+BARRAS[[#This Row],[Barra]]&amp;"_"&amp;BARRAS[[#This Row],[Nivel de tensión]]</f>
        <v>LASANA_220</v>
      </c>
    </row>
    <row r="1041" spans="1:16">
      <c r="A1041" t="s">
        <v>699</v>
      </c>
      <c r="B1041">
        <v>66</v>
      </c>
      <c r="C1041">
        <v>1</v>
      </c>
      <c r="D1041" t="s">
        <v>3397</v>
      </c>
      <c r="E1041" t="s">
        <v>5365</v>
      </c>
      <c r="F1041" t="s">
        <v>3420</v>
      </c>
      <c r="G1041">
        <v>16301</v>
      </c>
      <c r="H1041" t="s">
        <v>3414</v>
      </c>
      <c r="I1041" t="s">
        <v>3391</v>
      </c>
      <c r="J1041" t="s">
        <v>3392</v>
      </c>
      <c r="K1041" t="s">
        <v>3304</v>
      </c>
      <c r="L1041" t="s">
        <v>6778</v>
      </c>
      <c r="M1041" t="s">
        <v>6779</v>
      </c>
      <c r="N1041" t="s">
        <v>6792</v>
      </c>
      <c r="O1041">
        <v>1</v>
      </c>
      <c r="P1041" t="str">
        <f>+BARRAS[[#This Row],[Barra]]&amp;"_"&amp;BARRAS[[#This Row],[Nivel de tensión]]</f>
        <v>LIN.NORTE_66</v>
      </c>
    </row>
    <row r="1042" spans="1:16">
      <c r="A1042" t="s">
        <v>5366</v>
      </c>
      <c r="B1042">
        <v>66</v>
      </c>
      <c r="C1042">
        <v>1</v>
      </c>
      <c r="D1042" t="s">
        <v>3397</v>
      </c>
      <c r="E1042" t="s">
        <v>5367</v>
      </c>
      <c r="F1042" t="s">
        <v>3420</v>
      </c>
      <c r="G1042">
        <v>16301</v>
      </c>
      <c r="H1042" t="s">
        <v>3414</v>
      </c>
      <c r="I1042" t="s">
        <v>3391</v>
      </c>
      <c r="J1042" t="s">
        <v>3392</v>
      </c>
      <c r="K1042" t="s">
        <v>3304</v>
      </c>
      <c r="L1042" t="s">
        <v>6778</v>
      </c>
      <c r="M1042" t="s">
        <v>6779</v>
      </c>
      <c r="N1042" t="s">
        <v>6792</v>
      </c>
      <c r="O1042">
        <v>1</v>
      </c>
      <c r="P1042" t="str">
        <f>+BARRAS[[#This Row],[Barra]]&amp;"_"&amp;BARRAS[[#This Row],[Nivel de tensión]]</f>
        <v>LINARES_66</v>
      </c>
    </row>
    <row r="1043" spans="1:16">
      <c r="A1043" t="s">
        <v>5366</v>
      </c>
      <c r="B1043">
        <v>154</v>
      </c>
      <c r="C1043">
        <v>1</v>
      </c>
      <c r="D1043" t="s">
        <v>3397</v>
      </c>
      <c r="E1043" t="s">
        <v>5368</v>
      </c>
      <c r="F1043" t="s">
        <v>3420</v>
      </c>
      <c r="G1043">
        <v>16301</v>
      </c>
      <c r="H1043" t="s">
        <v>3414</v>
      </c>
      <c r="I1043" t="s">
        <v>3391</v>
      </c>
      <c r="J1043" t="s">
        <v>3392</v>
      </c>
      <c r="K1043" t="s">
        <v>3304</v>
      </c>
      <c r="L1043" t="s">
        <v>6778</v>
      </c>
      <c r="M1043" t="s">
        <v>6779</v>
      </c>
      <c r="N1043" t="s">
        <v>6792</v>
      </c>
      <c r="O1043">
        <v>1</v>
      </c>
      <c r="P1043" t="str">
        <f>+BARRAS[[#This Row],[Barra]]&amp;"_"&amp;BARRAS[[#This Row],[Nivel de tensión]]</f>
        <v>LINARES_154</v>
      </c>
    </row>
    <row r="1044" spans="1:16">
      <c r="A1044" t="s">
        <v>5369</v>
      </c>
      <c r="B1044">
        <v>110</v>
      </c>
      <c r="C1044">
        <v>3977</v>
      </c>
      <c r="D1044" t="s">
        <v>3397</v>
      </c>
      <c r="E1044" t="s">
        <v>3419</v>
      </c>
      <c r="F1044" t="s">
        <v>3465</v>
      </c>
      <c r="G1044">
        <v>2101</v>
      </c>
      <c r="H1044" t="s">
        <v>3443</v>
      </c>
      <c r="I1044" t="s">
        <v>3391</v>
      </c>
      <c r="J1044" t="s">
        <v>3466</v>
      </c>
      <c r="K1044" t="s">
        <v>3300</v>
      </c>
      <c r="L1044" t="s">
        <v>6778</v>
      </c>
      <c r="M1044" t="s">
        <v>6779</v>
      </c>
      <c r="N1044" t="s">
        <v>6792</v>
      </c>
      <c r="O1044">
        <v>1</v>
      </c>
      <c r="P1044" t="str">
        <f>+BARRAS[[#This Row],[Barra]]&amp;"_"&amp;BARRAS[[#This Row],[Nivel de tensión]]</f>
        <v>LIQCAU_110</v>
      </c>
    </row>
    <row r="1045" spans="1:16">
      <c r="A1045" t="s">
        <v>3464</v>
      </c>
      <c r="B1045">
        <v>220</v>
      </c>
      <c r="C1045">
        <v>3979</v>
      </c>
      <c r="D1045" t="s">
        <v>3397</v>
      </c>
      <c r="E1045" t="s">
        <v>3419</v>
      </c>
      <c r="F1045" t="s">
        <v>3465</v>
      </c>
      <c r="G1045">
        <v>2101</v>
      </c>
      <c r="H1045" t="s">
        <v>3443</v>
      </c>
      <c r="I1045" t="s">
        <v>3391</v>
      </c>
      <c r="J1045" t="s">
        <v>3466</v>
      </c>
      <c r="K1045" t="s">
        <v>3300</v>
      </c>
      <c r="L1045" t="s">
        <v>6778</v>
      </c>
      <c r="M1045" t="s">
        <v>6779</v>
      </c>
      <c r="N1045" t="s">
        <v>6792</v>
      </c>
      <c r="O1045">
        <v>1</v>
      </c>
      <c r="P1045" t="str">
        <f>+BARRAS[[#This Row],[Barra]]&amp;"_"&amp;BARRAS[[#This Row],[Nivel de tensión]]</f>
        <v>LIQCAU1_220</v>
      </c>
    </row>
    <row r="1046" spans="1:16">
      <c r="A1046" t="s">
        <v>5370</v>
      </c>
      <c r="B1046">
        <v>15</v>
      </c>
      <c r="C1046">
        <v>182</v>
      </c>
      <c r="D1046" t="s">
        <v>5371</v>
      </c>
      <c r="E1046" t="s">
        <v>5372</v>
      </c>
      <c r="F1046" t="s">
        <v>5373</v>
      </c>
      <c r="G1046">
        <v>16301</v>
      </c>
      <c r="H1046" t="s">
        <v>3414</v>
      </c>
      <c r="I1046" t="s">
        <v>3391</v>
      </c>
      <c r="J1046" t="s">
        <v>3392</v>
      </c>
      <c r="K1046" t="s">
        <v>3304</v>
      </c>
      <c r="L1046" t="s">
        <v>6778</v>
      </c>
      <c r="M1046" t="s">
        <v>6779</v>
      </c>
      <c r="N1046" t="s">
        <v>6792</v>
      </c>
      <c r="O1046">
        <v>1</v>
      </c>
      <c r="P1046" t="str">
        <f>+BARRAS[[#This Row],[Barra]]&amp;"_"&amp;BARRAS[[#This Row],[Nivel de tensión]]</f>
        <v>LIRQUEN_15</v>
      </c>
    </row>
    <row r="1047" spans="1:16">
      <c r="A1047" t="s">
        <v>5370</v>
      </c>
      <c r="B1047">
        <v>66</v>
      </c>
      <c r="C1047">
        <v>1494</v>
      </c>
      <c r="D1047" t="s">
        <v>5153</v>
      </c>
      <c r="E1047" t="s">
        <v>5374</v>
      </c>
      <c r="F1047" t="s">
        <v>5373</v>
      </c>
      <c r="G1047">
        <v>16301</v>
      </c>
      <c r="H1047" t="s">
        <v>3414</v>
      </c>
      <c r="I1047" t="s">
        <v>3391</v>
      </c>
      <c r="J1047" t="s">
        <v>3392</v>
      </c>
      <c r="K1047" t="s">
        <v>3304</v>
      </c>
      <c r="L1047" t="s">
        <v>6778</v>
      </c>
      <c r="M1047" t="s">
        <v>6779</v>
      </c>
      <c r="N1047" t="s">
        <v>6792</v>
      </c>
      <c r="O1047">
        <v>1</v>
      </c>
      <c r="P1047" t="str">
        <f>+BARRAS[[#This Row],[Barra]]&amp;"_"&amp;BARRAS[[#This Row],[Nivel de tensión]]</f>
        <v>LIRQUEN_66</v>
      </c>
    </row>
    <row r="1048" spans="1:16">
      <c r="A1048" t="s">
        <v>5375</v>
      </c>
      <c r="B1048">
        <v>66</v>
      </c>
      <c r="C1048">
        <v>3411</v>
      </c>
      <c r="D1048" t="s">
        <v>3397</v>
      </c>
      <c r="E1048" t="s">
        <v>3419</v>
      </c>
      <c r="F1048" t="s">
        <v>5376</v>
      </c>
      <c r="G1048">
        <v>5602</v>
      </c>
      <c r="H1048" t="s">
        <v>3418</v>
      </c>
      <c r="I1048" t="s">
        <v>3391</v>
      </c>
      <c r="J1048" t="s">
        <v>4960</v>
      </c>
      <c r="K1048" t="s">
        <v>3302</v>
      </c>
      <c r="L1048" t="s">
        <v>6778</v>
      </c>
      <c r="M1048" t="s">
        <v>6779</v>
      </c>
      <c r="N1048" t="s">
        <v>6792</v>
      </c>
      <c r="O1048">
        <v>1</v>
      </c>
      <c r="P1048" t="str">
        <f>+BARRAS[[#This Row],[Barra]]&amp;"_"&amp;BARRAS[[#This Row],[Nivel de tensión]]</f>
        <v>LITORAL_CTL_66</v>
      </c>
    </row>
    <row r="1049" spans="1:16">
      <c r="A1049" t="s">
        <v>5377</v>
      </c>
      <c r="B1049">
        <v>23</v>
      </c>
      <c r="C1049">
        <v>3430</v>
      </c>
      <c r="D1049" t="s">
        <v>3397</v>
      </c>
      <c r="E1049" t="s">
        <v>5378</v>
      </c>
      <c r="F1049" t="s">
        <v>5379</v>
      </c>
      <c r="G1049">
        <v>16301</v>
      </c>
      <c r="H1049" t="s">
        <v>3414</v>
      </c>
      <c r="I1049" t="s">
        <v>3391</v>
      </c>
      <c r="J1049" t="s">
        <v>3392</v>
      </c>
      <c r="K1049" t="s">
        <v>3304</v>
      </c>
      <c r="L1049" t="s">
        <v>6778</v>
      </c>
      <c r="M1049" t="s">
        <v>6779</v>
      </c>
      <c r="N1049" t="s">
        <v>6792</v>
      </c>
      <c r="O1049">
        <v>1</v>
      </c>
      <c r="P1049" t="str">
        <f>+BARRAS[[#This Row],[Barra]]&amp;"_"&amp;BARRAS[[#This Row],[Nivel de tensión]]</f>
        <v>LLAIMA_23</v>
      </c>
    </row>
    <row r="1050" spans="1:16">
      <c r="A1050" t="s">
        <v>5377</v>
      </c>
      <c r="B1050">
        <v>66</v>
      </c>
      <c r="C1050">
        <v>1</v>
      </c>
      <c r="D1050" t="s">
        <v>3397</v>
      </c>
      <c r="E1050" t="s">
        <v>3419</v>
      </c>
      <c r="F1050" t="s">
        <v>3420</v>
      </c>
      <c r="G1050">
        <v>16301</v>
      </c>
      <c r="H1050" t="s">
        <v>3414</v>
      </c>
      <c r="I1050" t="s">
        <v>3391</v>
      </c>
      <c r="J1050" t="s">
        <v>3392</v>
      </c>
      <c r="K1050" t="s">
        <v>3304</v>
      </c>
      <c r="L1050" t="s">
        <v>6778</v>
      </c>
      <c r="M1050" t="s">
        <v>6779</v>
      </c>
      <c r="N1050" t="s">
        <v>6792</v>
      </c>
      <c r="O1050">
        <v>1</v>
      </c>
      <c r="P1050" t="str">
        <f>+BARRAS[[#This Row],[Barra]]&amp;"_"&amp;BARRAS[[#This Row],[Nivel de tensión]]</f>
        <v>LLAIMA_66</v>
      </c>
    </row>
    <row r="1051" spans="1:16">
      <c r="A1051" t="s">
        <v>707</v>
      </c>
      <c r="B1051">
        <v>23</v>
      </c>
      <c r="C1051">
        <v>3198</v>
      </c>
      <c r="D1051" t="s">
        <v>3397</v>
      </c>
      <c r="E1051" t="s">
        <v>3419</v>
      </c>
      <c r="F1051" t="s">
        <v>3589</v>
      </c>
      <c r="G1051">
        <v>4102</v>
      </c>
      <c r="H1051" t="s">
        <v>3405</v>
      </c>
      <c r="I1051" t="s">
        <v>3391</v>
      </c>
      <c r="J1051" t="s">
        <v>3617</v>
      </c>
      <c r="K1051" t="s">
        <v>6315</v>
      </c>
      <c r="L1051" t="s">
        <v>6778</v>
      </c>
      <c r="M1051" t="s">
        <v>6779</v>
      </c>
      <c r="N1051" t="s">
        <v>6792</v>
      </c>
      <c r="O1051">
        <v>1</v>
      </c>
      <c r="P1051" t="str">
        <f>+BARRAS[[#This Row],[Barra]]&amp;"_"&amp;BARRAS[[#This Row],[Nivel de tensión]]</f>
        <v>LLANBLANCOS_23</v>
      </c>
    </row>
    <row r="1052" spans="1:16">
      <c r="A1052" t="s">
        <v>707</v>
      </c>
      <c r="B1052">
        <v>220</v>
      </c>
      <c r="C1052">
        <v>3197</v>
      </c>
      <c r="D1052" t="s">
        <v>3397</v>
      </c>
      <c r="E1052" t="s">
        <v>3419</v>
      </c>
      <c r="F1052" t="s">
        <v>3589</v>
      </c>
      <c r="G1052">
        <v>4102</v>
      </c>
      <c r="H1052" t="s">
        <v>3405</v>
      </c>
      <c r="I1052" t="s">
        <v>3391</v>
      </c>
      <c r="J1052" t="s">
        <v>3617</v>
      </c>
      <c r="K1052" t="s">
        <v>6315</v>
      </c>
      <c r="L1052" t="s">
        <v>6778</v>
      </c>
      <c r="M1052" t="s">
        <v>6779</v>
      </c>
      <c r="N1052" t="s">
        <v>6792</v>
      </c>
      <c r="O1052">
        <v>1</v>
      </c>
      <c r="P1052" t="str">
        <f>+BARRAS[[#This Row],[Barra]]&amp;"_"&amp;BARRAS[[#This Row],[Nivel de tensión]]</f>
        <v>LLANBLANCOS_220</v>
      </c>
    </row>
    <row r="1053" spans="1:16">
      <c r="A1053" t="s">
        <v>5380</v>
      </c>
      <c r="B1053">
        <v>220</v>
      </c>
      <c r="C1053">
        <v>1</v>
      </c>
      <c r="D1053" t="s">
        <v>3397</v>
      </c>
      <c r="E1053" t="s">
        <v>5381</v>
      </c>
      <c r="F1053" t="s">
        <v>3420</v>
      </c>
      <c r="G1053">
        <v>16301</v>
      </c>
      <c r="H1053" t="s">
        <v>3405</v>
      </c>
      <c r="I1053" t="s">
        <v>3391</v>
      </c>
      <c r="J1053" t="s">
        <v>3392</v>
      </c>
      <c r="K1053" t="s">
        <v>6315</v>
      </c>
      <c r="L1053" t="s">
        <v>6778</v>
      </c>
      <c r="M1053" t="s">
        <v>6779</v>
      </c>
      <c r="N1053" t="s">
        <v>6792</v>
      </c>
      <c r="O1053">
        <v>1</v>
      </c>
      <c r="P1053" t="str">
        <f>+BARRAS[[#This Row],[Barra]]&amp;"_"&amp;BARRAS[[#This Row],[Nivel de tensión]]</f>
        <v>LLANOLLAMPOS_220</v>
      </c>
    </row>
    <row r="1054" spans="1:16">
      <c r="A1054" t="s">
        <v>5382</v>
      </c>
      <c r="B1054">
        <v>66</v>
      </c>
      <c r="C1054">
        <v>1</v>
      </c>
      <c r="D1054" t="s">
        <v>3397</v>
      </c>
      <c r="E1054" t="s">
        <v>5383</v>
      </c>
      <c r="F1054" t="s">
        <v>3420</v>
      </c>
      <c r="G1054">
        <v>16301</v>
      </c>
      <c r="H1054" t="s">
        <v>3405</v>
      </c>
      <c r="I1054" t="s">
        <v>3391</v>
      </c>
      <c r="J1054" t="s">
        <v>3392</v>
      </c>
      <c r="K1054" t="s">
        <v>6315</v>
      </c>
      <c r="L1054" t="s">
        <v>6778</v>
      </c>
      <c r="M1054" t="s">
        <v>6779</v>
      </c>
      <c r="N1054" t="s">
        <v>6792</v>
      </c>
      <c r="O1054">
        <v>1</v>
      </c>
      <c r="P1054" t="str">
        <f>+BARRAS[[#This Row],[Barra]]&amp;"_"&amp;BARRAS[[#This Row],[Nivel de tensión]]</f>
        <v>LLANOS_66</v>
      </c>
    </row>
    <row r="1055" spans="1:16">
      <c r="A1055" t="s">
        <v>5382</v>
      </c>
      <c r="B1055">
        <v>220</v>
      </c>
      <c r="C1055">
        <v>1</v>
      </c>
      <c r="D1055" t="s">
        <v>3397</v>
      </c>
      <c r="E1055" t="s">
        <v>5384</v>
      </c>
      <c r="F1055" t="s">
        <v>3420</v>
      </c>
      <c r="G1055">
        <v>16301</v>
      </c>
      <c r="H1055" t="s">
        <v>3405</v>
      </c>
      <c r="I1055" t="s">
        <v>3391</v>
      </c>
      <c r="J1055" t="s">
        <v>3392</v>
      </c>
      <c r="K1055" t="s">
        <v>6315</v>
      </c>
      <c r="L1055" t="s">
        <v>6778</v>
      </c>
      <c r="M1055" t="s">
        <v>6779</v>
      </c>
      <c r="N1055" t="s">
        <v>6792</v>
      </c>
      <c r="O1055">
        <v>1</v>
      </c>
      <c r="P1055" t="str">
        <f>+BARRAS[[#This Row],[Barra]]&amp;"_"&amp;BARRAS[[#This Row],[Nivel de tensión]]</f>
        <v>LLANOS_220</v>
      </c>
    </row>
    <row r="1056" spans="1:16">
      <c r="A1056" t="s">
        <v>5385</v>
      </c>
      <c r="B1056">
        <v>66</v>
      </c>
      <c r="C1056">
        <v>1</v>
      </c>
      <c r="D1056" t="s">
        <v>3397</v>
      </c>
      <c r="E1056" t="s">
        <v>5386</v>
      </c>
      <c r="F1056" t="s">
        <v>3420</v>
      </c>
      <c r="G1056">
        <v>16301</v>
      </c>
      <c r="H1056" t="s">
        <v>3390</v>
      </c>
      <c r="I1056" t="s">
        <v>3391</v>
      </c>
      <c r="J1056" t="s">
        <v>3392</v>
      </c>
      <c r="K1056" t="s">
        <v>3305</v>
      </c>
      <c r="L1056" t="s">
        <v>6778</v>
      </c>
      <c r="M1056" t="s">
        <v>6779</v>
      </c>
      <c r="N1056" t="s">
        <v>6792</v>
      </c>
      <c r="O1056">
        <v>1</v>
      </c>
      <c r="P1056" t="str">
        <f>+BARRAS[[#This Row],[Barra]]&amp;"_"&amp;BARRAS[[#This Row],[Nivel de tensión]]</f>
        <v>LLANQUIHUE_66</v>
      </c>
    </row>
    <row r="1057" spans="1:16">
      <c r="A1057" t="s">
        <v>5385</v>
      </c>
      <c r="B1057">
        <v>220</v>
      </c>
      <c r="C1057">
        <v>1</v>
      </c>
      <c r="D1057" t="s">
        <v>3397</v>
      </c>
      <c r="E1057" t="s">
        <v>5387</v>
      </c>
      <c r="F1057" t="s">
        <v>3420</v>
      </c>
      <c r="G1057">
        <v>16301</v>
      </c>
      <c r="H1057" t="s">
        <v>3390</v>
      </c>
      <c r="I1057" t="s">
        <v>3391</v>
      </c>
      <c r="J1057" t="s">
        <v>3392</v>
      </c>
      <c r="K1057" t="s">
        <v>3305</v>
      </c>
      <c r="L1057" t="s">
        <v>6778</v>
      </c>
      <c r="M1057" t="s">
        <v>6779</v>
      </c>
      <c r="N1057" t="s">
        <v>6792</v>
      </c>
      <c r="O1057">
        <v>1</v>
      </c>
      <c r="P1057" t="str">
        <f>+BARRAS[[#This Row],[Barra]]&amp;"_"&amp;BARRAS[[#This Row],[Nivel de tensión]]</f>
        <v>LLANQUIHUE_220</v>
      </c>
    </row>
    <row r="1058" spans="1:16">
      <c r="A1058" t="s">
        <v>5388</v>
      </c>
      <c r="B1058">
        <v>110</v>
      </c>
      <c r="C1058">
        <v>1</v>
      </c>
      <c r="D1058" t="s">
        <v>3397</v>
      </c>
      <c r="E1058" t="s">
        <v>5389</v>
      </c>
      <c r="F1058" t="s">
        <v>3420</v>
      </c>
      <c r="G1058">
        <v>16301</v>
      </c>
      <c r="H1058" t="s">
        <v>3405</v>
      </c>
      <c r="I1058" t="s">
        <v>3391</v>
      </c>
      <c r="J1058" t="s">
        <v>3392</v>
      </c>
      <c r="K1058" t="s">
        <v>6315</v>
      </c>
      <c r="L1058" t="s">
        <v>6778</v>
      </c>
      <c r="M1058" t="s">
        <v>6779</v>
      </c>
      <c r="N1058" t="s">
        <v>6792</v>
      </c>
      <c r="O1058">
        <v>1</v>
      </c>
      <c r="P1058" t="str">
        <f>+BARRAS[[#This Row],[Barra]]&amp;"_"&amp;BARRAS[[#This Row],[Nivel de tensión]]</f>
        <v>LLANTA_110</v>
      </c>
    </row>
    <row r="1059" spans="1:16">
      <c r="A1059" t="s">
        <v>5390</v>
      </c>
      <c r="B1059">
        <v>110</v>
      </c>
      <c r="C1059">
        <v>3533</v>
      </c>
      <c r="D1059" t="s">
        <v>5391</v>
      </c>
      <c r="E1059" t="s">
        <v>5392</v>
      </c>
      <c r="F1059" t="s">
        <v>5393</v>
      </c>
      <c r="G1059">
        <v>16301</v>
      </c>
      <c r="H1059" t="s">
        <v>3405</v>
      </c>
      <c r="I1059" t="s">
        <v>3391</v>
      </c>
      <c r="J1059" t="s">
        <v>3392</v>
      </c>
      <c r="K1059" t="s">
        <v>6315</v>
      </c>
      <c r="L1059" t="s">
        <v>6778</v>
      </c>
      <c r="M1059" t="s">
        <v>6779</v>
      </c>
      <c r="N1059" t="s">
        <v>6792</v>
      </c>
      <c r="O1059">
        <v>1</v>
      </c>
      <c r="P1059" t="str">
        <f>+BARRAS[[#This Row],[Barra]]&amp;"_"&amp;BARRAS[[#This Row],[Nivel de tensión]]</f>
        <v>LLAYLLAY_110</v>
      </c>
    </row>
    <row r="1060" spans="1:16">
      <c r="A1060" t="s">
        <v>5394</v>
      </c>
      <c r="B1060">
        <v>66</v>
      </c>
      <c r="C1060">
        <v>1</v>
      </c>
      <c r="D1060" t="s">
        <v>3397</v>
      </c>
      <c r="E1060" t="s">
        <v>5395</v>
      </c>
      <c r="F1060" t="s">
        <v>3420</v>
      </c>
      <c r="G1060">
        <v>16301</v>
      </c>
      <c r="H1060" t="s">
        <v>3390</v>
      </c>
      <c r="I1060" t="s">
        <v>3391</v>
      </c>
      <c r="J1060" t="s">
        <v>3392</v>
      </c>
      <c r="K1060" t="s">
        <v>3305</v>
      </c>
      <c r="L1060" t="s">
        <v>6778</v>
      </c>
      <c r="M1060" t="s">
        <v>6779</v>
      </c>
      <c r="N1060" t="s">
        <v>6792</v>
      </c>
      <c r="O1060">
        <v>1</v>
      </c>
      <c r="P1060" t="str">
        <f>+BARRAS[[#This Row],[Barra]]&amp;"_"&amp;BARRAS[[#This Row],[Nivel de tensión]]</f>
        <v>LLOLLELHUE_66</v>
      </c>
    </row>
    <row r="1061" spans="1:16">
      <c r="A1061" t="s">
        <v>714</v>
      </c>
      <c r="B1061">
        <v>12</v>
      </c>
      <c r="C1061">
        <v>788</v>
      </c>
      <c r="D1061" t="s">
        <v>5396</v>
      </c>
      <c r="E1061" t="s">
        <v>5397</v>
      </c>
      <c r="F1061" t="s">
        <v>5398</v>
      </c>
      <c r="G1061">
        <v>16301</v>
      </c>
      <c r="H1061" t="s">
        <v>3469</v>
      </c>
      <c r="I1061" t="s">
        <v>3391</v>
      </c>
      <c r="J1061" t="s">
        <v>3392</v>
      </c>
      <c r="K1061" t="s">
        <v>3303</v>
      </c>
      <c r="L1061" t="s">
        <v>6778</v>
      </c>
      <c r="M1061" t="s">
        <v>6779</v>
      </c>
      <c r="N1061" t="s">
        <v>6792</v>
      </c>
      <c r="O1061">
        <v>1</v>
      </c>
      <c r="P1061" t="str">
        <f>+BARRAS[[#This Row],[Barra]]&amp;"_"&amp;BARRAS[[#This Row],[Nivel de tensión]]</f>
        <v>LO_AGUIRRE_12</v>
      </c>
    </row>
    <row r="1062" spans="1:16">
      <c r="A1062" t="s">
        <v>714</v>
      </c>
      <c r="B1062">
        <v>110</v>
      </c>
      <c r="C1062">
        <v>1</v>
      </c>
      <c r="D1062" t="s">
        <v>3397</v>
      </c>
      <c r="E1062" t="s">
        <v>5399</v>
      </c>
      <c r="F1062" t="s">
        <v>3420</v>
      </c>
      <c r="G1062">
        <v>16301</v>
      </c>
      <c r="H1062" t="s">
        <v>3469</v>
      </c>
      <c r="I1062" t="s">
        <v>3391</v>
      </c>
      <c r="J1062" t="s">
        <v>3392</v>
      </c>
      <c r="K1062" t="s">
        <v>3303</v>
      </c>
      <c r="L1062" t="s">
        <v>6778</v>
      </c>
      <c r="M1062" t="s">
        <v>6779</v>
      </c>
      <c r="N1062" t="s">
        <v>6792</v>
      </c>
      <c r="O1062">
        <v>1</v>
      </c>
      <c r="P1062" t="str">
        <f>+BARRAS[[#This Row],[Barra]]&amp;"_"&amp;BARRAS[[#This Row],[Nivel de tensión]]</f>
        <v>LO_AGUIRRE_110</v>
      </c>
    </row>
    <row r="1063" spans="1:16">
      <c r="A1063" t="s">
        <v>714</v>
      </c>
      <c r="B1063">
        <v>220</v>
      </c>
      <c r="C1063">
        <v>1</v>
      </c>
      <c r="D1063" t="s">
        <v>3397</v>
      </c>
      <c r="E1063" t="s">
        <v>5400</v>
      </c>
      <c r="F1063" t="s">
        <v>3420</v>
      </c>
      <c r="G1063">
        <v>16301</v>
      </c>
      <c r="H1063" t="s">
        <v>3409</v>
      </c>
      <c r="I1063" t="s">
        <v>3391</v>
      </c>
      <c r="J1063" t="s">
        <v>3392</v>
      </c>
      <c r="K1063" t="s">
        <v>6315</v>
      </c>
      <c r="L1063" t="s">
        <v>6778</v>
      </c>
      <c r="M1063" t="s">
        <v>6779</v>
      </c>
      <c r="N1063" t="s">
        <v>6792</v>
      </c>
      <c r="O1063">
        <v>1</v>
      </c>
      <c r="P1063" t="str">
        <f>+BARRAS[[#This Row],[Barra]]&amp;"_"&amp;BARRAS[[#This Row],[Nivel de tensión]]</f>
        <v>LO_AGUIRRE_220</v>
      </c>
    </row>
    <row r="1064" spans="1:16">
      <c r="A1064" t="s">
        <v>714</v>
      </c>
      <c r="B1064">
        <v>500</v>
      </c>
      <c r="C1064">
        <v>1</v>
      </c>
      <c r="D1064" t="s">
        <v>3397</v>
      </c>
      <c r="E1064" t="s">
        <v>5401</v>
      </c>
      <c r="F1064" t="s">
        <v>3420</v>
      </c>
      <c r="G1064">
        <v>16301</v>
      </c>
      <c r="H1064" t="s">
        <v>3409</v>
      </c>
      <c r="I1064" t="s">
        <v>3391</v>
      </c>
      <c r="J1064" t="s">
        <v>3392</v>
      </c>
      <c r="K1064" t="s">
        <v>6315</v>
      </c>
      <c r="L1064" t="s">
        <v>6778</v>
      </c>
      <c r="M1064" t="s">
        <v>6779</v>
      </c>
      <c r="N1064" t="s">
        <v>6792</v>
      </c>
      <c r="O1064">
        <v>1</v>
      </c>
      <c r="P1064" t="str">
        <f>+BARRAS[[#This Row],[Barra]]&amp;"_"&amp;BARRAS[[#This Row],[Nivel de tensión]]</f>
        <v>LO_AGUIRRE_500</v>
      </c>
    </row>
    <row r="1065" spans="1:16">
      <c r="A1065" t="s">
        <v>719</v>
      </c>
      <c r="B1065">
        <v>13</v>
      </c>
      <c r="C1065">
        <v>791</v>
      </c>
      <c r="D1065" t="s">
        <v>5402</v>
      </c>
      <c r="E1065" t="s">
        <v>5403</v>
      </c>
      <c r="F1065" t="s">
        <v>5404</v>
      </c>
      <c r="G1065">
        <v>16301</v>
      </c>
      <c r="H1065" t="s">
        <v>3469</v>
      </c>
      <c r="I1065" t="s">
        <v>3391</v>
      </c>
      <c r="J1065" t="s">
        <v>3392</v>
      </c>
      <c r="K1065" t="s">
        <v>3303</v>
      </c>
      <c r="L1065" t="s">
        <v>6778</v>
      </c>
      <c r="M1065" t="s">
        <v>6779</v>
      </c>
      <c r="N1065" t="s">
        <v>6792</v>
      </c>
      <c r="O1065">
        <v>1</v>
      </c>
      <c r="P1065" t="str">
        <f>+BARRAS[[#This Row],[Barra]]&amp;"_"&amp;BARRAS[[#This Row],[Nivel de tensión]]</f>
        <v>LO_BOZA_13</v>
      </c>
    </row>
    <row r="1066" spans="1:16">
      <c r="A1066" t="s">
        <v>719</v>
      </c>
      <c r="B1066">
        <v>23</v>
      </c>
      <c r="C1066">
        <v>796</v>
      </c>
      <c r="D1066" t="s">
        <v>5405</v>
      </c>
      <c r="E1066" t="s">
        <v>5406</v>
      </c>
      <c r="F1066" t="s">
        <v>5404</v>
      </c>
      <c r="G1066">
        <v>16301</v>
      </c>
      <c r="H1066" t="s">
        <v>3469</v>
      </c>
      <c r="I1066" t="s">
        <v>3391</v>
      </c>
      <c r="J1066" t="s">
        <v>3392</v>
      </c>
      <c r="K1066" t="s">
        <v>3303</v>
      </c>
      <c r="L1066" t="s">
        <v>6778</v>
      </c>
      <c r="M1066" t="s">
        <v>6779</v>
      </c>
      <c r="N1066" t="s">
        <v>6792</v>
      </c>
      <c r="O1066">
        <v>1</v>
      </c>
      <c r="P1066" t="str">
        <f>+BARRAS[[#This Row],[Barra]]&amp;"_"&amp;BARRAS[[#This Row],[Nivel de tensión]]</f>
        <v>LO_BOZA_23</v>
      </c>
    </row>
    <row r="1067" spans="1:16">
      <c r="A1067" t="s">
        <v>5458</v>
      </c>
      <c r="B1067">
        <v>220</v>
      </c>
      <c r="C1067">
        <v>1</v>
      </c>
      <c r="D1067" t="s">
        <v>3397</v>
      </c>
      <c r="E1067" t="s">
        <v>3419</v>
      </c>
      <c r="F1067" t="s">
        <v>4240</v>
      </c>
      <c r="G1067">
        <v>16301</v>
      </c>
      <c r="H1067" t="s">
        <v>3405</v>
      </c>
      <c r="I1067" t="s">
        <v>3391</v>
      </c>
      <c r="J1067" t="s">
        <v>3392</v>
      </c>
      <c r="K1067" t="s">
        <v>6315</v>
      </c>
      <c r="L1067" t="s">
        <v>6778</v>
      </c>
      <c r="M1067" t="s">
        <v>6779</v>
      </c>
      <c r="N1067" t="s">
        <v>6792</v>
      </c>
      <c r="O1067">
        <v>1</v>
      </c>
      <c r="P1067" t="str">
        <f>+BARRAS[[#This Row],[Barra]]&amp;"_"&amp;BARRAS[[#This Row],[Nivel de tensión]]</f>
        <v>LOS_NOTROS_220</v>
      </c>
    </row>
    <row r="1068" spans="1:16">
      <c r="A1068" t="s">
        <v>5459</v>
      </c>
      <c r="B1068">
        <v>66</v>
      </c>
      <c r="C1068">
        <v>1</v>
      </c>
      <c r="D1068" t="s">
        <v>3397</v>
      </c>
      <c r="E1068" t="s">
        <v>5460</v>
      </c>
      <c r="F1068" t="s">
        <v>3420</v>
      </c>
      <c r="G1068">
        <v>16301</v>
      </c>
      <c r="H1068" t="s">
        <v>3414</v>
      </c>
      <c r="I1068" t="s">
        <v>3391</v>
      </c>
      <c r="J1068" t="s">
        <v>3392</v>
      </c>
      <c r="K1068" t="s">
        <v>3304</v>
      </c>
      <c r="L1068" t="s">
        <v>6778</v>
      </c>
      <c r="M1068" t="s">
        <v>6779</v>
      </c>
      <c r="N1068" t="s">
        <v>6792</v>
      </c>
      <c r="O1068">
        <v>1</v>
      </c>
      <c r="P1068" t="str">
        <f>+BARRAS[[#This Row],[Barra]]&amp;"_"&amp;BARRAS[[#This Row],[Nivel de tensión]]</f>
        <v>LOS_PEUMOS_66</v>
      </c>
    </row>
    <row r="1069" spans="1:16">
      <c r="A1069" t="s">
        <v>5459</v>
      </c>
      <c r="B1069">
        <v>220</v>
      </c>
      <c r="C1069">
        <v>1</v>
      </c>
      <c r="D1069" t="s">
        <v>3397</v>
      </c>
      <c r="E1069" t="s">
        <v>5461</v>
      </c>
      <c r="F1069" t="s">
        <v>3420</v>
      </c>
      <c r="G1069">
        <v>16301</v>
      </c>
      <c r="H1069" t="s">
        <v>3409</v>
      </c>
      <c r="I1069" t="s">
        <v>3391</v>
      </c>
      <c r="J1069" t="s">
        <v>3392</v>
      </c>
      <c r="K1069" t="s">
        <v>6315</v>
      </c>
      <c r="L1069" t="s">
        <v>6778</v>
      </c>
      <c r="M1069" t="s">
        <v>6779</v>
      </c>
      <c r="N1069" t="s">
        <v>6792</v>
      </c>
      <c r="O1069">
        <v>1</v>
      </c>
      <c r="P1069" t="str">
        <f>+BARRAS[[#This Row],[Barra]]&amp;"_"&amp;BARRAS[[#This Row],[Nivel de tensión]]</f>
        <v>LOS_PEUMOS_220</v>
      </c>
    </row>
    <row r="1070" spans="1:16">
      <c r="A1070" t="s">
        <v>5462</v>
      </c>
      <c r="B1070">
        <v>66</v>
      </c>
      <c r="C1070">
        <v>4295</v>
      </c>
      <c r="D1070" t="s">
        <v>5463</v>
      </c>
      <c r="E1070" t="s">
        <v>5464</v>
      </c>
      <c r="F1070" t="s">
        <v>5465</v>
      </c>
      <c r="G1070">
        <v>5602</v>
      </c>
      <c r="H1070" t="s">
        <v>3418</v>
      </c>
      <c r="I1070" t="s">
        <v>3391</v>
      </c>
      <c r="J1070" t="s">
        <v>5466</v>
      </c>
      <c r="K1070" t="s">
        <v>3302</v>
      </c>
      <c r="L1070" t="s">
        <v>6778</v>
      </c>
      <c r="M1070" t="s">
        <v>6779</v>
      </c>
      <c r="N1070" t="s">
        <v>6792</v>
      </c>
      <c r="O1070">
        <v>1</v>
      </c>
      <c r="P1070" t="str">
        <f>+BARRAS[[#This Row],[Barra]]&amp;"_"&amp;BARRAS[[#This Row],[Nivel de tensión]]</f>
        <v>LOS_POETAS_66</v>
      </c>
    </row>
    <row r="1071" spans="1:16">
      <c r="A1071" t="s">
        <v>758</v>
      </c>
      <c r="B1071">
        <v>23</v>
      </c>
      <c r="C1071">
        <v>1411</v>
      </c>
      <c r="D1071" t="s">
        <v>5467</v>
      </c>
      <c r="E1071" t="s">
        <v>5468</v>
      </c>
      <c r="F1071" t="s">
        <v>5469</v>
      </c>
      <c r="G1071">
        <v>16301</v>
      </c>
      <c r="H1071" t="s">
        <v>3414</v>
      </c>
      <c r="I1071" t="s">
        <v>3391</v>
      </c>
      <c r="J1071" t="s">
        <v>3392</v>
      </c>
      <c r="K1071" t="s">
        <v>3304</v>
      </c>
      <c r="L1071" t="s">
        <v>6778</v>
      </c>
      <c r="M1071" t="s">
        <v>6779</v>
      </c>
      <c r="N1071" t="s">
        <v>6792</v>
      </c>
      <c r="O1071">
        <v>1</v>
      </c>
      <c r="P1071" t="str">
        <f>+BARRAS[[#This Row],[Barra]]&amp;"_"&amp;BARRAS[[#This Row],[Nivel de tensión]]</f>
        <v>LOS_SAUCES_23</v>
      </c>
    </row>
    <row r="1072" spans="1:16">
      <c r="A1072" t="s">
        <v>758</v>
      </c>
      <c r="B1072">
        <v>66</v>
      </c>
      <c r="C1072">
        <v>1</v>
      </c>
      <c r="D1072" t="s">
        <v>3397</v>
      </c>
      <c r="E1072" t="s">
        <v>5470</v>
      </c>
      <c r="F1072" t="s">
        <v>3420</v>
      </c>
      <c r="G1072">
        <v>16301</v>
      </c>
      <c r="H1072" t="s">
        <v>3414</v>
      </c>
      <c r="I1072" t="s">
        <v>3391</v>
      </c>
      <c r="J1072" t="s">
        <v>3392</v>
      </c>
      <c r="K1072" t="s">
        <v>3304</v>
      </c>
      <c r="L1072" t="s">
        <v>6778</v>
      </c>
      <c r="M1072" t="s">
        <v>6779</v>
      </c>
      <c r="N1072" t="s">
        <v>6792</v>
      </c>
      <c r="O1072">
        <v>1</v>
      </c>
      <c r="P1072" t="str">
        <f>+BARRAS[[#This Row],[Barra]]&amp;"_"&amp;BARRAS[[#This Row],[Nivel de tensión]]</f>
        <v>LOS_SAUCES_66</v>
      </c>
    </row>
    <row r="1073" spans="1:16">
      <c r="A1073" t="s">
        <v>3470</v>
      </c>
      <c r="B1073">
        <v>13</v>
      </c>
      <c r="C1073">
        <v>1491</v>
      </c>
      <c r="D1073" t="s">
        <v>3471</v>
      </c>
      <c r="E1073" t="s">
        <v>3472</v>
      </c>
      <c r="F1073" t="s">
        <v>3473</v>
      </c>
      <c r="G1073">
        <v>16301</v>
      </c>
      <c r="H1073" t="s">
        <v>3390</v>
      </c>
      <c r="I1073" t="s">
        <v>3391</v>
      </c>
      <c r="J1073" t="s">
        <v>3392</v>
      </c>
      <c r="K1073" t="s">
        <v>3305</v>
      </c>
      <c r="L1073" t="s">
        <v>6778</v>
      </c>
      <c r="M1073" t="s">
        <v>6779</v>
      </c>
      <c r="N1073" t="s">
        <v>6792</v>
      </c>
      <c r="O1073">
        <v>1</v>
      </c>
      <c r="P1073" t="str">
        <f>+BARRAS[[#This Row],[Barra]]&amp;"_"&amp;BARRAS[[#This Row],[Nivel de tensión]]</f>
        <v>LOS_TAMBORES_13</v>
      </c>
    </row>
    <row r="1074" spans="1:16">
      <c r="A1074" t="s">
        <v>3470</v>
      </c>
      <c r="B1074">
        <v>66</v>
      </c>
      <c r="C1074">
        <v>1</v>
      </c>
      <c r="D1074" t="s">
        <v>3397</v>
      </c>
      <c r="E1074" t="s">
        <v>5471</v>
      </c>
      <c r="F1074" t="s">
        <v>3420</v>
      </c>
      <c r="G1074">
        <v>16301</v>
      </c>
      <c r="H1074" t="s">
        <v>3390</v>
      </c>
      <c r="I1074" t="s">
        <v>3391</v>
      </c>
      <c r="J1074" t="s">
        <v>3392</v>
      </c>
      <c r="K1074" t="s">
        <v>3305</v>
      </c>
      <c r="L1074" t="s">
        <v>6778</v>
      </c>
      <c r="M1074" t="s">
        <v>6779</v>
      </c>
      <c r="N1074" t="s">
        <v>6792</v>
      </c>
      <c r="O1074">
        <v>1</v>
      </c>
      <c r="P1074" t="str">
        <f>+BARRAS[[#This Row],[Barra]]&amp;"_"&amp;BARRAS[[#This Row],[Nivel de tensión]]</f>
        <v>LOS_TAMBORES_66</v>
      </c>
    </row>
    <row r="1075" spans="1:16">
      <c r="A1075" t="s">
        <v>5472</v>
      </c>
      <c r="B1075">
        <v>66</v>
      </c>
      <c r="C1075">
        <v>3515</v>
      </c>
      <c r="D1075" t="s">
        <v>3397</v>
      </c>
      <c r="E1075" t="s">
        <v>3419</v>
      </c>
      <c r="F1075" t="s">
        <v>6534</v>
      </c>
      <c r="G1075">
        <v>16301</v>
      </c>
      <c r="H1075" t="s">
        <v>3414</v>
      </c>
      <c r="I1075" t="s">
        <v>3391</v>
      </c>
      <c r="J1075" t="s">
        <v>6535</v>
      </c>
      <c r="K1075" t="s">
        <v>3304</v>
      </c>
      <c r="L1075" t="s">
        <v>6778</v>
      </c>
      <c r="M1075" t="s">
        <v>6779</v>
      </c>
      <c r="N1075" t="s">
        <v>6792</v>
      </c>
      <c r="O1075">
        <v>1</v>
      </c>
      <c r="P1075" t="str">
        <f>+BARRAS[[#This Row],[Barra]]&amp;"_"&amp;BARRAS[[#This Row],[Nivel de tensión]]</f>
        <v>LOS_VARONES_66</v>
      </c>
    </row>
    <row r="1076" spans="1:16">
      <c r="A1076" t="s">
        <v>5472</v>
      </c>
      <c r="B1076">
        <v>220</v>
      </c>
      <c r="C1076">
        <v>3513</v>
      </c>
      <c r="D1076" t="s">
        <v>3397</v>
      </c>
      <c r="E1076" t="s">
        <v>5473</v>
      </c>
      <c r="F1076" t="s">
        <v>3420</v>
      </c>
      <c r="G1076">
        <v>16301</v>
      </c>
      <c r="H1076" t="s">
        <v>3409</v>
      </c>
      <c r="I1076" t="s">
        <v>3391</v>
      </c>
      <c r="J1076" t="s">
        <v>3392</v>
      </c>
      <c r="K1076" t="s">
        <v>6315</v>
      </c>
      <c r="L1076" t="s">
        <v>6778</v>
      </c>
      <c r="M1076" t="s">
        <v>6779</v>
      </c>
      <c r="N1076" t="s">
        <v>6792</v>
      </c>
      <c r="O1076">
        <v>1</v>
      </c>
      <c r="P1076" t="str">
        <f>+BARRAS[[#This Row],[Barra]]&amp;"_"&amp;BARRAS[[#This Row],[Nivel de tensión]]</f>
        <v>LOS_VARONES_220</v>
      </c>
    </row>
    <row r="1077" spans="1:16">
      <c r="A1077" t="s">
        <v>5474</v>
      </c>
      <c r="B1077">
        <v>13</v>
      </c>
      <c r="C1077">
        <v>1076</v>
      </c>
      <c r="D1077" t="s">
        <v>5475</v>
      </c>
      <c r="E1077" t="s">
        <v>5476</v>
      </c>
      <c r="F1077" t="s">
        <v>5477</v>
      </c>
      <c r="G1077">
        <v>16301</v>
      </c>
      <c r="H1077" t="s">
        <v>3414</v>
      </c>
      <c r="I1077" t="s">
        <v>3391</v>
      </c>
      <c r="J1077" t="s">
        <v>3392</v>
      </c>
      <c r="K1077" t="s">
        <v>3304</v>
      </c>
      <c r="L1077" t="s">
        <v>6778</v>
      </c>
      <c r="M1077" t="s">
        <v>6779</v>
      </c>
      <c r="N1077" t="s">
        <v>6792</v>
      </c>
      <c r="O1077">
        <v>1</v>
      </c>
      <c r="P1077" t="str">
        <f>+BARRAS[[#This Row],[Barra]]&amp;"_"&amp;BARRAS[[#This Row],[Nivel de tensión]]</f>
        <v>LOTA_13</v>
      </c>
    </row>
    <row r="1078" spans="1:16">
      <c r="A1078" t="s">
        <v>5474</v>
      </c>
      <c r="B1078">
        <v>66</v>
      </c>
      <c r="C1078">
        <v>1</v>
      </c>
      <c r="D1078" t="s">
        <v>3397</v>
      </c>
      <c r="E1078" t="s">
        <v>5478</v>
      </c>
      <c r="F1078" t="s">
        <v>3420</v>
      </c>
      <c r="G1078">
        <v>16301</v>
      </c>
      <c r="H1078" t="s">
        <v>3414</v>
      </c>
      <c r="I1078" t="s">
        <v>3391</v>
      </c>
      <c r="J1078" t="s">
        <v>3392</v>
      </c>
      <c r="K1078" t="s">
        <v>3304</v>
      </c>
      <c r="L1078" t="s">
        <v>6778</v>
      </c>
      <c r="M1078" t="s">
        <v>6779</v>
      </c>
      <c r="N1078" t="s">
        <v>6792</v>
      </c>
      <c r="O1078">
        <v>1</v>
      </c>
      <c r="P1078" t="str">
        <f>+BARRAS[[#This Row],[Barra]]&amp;"_"&amp;BARRAS[[#This Row],[Nivel de tensión]]</f>
        <v>LOTA_66</v>
      </c>
    </row>
    <row r="1079" spans="1:16">
      <c r="A1079" t="s">
        <v>5479</v>
      </c>
      <c r="B1079">
        <v>66</v>
      </c>
      <c r="C1079">
        <v>1</v>
      </c>
      <c r="D1079" t="s">
        <v>3397</v>
      </c>
      <c r="E1079" t="s">
        <v>5480</v>
      </c>
      <c r="F1079" t="s">
        <v>3420</v>
      </c>
      <c r="G1079">
        <v>16301</v>
      </c>
      <c r="H1079" t="s">
        <v>3414</v>
      </c>
      <c r="I1079" t="s">
        <v>3391</v>
      </c>
      <c r="J1079" t="s">
        <v>3392</v>
      </c>
      <c r="K1079" t="s">
        <v>3304</v>
      </c>
      <c r="L1079" t="s">
        <v>6778</v>
      </c>
      <c r="M1079" t="s">
        <v>6779</v>
      </c>
      <c r="N1079" t="s">
        <v>6792</v>
      </c>
      <c r="O1079">
        <v>1</v>
      </c>
      <c r="P1079" t="str">
        <f>+BARRAS[[#This Row],[Barra]]&amp;"_"&amp;BARRAS[[#This Row],[Nivel de tensión]]</f>
        <v>LUCERO_66</v>
      </c>
    </row>
    <row r="1080" spans="1:16">
      <c r="A1080" t="s">
        <v>766</v>
      </c>
      <c r="B1080">
        <v>23</v>
      </c>
      <c r="C1080">
        <v>2177</v>
      </c>
      <c r="D1080" t="s">
        <v>5481</v>
      </c>
      <c r="E1080" t="s">
        <v>5482</v>
      </c>
      <c r="F1080" t="s">
        <v>5483</v>
      </c>
      <c r="G1080">
        <v>16301</v>
      </c>
      <c r="H1080" t="s">
        <v>3405</v>
      </c>
      <c r="I1080" t="s">
        <v>3391</v>
      </c>
      <c r="J1080" t="s">
        <v>3392</v>
      </c>
      <c r="K1080" t="s">
        <v>6315</v>
      </c>
      <c r="L1080" t="s">
        <v>6778</v>
      </c>
      <c r="M1080" t="s">
        <v>6779</v>
      </c>
      <c r="N1080" t="s">
        <v>6792</v>
      </c>
      <c r="O1080">
        <v>1</v>
      </c>
      <c r="P1080" t="str">
        <f>+BARRAS[[#This Row],[Barra]]&amp;"_"&amp;BARRAS[[#This Row],[Nivel de tensión]]</f>
        <v>M.BLANCOS_23</v>
      </c>
    </row>
    <row r="1081" spans="1:16">
      <c r="A1081" t="s">
        <v>766</v>
      </c>
      <c r="B1081">
        <v>220</v>
      </c>
      <c r="C1081">
        <v>2176</v>
      </c>
      <c r="D1081" t="s">
        <v>5484</v>
      </c>
      <c r="E1081" t="s">
        <v>5485</v>
      </c>
      <c r="F1081" t="s">
        <v>5483</v>
      </c>
      <c r="G1081">
        <v>16301</v>
      </c>
      <c r="H1081" t="s">
        <v>3396</v>
      </c>
      <c r="I1081" t="s">
        <v>3391</v>
      </c>
      <c r="J1081" t="s">
        <v>3392</v>
      </c>
      <c r="K1081" t="s">
        <v>6315</v>
      </c>
      <c r="L1081" t="s">
        <v>6778</v>
      </c>
      <c r="M1081" t="s">
        <v>6779</v>
      </c>
      <c r="N1081" t="s">
        <v>6792</v>
      </c>
      <c r="O1081">
        <v>1</v>
      </c>
      <c r="P1081" t="str">
        <f>+BARRAS[[#This Row],[Barra]]&amp;"_"&amp;BARRAS[[#This Row],[Nivel de tensión]]</f>
        <v>M.BLANCOS_220</v>
      </c>
    </row>
    <row r="1082" spans="1:16">
      <c r="A1082" t="s">
        <v>769</v>
      </c>
      <c r="B1082">
        <v>13</v>
      </c>
      <c r="C1082">
        <v>189</v>
      </c>
      <c r="D1082" t="s">
        <v>5486</v>
      </c>
      <c r="E1082" t="s">
        <v>5487</v>
      </c>
      <c r="F1082" t="s">
        <v>5488</v>
      </c>
      <c r="G1082">
        <v>16301</v>
      </c>
      <c r="H1082" t="s">
        <v>3414</v>
      </c>
      <c r="I1082" t="s">
        <v>3391</v>
      </c>
      <c r="J1082" t="s">
        <v>3392</v>
      </c>
      <c r="K1082" t="s">
        <v>3304</v>
      </c>
      <c r="L1082" t="s">
        <v>6778</v>
      </c>
      <c r="M1082" t="s">
        <v>6779</v>
      </c>
      <c r="N1082" t="s">
        <v>6792</v>
      </c>
      <c r="O1082">
        <v>1</v>
      </c>
      <c r="P1082" t="str">
        <f>+BARRAS[[#This Row],[Barra]]&amp;"_"&amp;BARRAS[[#This Row],[Nivel de tensión]]</f>
        <v>M.DEVELASCO_13</v>
      </c>
    </row>
    <row r="1083" spans="1:16">
      <c r="A1083" t="s">
        <v>769</v>
      </c>
      <c r="B1083">
        <v>66</v>
      </c>
      <c r="C1083">
        <v>1</v>
      </c>
      <c r="D1083" t="s">
        <v>3397</v>
      </c>
      <c r="E1083" t="s">
        <v>5489</v>
      </c>
      <c r="F1083" t="s">
        <v>3420</v>
      </c>
      <c r="G1083">
        <v>16301</v>
      </c>
      <c r="H1083" t="s">
        <v>3414</v>
      </c>
      <c r="I1083" t="s">
        <v>3391</v>
      </c>
      <c r="J1083" t="s">
        <v>3392</v>
      </c>
      <c r="K1083" t="s">
        <v>3304</v>
      </c>
      <c r="L1083" t="s">
        <v>6778</v>
      </c>
      <c r="M1083" t="s">
        <v>6779</v>
      </c>
      <c r="N1083" t="s">
        <v>6792</v>
      </c>
      <c r="O1083">
        <v>1</v>
      </c>
      <c r="P1083" t="str">
        <f>+BARRAS[[#This Row],[Barra]]&amp;"_"&amp;BARRAS[[#This Row],[Nivel de tensión]]</f>
        <v>M.DEVELASCO_66</v>
      </c>
    </row>
    <row r="1084" spans="1:16">
      <c r="A1084" t="s">
        <v>5490</v>
      </c>
      <c r="B1084">
        <v>220</v>
      </c>
      <c r="C1084">
        <v>1</v>
      </c>
      <c r="D1084" t="s">
        <v>3397</v>
      </c>
      <c r="E1084" t="s">
        <v>5491</v>
      </c>
      <c r="F1084" t="s">
        <v>3420</v>
      </c>
      <c r="G1084">
        <v>16301</v>
      </c>
      <c r="H1084" t="s">
        <v>3405</v>
      </c>
      <c r="I1084" t="s">
        <v>3391</v>
      </c>
      <c r="J1084" t="s">
        <v>3392</v>
      </c>
      <c r="K1084" t="s">
        <v>6315</v>
      </c>
      <c r="L1084" t="s">
        <v>6778</v>
      </c>
      <c r="M1084" t="s">
        <v>6779</v>
      </c>
      <c r="N1084" t="s">
        <v>6792</v>
      </c>
      <c r="O1084">
        <v>1</v>
      </c>
      <c r="P1084" t="str">
        <f>+BARRAS[[#This Row],[Barra]]&amp;"_"&amp;BARRAS[[#This Row],[Nivel de tensión]]</f>
        <v>M.DOLORES_220</v>
      </c>
    </row>
    <row r="1085" spans="1:16">
      <c r="A1085" t="s">
        <v>5492</v>
      </c>
      <c r="B1085">
        <v>220</v>
      </c>
      <c r="C1085">
        <v>1</v>
      </c>
      <c r="D1085" t="s">
        <v>3397</v>
      </c>
      <c r="E1085" t="s">
        <v>5493</v>
      </c>
      <c r="F1085" t="s">
        <v>3420</v>
      </c>
      <c r="G1085">
        <v>16301</v>
      </c>
      <c r="H1085" t="s">
        <v>3409</v>
      </c>
      <c r="I1085" t="s">
        <v>3391</v>
      </c>
      <c r="J1085" t="s">
        <v>3392</v>
      </c>
      <c r="K1085" t="s">
        <v>6315</v>
      </c>
      <c r="L1085" t="s">
        <v>6778</v>
      </c>
      <c r="M1085" t="s">
        <v>6779</v>
      </c>
      <c r="N1085" t="s">
        <v>6792</v>
      </c>
      <c r="O1085">
        <v>1</v>
      </c>
      <c r="P1085" t="str">
        <f>+BARRAS[[#This Row],[Barra]]&amp;"_"&amp;BARRAS[[#This Row],[Nivel de tensión]]</f>
        <v>M.ELENA_220</v>
      </c>
    </row>
    <row r="1086" spans="1:16">
      <c r="A1086" t="s">
        <v>5494</v>
      </c>
      <c r="B1086">
        <v>154</v>
      </c>
      <c r="C1086">
        <v>1</v>
      </c>
      <c r="D1086" t="s">
        <v>5495</v>
      </c>
      <c r="E1086" t="s">
        <v>5496</v>
      </c>
      <c r="F1086" t="s">
        <v>3484</v>
      </c>
      <c r="G1086">
        <v>16301</v>
      </c>
      <c r="H1086" t="s">
        <v>3396</v>
      </c>
      <c r="I1086" t="s">
        <v>3391</v>
      </c>
      <c r="J1086" t="s">
        <v>3392</v>
      </c>
      <c r="K1086" t="s">
        <v>6315</v>
      </c>
      <c r="L1086" t="s">
        <v>6778</v>
      </c>
      <c r="M1086" t="s">
        <v>6779</v>
      </c>
      <c r="N1086" t="s">
        <v>6792</v>
      </c>
      <c r="O1086">
        <v>1</v>
      </c>
      <c r="P1086" t="str">
        <f>+BARRAS[[#This Row],[Barra]]&amp;"_"&amp;BARRAS[[#This Row],[Nivel de tensión]]</f>
        <v>M.MELADO_154</v>
      </c>
    </row>
    <row r="1087" spans="1:16">
      <c r="A1087" t="s">
        <v>775</v>
      </c>
      <c r="B1087">
        <v>13</v>
      </c>
      <c r="C1087">
        <v>192</v>
      </c>
      <c r="D1087" t="s">
        <v>5497</v>
      </c>
      <c r="E1087" t="s">
        <v>5498</v>
      </c>
      <c r="F1087" t="s">
        <v>5499</v>
      </c>
      <c r="G1087">
        <v>16301</v>
      </c>
      <c r="H1087" t="s">
        <v>3400</v>
      </c>
      <c r="I1087" t="s">
        <v>3391</v>
      </c>
      <c r="J1087" t="s">
        <v>3392</v>
      </c>
      <c r="K1087" t="s">
        <v>3301</v>
      </c>
      <c r="L1087" t="s">
        <v>6778</v>
      </c>
      <c r="M1087" t="s">
        <v>6779</v>
      </c>
      <c r="N1087" t="s">
        <v>6792</v>
      </c>
      <c r="O1087">
        <v>1</v>
      </c>
      <c r="P1087" t="str">
        <f>+BARRAS[[#This Row],[Barra]]&amp;"_"&amp;BARRAS[[#This Row],[Nivel de tensión]]</f>
        <v>M.PATRIA_13</v>
      </c>
    </row>
    <row r="1088" spans="1:16">
      <c r="A1088" t="s">
        <v>775</v>
      </c>
      <c r="B1088">
        <v>66</v>
      </c>
      <c r="C1088">
        <v>1</v>
      </c>
      <c r="D1088" t="s">
        <v>3397</v>
      </c>
      <c r="E1088" t="s">
        <v>5500</v>
      </c>
      <c r="F1088" t="s">
        <v>3420</v>
      </c>
      <c r="G1088">
        <v>16301</v>
      </c>
      <c r="H1088" t="s">
        <v>3400</v>
      </c>
      <c r="I1088" t="s">
        <v>3391</v>
      </c>
      <c r="J1088" t="s">
        <v>3392</v>
      </c>
      <c r="K1088" t="s">
        <v>3301</v>
      </c>
      <c r="L1088" t="s">
        <v>6778</v>
      </c>
      <c r="M1088" t="s">
        <v>6779</v>
      </c>
      <c r="N1088" t="s">
        <v>6792</v>
      </c>
      <c r="O1088">
        <v>1</v>
      </c>
      <c r="P1088" t="str">
        <f>+BARRAS[[#This Row],[Barra]]&amp;"_"&amp;BARRAS[[#This Row],[Nivel de tensión]]</f>
        <v>M.PATRIA_66</v>
      </c>
    </row>
    <row r="1089" spans="1:16">
      <c r="A1089" t="s">
        <v>5501</v>
      </c>
      <c r="B1089">
        <v>154</v>
      </c>
      <c r="C1089">
        <v>1322</v>
      </c>
      <c r="D1089" t="s">
        <v>5502</v>
      </c>
      <c r="E1089" t="s">
        <v>5503</v>
      </c>
      <c r="F1089" t="s">
        <v>5504</v>
      </c>
      <c r="G1089">
        <v>16301</v>
      </c>
      <c r="H1089" t="s">
        <v>3414</v>
      </c>
      <c r="I1089" t="s">
        <v>3391</v>
      </c>
      <c r="J1089" t="s">
        <v>3392</v>
      </c>
      <c r="K1089" t="s">
        <v>3304</v>
      </c>
      <c r="L1089" t="s">
        <v>6778</v>
      </c>
      <c r="M1089" t="s">
        <v>6779</v>
      </c>
      <c r="N1089" t="s">
        <v>6792</v>
      </c>
      <c r="O1089">
        <v>1</v>
      </c>
      <c r="P1089" t="str">
        <f>+BARRAS[[#This Row],[Barra]]&amp;"_"&amp;BARRAS[[#This Row],[Nivel de tensión]]</f>
        <v>M.V.CEN._154</v>
      </c>
    </row>
    <row r="1090" spans="1:16">
      <c r="A1090" t="s">
        <v>779</v>
      </c>
      <c r="B1090">
        <v>13</v>
      </c>
      <c r="C1090">
        <v>1829</v>
      </c>
      <c r="D1090" t="s">
        <v>5505</v>
      </c>
      <c r="E1090" t="s">
        <v>5506</v>
      </c>
      <c r="F1090" t="s">
        <v>5507</v>
      </c>
      <c r="G1090">
        <v>16301</v>
      </c>
      <c r="H1090" t="s">
        <v>3414</v>
      </c>
      <c r="I1090" t="s">
        <v>3391</v>
      </c>
      <c r="J1090" t="s">
        <v>3392</v>
      </c>
      <c r="K1090" t="s">
        <v>3304</v>
      </c>
      <c r="L1090" t="s">
        <v>6778</v>
      </c>
      <c r="M1090" t="s">
        <v>6779</v>
      </c>
      <c r="N1090" t="s">
        <v>6792</v>
      </c>
      <c r="O1090">
        <v>1</v>
      </c>
      <c r="P1090" t="str">
        <f>+BARRAS[[#This Row],[Barra]]&amp;"_"&amp;BARRAS[[#This Row],[Nivel de tensión]]</f>
        <v>MACHALI_13</v>
      </c>
    </row>
    <row r="1091" spans="1:16">
      <c r="A1091" t="s">
        <v>779</v>
      </c>
      <c r="B1091">
        <v>66</v>
      </c>
      <c r="C1091">
        <v>1</v>
      </c>
      <c r="D1091" t="s">
        <v>3397</v>
      </c>
      <c r="E1091" t="s">
        <v>5508</v>
      </c>
      <c r="F1091" t="s">
        <v>3420</v>
      </c>
      <c r="G1091">
        <v>16301</v>
      </c>
      <c r="H1091" t="s">
        <v>3414</v>
      </c>
      <c r="I1091" t="s">
        <v>3391</v>
      </c>
      <c r="J1091" t="s">
        <v>3392</v>
      </c>
      <c r="K1091" t="s">
        <v>3304</v>
      </c>
      <c r="L1091" t="s">
        <v>6778</v>
      </c>
      <c r="M1091" t="s">
        <v>6779</v>
      </c>
      <c r="N1091" t="s">
        <v>6792</v>
      </c>
      <c r="O1091">
        <v>1</v>
      </c>
      <c r="P1091" t="str">
        <f>+BARRAS[[#This Row],[Barra]]&amp;"_"&amp;BARRAS[[#This Row],[Nivel de tensión]]</f>
        <v>MACHALI_66</v>
      </c>
    </row>
    <row r="1092" spans="1:16">
      <c r="A1092" t="s">
        <v>816</v>
      </c>
      <c r="B1092">
        <v>66</v>
      </c>
      <c r="C1092">
        <v>1</v>
      </c>
      <c r="D1092" t="s">
        <v>3397</v>
      </c>
      <c r="E1092" t="s">
        <v>5563</v>
      </c>
      <c r="F1092" t="s">
        <v>3420</v>
      </c>
      <c r="G1092">
        <v>16301</v>
      </c>
      <c r="H1092" t="s">
        <v>3414</v>
      </c>
      <c r="I1092" t="s">
        <v>3391</v>
      </c>
      <c r="J1092" t="s">
        <v>3392</v>
      </c>
      <c r="K1092" t="s">
        <v>3304</v>
      </c>
      <c r="L1092" t="s">
        <v>6778</v>
      </c>
      <c r="M1092" t="s">
        <v>6779</v>
      </c>
      <c r="N1092" t="s">
        <v>6792</v>
      </c>
      <c r="O1092">
        <v>1</v>
      </c>
      <c r="P1092" t="str">
        <f>+BARRAS[[#This Row],[Barra]]&amp;"_"&amp;BARRAS[[#This Row],[Nivel de tensión]]</f>
        <v>MARCHIHUE_66</v>
      </c>
    </row>
    <row r="1093" spans="1:16">
      <c r="A1093" t="s">
        <v>5564</v>
      </c>
      <c r="B1093">
        <v>13</v>
      </c>
      <c r="C1093">
        <v>315</v>
      </c>
      <c r="D1093" t="s">
        <v>5565</v>
      </c>
      <c r="E1093" t="s">
        <v>5566</v>
      </c>
      <c r="F1093" t="s">
        <v>5567</v>
      </c>
      <c r="G1093">
        <v>16301</v>
      </c>
      <c r="H1093" t="s">
        <v>3418</v>
      </c>
      <c r="I1093" t="s">
        <v>3391</v>
      </c>
      <c r="J1093" t="s">
        <v>3392</v>
      </c>
      <c r="K1093" t="s">
        <v>3302</v>
      </c>
      <c r="L1093" t="s">
        <v>6778</v>
      </c>
      <c r="M1093" t="s">
        <v>6779</v>
      </c>
      <c r="N1093" t="s">
        <v>6792</v>
      </c>
      <c r="O1093">
        <v>1</v>
      </c>
      <c r="P1093" t="str">
        <f>+BARRAS[[#This Row],[Barra]]&amp;"_"&amp;BARRAS[[#This Row],[Nivel de tensión]]</f>
        <v>MARGA_MARGA_13</v>
      </c>
    </row>
    <row r="1094" spans="1:16">
      <c r="A1094" t="s">
        <v>5564</v>
      </c>
      <c r="B1094">
        <v>110</v>
      </c>
      <c r="C1094">
        <v>1</v>
      </c>
      <c r="D1094" t="s">
        <v>3397</v>
      </c>
      <c r="E1094" t="s">
        <v>5568</v>
      </c>
      <c r="F1094" t="s">
        <v>3420</v>
      </c>
      <c r="G1094">
        <v>16301</v>
      </c>
      <c r="H1094" t="s">
        <v>3418</v>
      </c>
      <c r="I1094" t="s">
        <v>3391</v>
      </c>
      <c r="J1094" t="s">
        <v>3392</v>
      </c>
      <c r="K1094" t="s">
        <v>3302</v>
      </c>
      <c r="L1094" t="s">
        <v>6778</v>
      </c>
      <c r="M1094" t="s">
        <v>6779</v>
      </c>
      <c r="N1094" t="s">
        <v>6792</v>
      </c>
      <c r="O1094">
        <v>1</v>
      </c>
      <c r="P1094" t="str">
        <f>+BARRAS[[#This Row],[Barra]]&amp;"_"&amp;BARRAS[[#This Row],[Nivel de tensión]]</f>
        <v>MARGA_MARGA_110</v>
      </c>
    </row>
    <row r="1095" spans="1:16">
      <c r="A1095" t="s">
        <v>5569</v>
      </c>
      <c r="B1095">
        <v>23</v>
      </c>
      <c r="C1095">
        <v>1287</v>
      </c>
      <c r="D1095" t="s">
        <v>5570</v>
      </c>
      <c r="E1095" t="s">
        <v>5571</v>
      </c>
      <c r="F1095" t="s">
        <v>5572</v>
      </c>
      <c r="G1095">
        <v>16301</v>
      </c>
      <c r="H1095" t="s">
        <v>3390</v>
      </c>
      <c r="I1095" t="s">
        <v>3391</v>
      </c>
      <c r="J1095" t="s">
        <v>3392</v>
      </c>
      <c r="K1095" t="s">
        <v>3305</v>
      </c>
      <c r="L1095" t="s">
        <v>6778</v>
      </c>
      <c r="M1095" t="s">
        <v>6779</v>
      </c>
      <c r="N1095" t="s">
        <v>6792</v>
      </c>
      <c r="O1095">
        <v>1</v>
      </c>
      <c r="P1095" t="str">
        <f>+BARRAS[[#This Row],[Barra]]&amp;"_"&amp;BARRAS[[#This Row],[Nivel de tensión]]</f>
        <v>MARIQUINA_23</v>
      </c>
    </row>
    <row r="1096" spans="1:16">
      <c r="A1096" t="s">
        <v>5569</v>
      </c>
      <c r="B1096">
        <v>220</v>
      </c>
      <c r="C1096">
        <v>1</v>
      </c>
      <c r="D1096" t="s">
        <v>3397</v>
      </c>
      <c r="E1096" t="s">
        <v>5573</v>
      </c>
      <c r="F1096" t="s">
        <v>3420</v>
      </c>
      <c r="G1096">
        <v>16301</v>
      </c>
      <c r="H1096" t="s">
        <v>3390</v>
      </c>
      <c r="I1096" t="s">
        <v>3391</v>
      </c>
      <c r="J1096" t="s">
        <v>3392</v>
      </c>
      <c r="K1096" t="s">
        <v>3305</v>
      </c>
      <c r="L1096" t="s">
        <v>6778</v>
      </c>
      <c r="M1096" t="s">
        <v>6779</v>
      </c>
      <c r="N1096" t="s">
        <v>6792</v>
      </c>
      <c r="O1096">
        <v>1</v>
      </c>
      <c r="P1096" t="str">
        <f>+BARRAS[[#This Row],[Barra]]&amp;"_"&amp;BARRAS[[#This Row],[Nivel de tensión]]</f>
        <v>MARIQUINA_220</v>
      </c>
    </row>
    <row r="1097" spans="1:16">
      <c r="A1097" t="s">
        <v>5574</v>
      </c>
      <c r="B1097">
        <v>23</v>
      </c>
      <c r="C1097">
        <v>1344</v>
      </c>
      <c r="D1097" t="s">
        <v>5575</v>
      </c>
      <c r="E1097" t="s">
        <v>5576</v>
      </c>
      <c r="F1097" t="s">
        <v>5577</v>
      </c>
      <c r="G1097">
        <v>16301</v>
      </c>
      <c r="H1097" t="s">
        <v>3469</v>
      </c>
      <c r="I1097" t="s">
        <v>3391</v>
      </c>
      <c r="J1097" t="s">
        <v>3392</v>
      </c>
      <c r="K1097" t="s">
        <v>3303</v>
      </c>
      <c r="L1097" t="s">
        <v>6778</v>
      </c>
      <c r="M1097" t="s">
        <v>6779</v>
      </c>
      <c r="N1097" t="s">
        <v>6792</v>
      </c>
      <c r="O1097">
        <v>1</v>
      </c>
      <c r="P1097" t="str">
        <f>+BARRAS[[#This Row],[Barra]]&amp;"_"&amp;BARRAS[[#This Row],[Nivel de tensión]]</f>
        <v>MARISCAL_23</v>
      </c>
    </row>
    <row r="1098" spans="1:16">
      <c r="A1098" t="s">
        <v>5574</v>
      </c>
      <c r="B1098">
        <v>110</v>
      </c>
      <c r="C1098">
        <v>1</v>
      </c>
      <c r="D1098" t="s">
        <v>3397</v>
      </c>
      <c r="E1098" t="s">
        <v>5578</v>
      </c>
      <c r="F1098" t="s">
        <v>3420</v>
      </c>
      <c r="G1098">
        <v>16301</v>
      </c>
      <c r="H1098" t="s">
        <v>3469</v>
      </c>
      <c r="I1098" t="s">
        <v>3391</v>
      </c>
      <c r="J1098" t="s">
        <v>3392</v>
      </c>
      <c r="K1098" t="s">
        <v>3303</v>
      </c>
      <c r="L1098" t="s">
        <v>6778</v>
      </c>
      <c r="M1098" t="s">
        <v>6779</v>
      </c>
      <c r="N1098" t="s">
        <v>6792</v>
      </c>
      <c r="O1098">
        <v>1</v>
      </c>
      <c r="P1098" t="str">
        <f>+BARRAS[[#This Row],[Barra]]&amp;"_"&amp;BARRAS[[#This Row],[Nivel de tensión]]</f>
        <v>MARISCAL_110</v>
      </c>
    </row>
    <row r="1099" spans="1:16">
      <c r="A1099" t="s">
        <v>825</v>
      </c>
      <c r="B1099">
        <v>23</v>
      </c>
      <c r="C1099">
        <v>190</v>
      </c>
      <c r="D1099" t="s">
        <v>5579</v>
      </c>
      <c r="E1099" t="s">
        <v>5580</v>
      </c>
      <c r="F1099" t="s">
        <v>5581</v>
      </c>
      <c r="G1099">
        <v>16301</v>
      </c>
      <c r="H1099" t="s">
        <v>3400</v>
      </c>
      <c r="I1099" t="s">
        <v>3391</v>
      </c>
      <c r="J1099" t="s">
        <v>3392</v>
      </c>
      <c r="K1099" t="s">
        <v>3301</v>
      </c>
      <c r="L1099" t="s">
        <v>6778</v>
      </c>
      <c r="M1099" t="s">
        <v>6779</v>
      </c>
      <c r="N1099" t="s">
        <v>6792</v>
      </c>
      <c r="O1099">
        <v>1</v>
      </c>
      <c r="P1099" t="str">
        <f>+BARRAS[[#This Row],[Barra]]&amp;"_"&amp;BARRAS[[#This Row],[Nivel de tensión]]</f>
        <v>MARQUESA_23</v>
      </c>
    </row>
    <row r="1100" spans="1:16">
      <c r="A1100" t="s">
        <v>825</v>
      </c>
      <c r="B1100">
        <v>66</v>
      </c>
      <c r="C1100">
        <v>1</v>
      </c>
      <c r="D1100" t="s">
        <v>3397</v>
      </c>
      <c r="E1100" t="s">
        <v>5582</v>
      </c>
      <c r="F1100" t="s">
        <v>3420</v>
      </c>
      <c r="G1100">
        <v>16301</v>
      </c>
      <c r="H1100" t="s">
        <v>3400</v>
      </c>
      <c r="I1100" t="s">
        <v>3391</v>
      </c>
      <c r="J1100" t="s">
        <v>3392</v>
      </c>
      <c r="K1100" t="s">
        <v>3301</v>
      </c>
      <c r="L1100" t="s">
        <v>6778</v>
      </c>
      <c r="M1100" t="s">
        <v>6779</v>
      </c>
      <c r="N1100" t="s">
        <v>6792</v>
      </c>
      <c r="O1100">
        <v>1</v>
      </c>
      <c r="P1100" t="str">
        <f>+BARRAS[[#This Row],[Barra]]&amp;"_"&amp;BARRAS[[#This Row],[Nivel de tensión]]</f>
        <v>MARQUESA_66</v>
      </c>
    </row>
    <row r="1101" spans="1:16">
      <c r="A1101" t="s">
        <v>5583</v>
      </c>
      <c r="B1101">
        <v>66</v>
      </c>
      <c r="C1101">
        <v>1</v>
      </c>
      <c r="D1101" t="s">
        <v>3397</v>
      </c>
      <c r="E1101" t="s">
        <v>5584</v>
      </c>
      <c r="F1101" t="s">
        <v>3420</v>
      </c>
      <c r="G1101">
        <v>16301</v>
      </c>
      <c r="H1101" t="s">
        <v>3405</v>
      </c>
      <c r="I1101" t="s">
        <v>3391</v>
      </c>
      <c r="J1101" t="s">
        <v>3392</v>
      </c>
      <c r="K1101" t="s">
        <v>6315</v>
      </c>
      <c r="L1101" t="s">
        <v>6778</v>
      </c>
      <c r="M1101" t="s">
        <v>6779</v>
      </c>
      <c r="N1101" t="s">
        <v>6792</v>
      </c>
      <c r="O1101">
        <v>1</v>
      </c>
      <c r="P1101" t="str">
        <f>+BARRAS[[#This Row],[Barra]]&amp;"_"&amp;BARRAS[[#This Row],[Nivel de tensión]]</f>
        <v>MASISA_66</v>
      </c>
    </row>
    <row r="1102" spans="1:16">
      <c r="A1102" t="s">
        <v>3475</v>
      </c>
      <c r="B1102">
        <v>220</v>
      </c>
      <c r="C1102">
        <v>1</v>
      </c>
      <c r="D1102" t="s">
        <v>3397</v>
      </c>
      <c r="E1102" t="s">
        <v>3419</v>
      </c>
      <c r="F1102" t="s">
        <v>3420</v>
      </c>
      <c r="G1102">
        <v>16301</v>
      </c>
      <c r="H1102" t="s">
        <v>3405</v>
      </c>
      <c r="I1102" t="s">
        <v>3391</v>
      </c>
      <c r="J1102" t="s">
        <v>3392</v>
      </c>
      <c r="K1102" t="s">
        <v>6315</v>
      </c>
      <c r="L1102" t="s">
        <v>6778</v>
      </c>
      <c r="M1102" t="s">
        <v>6779</v>
      </c>
      <c r="N1102" t="s">
        <v>6792</v>
      </c>
      <c r="O1102">
        <v>1</v>
      </c>
      <c r="P1102" t="str">
        <f>+BARRAS[[#This Row],[Barra]]&amp;"_"&amp;BARRAS[[#This Row],[Nivel de tensión]]</f>
        <v>MATILLA_220</v>
      </c>
    </row>
    <row r="1103" spans="1:16">
      <c r="A1103" t="s">
        <v>829</v>
      </c>
      <c r="B1103">
        <v>15</v>
      </c>
      <c r="C1103">
        <v>204</v>
      </c>
      <c r="D1103" t="s">
        <v>5640</v>
      </c>
      <c r="E1103" t="s">
        <v>5641</v>
      </c>
      <c r="F1103" t="s">
        <v>5642</v>
      </c>
      <c r="G1103">
        <v>16301</v>
      </c>
      <c r="H1103" t="s">
        <v>3414</v>
      </c>
      <c r="I1103" t="s">
        <v>3391</v>
      </c>
      <c r="J1103" t="s">
        <v>3392</v>
      </c>
      <c r="K1103" t="s">
        <v>3304</v>
      </c>
      <c r="L1103" t="s">
        <v>6778</v>
      </c>
      <c r="M1103" t="s">
        <v>6779</v>
      </c>
      <c r="N1103" t="s">
        <v>6792</v>
      </c>
      <c r="O1103">
        <v>1</v>
      </c>
      <c r="P1103" t="str">
        <f>+BARRAS[[#This Row],[Barra]]&amp;"_"&amp;BARRAS[[#This Row],[Nivel de tensión]]</f>
        <v>MAULE_15</v>
      </c>
    </row>
    <row r="1104" spans="1:16">
      <c r="A1104" t="s">
        <v>829</v>
      </c>
      <c r="B1104">
        <v>66</v>
      </c>
      <c r="C1104">
        <v>1</v>
      </c>
      <c r="D1104" t="s">
        <v>3397</v>
      </c>
      <c r="E1104" t="s">
        <v>5643</v>
      </c>
      <c r="F1104" t="s">
        <v>3420</v>
      </c>
      <c r="G1104">
        <v>16301</v>
      </c>
      <c r="H1104" t="s">
        <v>3414</v>
      </c>
      <c r="I1104" t="s">
        <v>3391</v>
      </c>
      <c r="J1104" t="s">
        <v>3392</v>
      </c>
      <c r="K1104" t="s">
        <v>3304</v>
      </c>
      <c r="L1104" t="s">
        <v>6778</v>
      </c>
      <c r="M1104" t="s">
        <v>6779</v>
      </c>
      <c r="N1104" t="s">
        <v>6792</v>
      </c>
      <c r="O1104">
        <v>1</v>
      </c>
      <c r="P1104" t="str">
        <f>+BARRAS[[#This Row],[Barra]]&amp;"_"&amp;BARRAS[[#This Row],[Nivel de tensión]]</f>
        <v>MAULE_66</v>
      </c>
    </row>
    <row r="1105" spans="1:16">
      <c r="A1105" t="s">
        <v>829</v>
      </c>
      <c r="B1105">
        <v>154</v>
      </c>
      <c r="C1105">
        <v>1</v>
      </c>
      <c r="D1105" t="s">
        <v>3397</v>
      </c>
      <c r="E1105" t="s">
        <v>5644</v>
      </c>
      <c r="F1105" t="s">
        <v>3420</v>
      </c>
      <c r="G1105">
        <v>16301</v>
      </c>
      <c r="H1105" t="s">
        <v>3414</v>
      </c>
      <c r="I1105" t="s">
        <v>3391</v>
      </c>
      <c r="J1105" t="s">
        <v>3392</v>
      </c>
      <c r="K1105" t="s">
        <v>3304</v>
      </c>
      <c r="L1105" t="s">
        <v>6778</v>
      </c>
      <c r="M1105" t="s">
        <v>6779</v>
      </c>
      <c r="N1105" t="s">
        <v>6792</v>
      </c>
      <c r="O1105">
        <v>1</v>
      </c>
      <c r="P1105" t="str">
        <f>+BARRAS[[#This Row],[Barra]]&amp;"_"&amp;BARRAS[[#This Row],[Nivel de tensión]]</f>
        <v>MAULE_154</v>
      </c>
    </row>
    <row r="1106" spans="1:16">
      <c r="A1106" t="s">
        <v>829</v>
      </c>
      <c r="B1106">
        <v>220</v>
      </c>
      <c r="C1106">
        <v>1</v>
      </c>
      <c r="D1106" t="s">
        <v>3397</v>
      </c>
      <c r="E1106" t="s">
        <v>5645</v>
      </c>
      <c r="F1106" t="s">
        <v>3420</v>
      </c>
      <c r="G1106">
        <v>16301</v>
      </c>
      <c r="H1106" t="s">
        <v>3414</v>
      </c>
      <c r="I1106" t="s">
        <v>3391</v>
      </c>
      <c r="J1106" t="s">
        <v>3392</v>
      </c>
      <c r="K1106" t="s">
        <v>3304</v>
      </c>
      <c r="L1106" t="s">
        <v>6778</v>
      </c>
      <c r="M1106" t="s">
        <v>6779</v>
      </c>
      <c r="N1106" t="s">
        <v>6792</v>
      </c>
      <c r="O1106">
        <v>1</v>
      </c>
      <c r="P1106" t="str">
        <f>+BARRAS[[#This Row],[Barra]]&amp;"_"&amp;BARRAS[[#This Row],[Nivel de tensión]]</f>
        <v>MAULE_220</v>
      </c>
    </row>
    <row r="1107" spans="1:16">
      <c r="A1107" t="s">
        <v>834</v>
      </c>
      <c r="B1107">
        <v>13</v>
      </c>
      <c r="C1107">
        <v>2752</v>
      </c>
      <c r="D1107" t="s">
        <v>5646</v>
      </c>
      <c r="E1107" t="s">
        <v>5647</v>
      </c>
      <c r="F1107" t="s">
        <v>5648</v>
      </c>
      <c r="G1107">
        <v>16301</v>
      </c>
      <c r="H1107" t="s">
        <v>3418</v>
      </c>
      <c r="I1107" t="s">
        <v>3391</v>
      </c>
      <c r="J1107" t="s">
        <v>3392</v>
      </c>
      <c r="K1107" t="s">
        <v>3302</v>
      </c>
      <c r="L1107" t="s">
        <v>6778</v>
      </c>
      <c r="M1107" t="s">
        <v>6779</v>
      </c>
      <c r="N1107" t="s">
        <v>6792</v>
      </c>
      <c r="O1107">
        <v>1</v>
      </c>
      <c r="P1107" t="str">
        <f>+BARRAS[[#This Row],[Barra]]&amp;"_"&amp;BARRAS[[#This Row],[Nivel de tensión]]</f>
        <v>MAYACA_13</v>
      </c>
    </row>
    <row r="1108" spans="1:16">
      <c r="A1108" t="s">
        <v>834</v>
      </c>
      <c r="B1108">
        <v>110</v>
      </c>
      <c r="C1108">
        <v>1</v>
      </c>
      <c r="D1108" t="s">
        <v>3397</v>
      </c>
      <c r="E1108" t="s">
        <v>5649</v>
      </c>
      <c r="F1108" t="s">
        <v>3420</v>
      </c>
      <c r="G1108">
        <v>16301</v>
      </c>
      <c r="H1108" t="s">
        <v>3418</v>
      </c>
      <c r="I1108" t="s">
        <v>3391</v>
      </c>
      <c r="J1108" t="s">
        <v>3392</v>
      </c>
      <c r="K1108" t="s">
        <v>3302</v>
      </c>
      <c r="L1108" t="s">
        <v>6778</v>
      </c>
      <c r="M1108" t="s">
        <v>6779</v>
      </c>
      <c r="N1108" t="s">
        <v>6792</v>
      </c>
      <c r="O1108">
        <v>1</v>
      </c>
      <c r="P1108" t="str">
        <f>+BARRAS[[#This Row],[Barra]]&amp;"_"&amp;BARRAS[[#This Row],[Nivel de tensión]]</f>
        <v>MAYACA_110</v>
      </c>
    </row>
    <row r="1109" spans="1:16">
      <c r="A1109" t="s">
        <v>837</v>
      </c>
      <c r="B1109">
        <v>13</v>
      </c>
      <c r="C1109">
        <v>2185</v>
      </c>
      <c r="D1109" t="s">
        <v>5650</v>
      </c>
      <c r="E1109" t="s">
        <v>5651</v>
      </c>
      <c r="F1109" t="s">
        <v>5652</v>
      </c>
      <c r="G1109">
        <v>16301</v>
      </c>
      <c r="H1109" t="s">
        <v>3443</v>
      </c>
      <c r="I1109" t="s">
        <v>3391</v>
      </c>
      <c r="J1109" t="s">
        <v>1767</v>
      </c>
      <c r="K1109" t="s">
        <v>3300</v>
      </c>
      <c r="L1109" t="s">
        <v>6778</v>
      </c>
      <c r="M1109" t="s">
        <v>6779</v>
      </c>
      <c r="N1109" t="s">
        <v>6792</v>
      </c>
      <c r="O1109">
        <v>1</v>
      </c>
      <c r="P1109" t="str">
        <f>+BARRAS[[#This Row],[Barra]]&amp;"_"&amp;BARRAS[[#This Row],[Nivel de tensión]]</f>
        <v>MEJILLONES_13</v>
      </c>
    </row>
    <row r="1110" spans="1:16">
      <c r="A1110" t="s">
        <v>837</v>
      </c>
      <c r="B1110">
        <v>23</v>
      </c>
      <c r="C1110">
        <v>2189</v>
      </c>
      <c r="D1110" t="s">
        <v>5653</v>
      </c>
      <c r="E1110" t="s">
        <v>5654</v>
      </c>
      <c r="F1110" t="s">
        <v>5652</v>
      </c>
      <c r="G1110">
        <v>16301</v>
      </c>
      <c r="H1110" t="s">
        <v>3443</v>
      </c>
      <c r="I1110" t="s">
        <v>3391</v>
      </c>
      <c r="J1110" t="s">
        <v>3392</v>
      </c>
      <c r="K1110" t="s">
        <v>3300</v>
      </c>
      <c r="L1110" t="s">
        <v>6778</v>
      </c>
      <c r="M1110" t="s">
        <v>6779</v>
      </c>
      <c r="N1110" t="s">
        <v>6792</v>
      </c>
      <c r="O1110">
        <v>1</v>
      </c>
      <c r="P1110" t="str">
        <f>+BARRAS[[#This Row],[Barra]]&amp;"_"&amp;BARRAS[[#This Row],[Nivel de tensión]]</f>
        <v>MEJILLONES_23</v>
      </c>
    </row>
    <row r="1111" spans="1:16">
      <c r="A1111" t="s">
        <v>837</v>
      </c>
      <c r="B1111">
        <v>110</v>
      </c>
      <c r="C1111">
        <v>2184</v>
      </c>
      <c r="D1111" t="s">
        <v>5655</v>
      </c>
      <c r="E1111" t="s">
        <v>5656</v>
      </c>
      <c r="F1111" t="s">
        <v>5652</v>
      </c>
      <c r="G1111">
        <v>16301</v>
      </c>
      <c r="H1111" t="s">
        <v>3405</v>
      </c>
      <c r="I1111" t="s">
        <v>3391</v>
      </c>
      <c r="J1111" t="s">
        <v>3392</v>
      </c>
      <c r="K1111" t="s">
        <v>6315</v>
      </c>
      <c r="L1111" t="s">
        <v>6778</v>
      </c>
      <c r="M1111" t="s">
        <v>6779</v>
      </c>
      <c r="N1111" t="s">
        <v>6792</v>
      </c>
      <c r="O1111">
        <v>1</v>
      </c>
      <c r="P1111" t="str">
        <f>+BARRAS[[#This Row],[Barra]]&amp;"_"&amp;BARRAS[[#This Row],[Nivel de tensión]]</f>
        <v>MEJILLONES_110</v>
      </c>
    </row>
    <row r="1112" spans="1:16">
      <c r="A1112" t="s">
        <v>837</v>
      </c>
      <c r="B1112">
        <v>220</v>
      </c>
      <c r="C1112">
        <v>1</v>
      </c>
      <c r="D1112" t="s">
        <v>3397</v>
      </c>
      <c r="E1112" t="s">
        <v>5657</v>
      </c>
      <c r="F1112" t="s">
        <v>3420</v>
      </c>
      <c r="G1112">
        <v>16301</v>
      </c>
      <c r="H1112" t="s">
        <v>3443</v>
      </c>
      <c r="I1112" t="s">
        <v>3391</v>
      </c>
      <c r="J1112" t="s">
        <v>3392</v>
      </c>
      <c r="K1112" t="s">
        <v>3300</v>
      </c>
      <c r="L1112" t="s">
        <v>6778</v>
      </c>
      <c r="M1112" t="s">
        <v>6779</v>
      </c>
      <c r="N1112" t="s">
        <v>6792</v>
      </c>
      <c r="O1112">
        <v>1</v>
      </c>
      <c r="P1112" t="str">
        <f>+BARRAS[[#This Row],[Barra]]&amp;"_"&amp;BARRAS[[#This Row],[Nivel de tensión]]</f>
        <v>MEJILLONES_220</v>
      </c>
    </row>
    <row r="1113" spans="1:16">
      <c r="A1113" t="s">
        <v>5658</v>
      </c>
      <c r="B1113">
        <v>23</v>
      </c>
      <c r="C1113">
        <v>1</v>
      </c>
      <c r="D1113" t="s">
        <v>3397</v>
      </c>
      <c r="E1113" t="s">
        <v>3419</v>
      </c>
      <c r="F1113" t="s">
        <v>3420</v>
      </c>
      <c r="G1113">
        <v>16301</v>
      </c>
      <c r="H1113" t="s">
        <v>3405</v>
      </c>
      <c r="I1113" t="s">
        <v>3391</v>
      </c>
      <c r="J1113" t="s">
        <v>3392</v>
      </c>
      <c r="K1113" t="s">
        <v>6315</v>
      </c>
      <c r="L1113" t="s">
        <v>6778</v>
      </c>
      <c r="M1113" t="s">
        <v>6779</v>
      </c>
      <c r="N1113" t="s">
        <v>6792</v>
      </c>
      <c r="O1113">
        <v>1</v>
      </c>
      <c r="P1113" t="str">
        <f>+BARRAS[[#This Row],[Barra]]&amp;"_"&amp;BARRAS[[#This Row],[Nivel de tensión]]</f>
        <v>MELIPEUCO_23</v>
      </c>
    </row>
    <row r="1114" spans="1:16">
      <c r="A1114" t="s">
        <v>5658</v>
      </c>
      <c r="B1114">
        <v>110</v>
      </c>
      <c r="C1114">
        <v>1</v>
      </c>
      <c r="D1114" t="s">
        <v>3397</v>
      </c>
      <c r="E1114" t="s">
        <v>5659</v>
      </c>
      <c r="F1114" t="s">
        <v>3420</v>
      </c>
      <c r="G1114">
        <v>16301</v>
      </c>
      <c r="H1114" t="s">
        <v>3405</v>
      </c>
      <c r="I1114" t="s">
        <v>3391</v>
      </c>
      <c r="J1114" t="s">
        <v>3392</v>
      </c>
      <c r="K1114" t="s">
        <v>6315</v>
      </c>
      <c r="L1114" t="s">
        <v>6778</v>
      </c>
      <c r="M1114" t="s">
        <v>6779</v>
      </c>
      <c r="N1114" t="s">
        <v>6792</v>
      </c>
      <c r="O1114">
        <v>1</v>
      </c>
      <c r="P1114" t="str">
        <f>+BARRAS[[#This Row],[Barra]]&amp;"_"&amp;BARRAS[[#This Row],[Nivel de tensión]]</f>
        <v>MELIPEUCO_110</v>
      </c>
    </row>
    <row r="1115" spans="1:16">
      <c r="A1115" t="s">
        <v>843</v>
      </c>
      <c r="B1115">
        <v>13</v>
      </c>
      <c r="C1115">
        <v>554</v>
      </c>
      <c r="D1115" t="s">
        <v>5660</v>
      </c>
      <c r="E1115" t="s">
        <v>5661</v>
      </c>
      <c r="F1115" t="s">
        <v>5662</v>
      </c>
      <c r="G1115">
        <v>16301</v>
      </c>
      <c r="H1115" t="s">
        <v>3414</v>
      </c>
      <c r="I1115" t="s">
        <v>3391</v>
      </c>
      <c r="J1115" t="s">
        <v>3392</v>
      </c>
      <c r="K1115" t="s">
        <v>3304</v>
      </c>
      <c r="L1115" t="s">
        <v>6778</v>
      </c>
      <c r="M1115" t="s">
        <v>6779</v>
      </c>
      <c r="N1115" t="s">
        <v>6792</v>
      </c>
      <c r="O1115">
        <v>1</v>
      </c>
      <c r="P1115" t="str">
        <f>+BARRAS[[#This Row],[Barra]]&amp;"_"&amp;BARRAS[[#This Row],[Nivel de tensión]]</f>
        <v>MELIPILLA_13</v>
      </c>
    </row>
    <row r="1116" spans="1:16">
      <c r="A1116" t="s">
        <v>843</v>
      </c>
      <c r="B1116">
        <v>66</v>
      </c>
      <c r="C1116">
        <v>1</v>
      </c>
      <c r="D1116" t="s">
        <v>3397</v>
      </c>
      <c r="E1116" t="s">
        <v>5663</v>
      </c>
      <c r="F1116" t="s">
        <v>3420</v>
      </c>
      <c r="G1116">
        <v>16301</v>
      </c>
      <c r="H1116" t="s">
        <v>3414</v>
      </c>
      <c r="I1116" t="s">
        <v>3391</v>
      </c>
      <c r="J1116" t="s">
        <v>3392</v>
      </c>
      <c r="K1116" t="s">
        <v>3304</v>
      </c>
      <c r="L1116" t="s">
        <v>6778</v>
      </c>
      <c r="M1116" t="s">
        <v>6779</v>
      </c>
      <c r="N1116" t="s">
        <v>6792</v>
      </c>
      <c r="O1116">
        <v>1</v>
      </c>
      <c r="P1116" t="str">
        <f>+BARRAS[[#This Row],[Barra]]&amp;"_"&amp;BARRAS[[#This Row],[Nivel de tensión]]</f>
        <v>MELIPILLA_66</v>
      </c>
    </row>
    <row r="1117" spans="1:16">
      <c r="A1117" t="s">
        <v>843</v>
      </c>
      <c r="B1117">
        <v>110</v>
      </c>
      <c r="C1117">
        <v>1</v>
      </c>
      <c r="D1117" t="s">
        <v>3397</v>
      </c>
      <c r="E1117" t="s">
        <v>5664</v>
      </c>
      <c r="F1117" t="s">
        <v>3420</v>
      </c>
      <c r="G1117">
        <v>16301</v>
      </c>
      <c r="H1117" t="s">
        <v>3414</v>
      </c>
      <c r="I1117" t="s">
        <v>3391</v>
      </c>
      <c r="J1117" t="s">
        <v>3392</v>
      </c>
      <c r="K1117" t="s">
        <v>3304</v>
      </c>
      <c r="L1117" t="s">
        <v>6778</v>
      </c>
      <c r="M1117" t="s">
        <v>6779</v>
      </c>
      <c r="N1117" t="s">
        <v>6792</v>
      </c>
      <c r="O1117">
        <v>1</v>
      </c>
      <c r="P1117" t="str">
        <f>+BARRAS[[#This Row],[Barra]]&amp;"_"&amp;BARRAS[[#This Row],[Nivel de tensión]]</f>
        <v>MELIPILLA_110</v>
      </c>
    </row>
    <row r="1118" spans="1:16">
      <c r="A1118" t="s">
        <v>3932</v>
      </c>
      <c r="B1118">
        <v>220</v>
      </c>
      <c r="C1118">
        <v>1</v>
      </c>
      <c r="D1118" t="s">
        <v>3397</v>
      </c>
      <c r="E1118" t="s">
        <v>3933</v>
      </c>
      <c r="F1118" t="s">
        <v>3420</v>
      </c>
      <c r="G1118">
        <v>16301</v>
      </c>
      <c r="H1118" t="s">
        <v>3405</v>
      </c>
      <c r="I1118" t="s">
        <v>3391</v>
      </c>
      <c r="J1118" t="s">
        <v>3392</v>
      </c>
      <c r="K1118" t="s">
        <v>6315</v>
      </c>
      <c r="L1118" t="s">
        <v>6778</v>
      </c>
      <c r="M1118" t="s">
        <v>6779</v>
      </c>
      <c r="N1118" t="s">
        <v>6792</v>
      </c>
      <c r="O1118">
        <v>1</v>
      </c>
      <c r="P1118" t="str">
        <f>+BARRAS[[#This Row],[Barra]]&amp;"_"&amp;BARRAS[[#This Row],[Nivel de tensión]]</f>
        <v>MULCHEN_220</v>
      </c>
    </row>
    <row r="1119" spans="1:16">
      <c r="A1119" t="s">
        <v>3934</v>
      </c>
      <c r="B1119">
        <v>220</v>
      </c>
      <c r="C1119">
        <v>1</v>
      </c>
      <c r="D1119" t="s">
        <v>3397</v>
      </c>
      <c r="E1119" t="s">
        <v>3935</v>
      </c>
      <c r="F1119" t="s">
        <v>3420</v>
      </c>
      <c r="G1119">
        <v>16301</v>
      </c>
      <c r="H1119" t="s">
        <v>3409</v>
      </c>
      <c r="I1119" t="s">
        <v>3391</v>
      </c>
      <c r="J1119" t="s">
        <v>3392</v>
      </c>
      <c r="K1119" t="s">
        <v>6315</v>
      </c>
      <c r="L1119" t="s">
        <v>6778</v>
      </c>
      <c r="M1119" t="s">
        <v>6779</v>
      </c>
      <c r="N1119" t="s">
        <v>6792</v>
      </c>
      <c r="O1119">
        <v>1</v>
      </c>
      <c r="P1119" t="str">
        <f>+BARRAS[[#This Row],[Barra]]&amp;"_"&amp;BARRAS[[#This Row],[Nivel de tensión]]</f>
        <v>N.CARDONES_220</v>
      </c>
    </row>
    <row r="1120" spans="1:16">
      <c r="A1120" t="s">
        <v>3934</v>
      </c>
      <c r="B1120">
        <v>500</v>
      </c>
      <c r="C1120">
        <v>1</v>
      </c>
      <c r="D1120" t="s">
        <v>3397</v>
      </c>
      <c r="E1120" t="s">
        <v>3936</v>
      </c>
      <c r="F1120" t="s">
        <v>3420</v>
      </c>
      <c r="G1120">
        <v>16301</v>
      </c>
      <c r="H1120" t="s">
        <v>3409</v>
      </c>
      <c r="I1120" t="s">
        <v>3391</v>
      </c>
      <c r="J1120" t="s">
        <v>3392</v>
      </c>
      <c r="K1120" t="s">
        <v>6315</v>
      </c>
      <c r="L1120" t="s">
        <v>6778</v>
      </c>
      <c r="M1120" t="s">
        <v>6779</v>
      </c>
      <c r="N1120" t="s">
        <v>6792</v>
      </c>
      <c r="O1120">
        <v>1</v>
      </c>
      <c r="P1120" t="str">
        <f>+BARRAS[[#This Row],[Barra]]&amp;"_"&amp;BARRAS[[#This Row],[Nivel de tensión]]</f>
        <v>N.CARDONES_500</v>
      </c>
    </row>
    <row r="1121" spans="1:16">
      <c r="A1121" t="s">
        <v>3937</v>
      </c>
      <c r="B1121">
        <v>220</v>
      </c>
      <c r="C1121">
        <v>1</v>
      </c>
      <c r="D1121" t="s">
        <v>3397</v>
      </c>
      <c r="E1121" t="s">
        <v>3938</v>
      </c>
      <c r="F1121" t="s">
        <v>3420</v>
      </c>
      <c r="G1121">
        <v>16301</v>
      </c>
      <c r="H1121" t="s">
        <v>3409</v>
      </c>
      <c r="I1121" t="s">
        <v>3391</v>
      </c>
      <c r="J1121" t="s">
        <v>3392</v>
      </c>
      <c r="K1121" t="s">
        <v>6315</v>
      </c>
      <c r="L1121" t="s">
        <v>6778</v>
      </c>
      <c r="M1121" t="s">
        <v>6779</v>
      </c>
      <c r="N1121" t="s">
        <v>6792</v>
      </c>
      <c r="O1121">
        <v>1</v>
      </c>
      <c r="P1121" t="str">
        <f>+BARRAS[[#This Row],[Barra]]&amp;"_"&amp;BARRAS[[#This Row],[Nivel de tensión]]</f>
        <v>N.MAITENCILLO_220</v>
      </c>
    </row>
    <row r="1122" spans="1:16">
      <c r="A1122" t="s">
        <v>3937</v>
      </c>
      <c r="B1122">
        <v>500</v>
      </c>
      <c r="C1122">
        <v>1</v>
      </c>
      <c r="D1122" t="s">
        <v>3397</v>
      </c>
      <c r="E1122" t="s">
        <v>3939</v>
      </c>
      <c r="F1122" t="s">
        <v>3420</v>
      </c>
      <c r="G1122">
        <v>16301</v>
      </c>
      <c r="H1122" t="s">
        <v>3701</v>
      </c>
      <c r="I1122" t="s">
        <v>3391</v>
      </c>
      <c r="J1122" t="s">
        <v>3392</v>
      </c>
      <c r="K1122" t="s">
        <v>6315</v>
      </c>
      <c r="L1122" t="s">
        <v>6778</v>
      </c>
      <c r="M1122" t="s">
        <v>6779</v>
      </c>
      <c r="N1122" t="s">
        <v>6792</v>
      </c>
      <c r="O1122">
        <v>1</v>
      </c>
      <c r="P1122" t="str">
        <f>+BARRAS[[#This Row],[Barra]]&amp;"_"&amp;BARRAS[[#This Row],[Nivel de tensión]]</f>
        <v>N.MAITENCILLO_500</v>
      </c>
    </row>
    <row r="1123" spans="1:16">
      <c r="A1123" t="s">
        <v>3940</v>
      </c>
      <c r="B1123">
        <v>220</v>
      </c>
      <c r="C1123">
        <v>1</v>
      </c>
      <c r="D1123" t="s">
        <v>3397</v>
      </c>
      <c r="E1123" t="s">
        <v>3941</v>
      </c>
      <c r="F1123" t="s">
        <v>3420</v>
      </c>
      <c r="G1123">
        <v>16301</v>
      </c>
      <c r="H1123" t="s">
        <v>3409</v>
      </c>
      <c r="I1123" t="s">
        <v>3391</v>
      </c>
      <c r="J1123" t="s">
        <v>3392</v>
      </c>
      <c r="K1123" t="s">
        <v>6315</v>
      </c>
      <c r="L1123" t="s">
        <v>6778</v>
      </c>
      <c r="M1123" t="s">
        <v>6779</v>
      </c>
      <c r="N1123" t="s">
        <v>6792</v>
      </c>
      <c r="O1123">
        <v>1</v>
      </c>
      <c r="P1123" t="str">
        <f>+BARRAS[[#This Row],[Barra]]&amp;"_"&amp;BARRAS[[#This Row],[Nivel de tensión]]</f>
        <v>N.P.AZUCAR_220</v>
      </c>
    </row>
    <row r="1124" spans="1:16">
      <c r="A1124" t="s">
        <v>3940</v>
      </c>
      <c r="B1124">
        <v>500</v>
      </c>
      <c r="C1124">
        <v>1</v>
      </c>
      <c r="D1124" t="s">
        <v>3397</v>
      </c>
      <c r="E1124" t="s">
        <v>3942</v>
      </c>
      <c r="F1124" t="s">
        <v>3420</v>
      </c>
      <c r="G1124">
        <v>16301</v>
      </c>
      <c r="H1124" t="s">
        <v>3409</v>
      </c>
      <c r="I1124" t="s">
        <v>3391</v>
      </c>
      <c r="J1124" t="s">
        <v>3392</v>
      </c>
      <c r="K1124" t="s">
        <v>6315</v>
      </c>
      <c r="L1124" t="s">
        <v>6778</v>
      </c>
      <c r="M1124" t="s">
        <v>6779</v>
      </c>
      <c r="N1124" t="s">
        <v>6792</v>
      </c>
      <c r="O1124">
        <v>1</v>
      </c>
      <c r="P1124" t="str">
        <f>+BARRAS[[#This Row],[Barra]]&amp;"_"&amp;BARRAS[[#This Row],[Nivel de tensión]]</f>
        <v>N.P.AZUCAR_500</v>
      </c>
    </row>
    <row r="1125" spans="1:16">
      <c r="A1125" t="s">
        <v>3943</v>
      </c>
      <c r="B1125">
        <v>66</v>
      </c>
      <c r="C1125">
        <v>1</v>
      </c>
      <c r="D1125" t="s">
        <v>3397</v>
      </c>
      <c r="E1125" t="s">
        <v>3419</v>
      </c>
      <c r="F1125" t="s">
        <v>3420</v>
      </c>
      <c r="G1125">
        <v>16301</v>
      </c>
      <c r="H1125" t="s">
        <v>3390</v>
      </c>
      <c r="I1125" t="s">
        <v>3391</v>
      </c>
      <c r="J1125" t="s">
        <v>3392</v>
      </c>
      <c r="K1125" t="s">
        <v>3305</v>
      </c>
      <c r="L1125" t="s">
        <v>6778</v>
      </c>
      <c r="M1125" t="s">
        <v>6779</v>
      </c>
      <c r="N1125" t="s">
        <v>6792</v>
      </c>
      <c r="O1125">
        <v>1</v>
      </c>
      <c r="P1125" t="str">
        <f>+BARRAS[[#This Row],[Barra]]&amp;"_"&amp;BARRAS[[#This Row],[Nivel de tensión]]</f>
        <v>N.PICHIRROPUL_66</v>
      </c>
    </row>
    <row r="1126" spans="1:16">
      <c r="A1126" t="s">
        <v>3943</v>
      </c>
      <c r="B1126">
        <v>220</v>
      </c>
      <c r="C1126">
        <v>1</v>
      </c>
      <c r="D1126" t="s">
        <v>3397</v>
      </c>
      <c r="E1126" t="s">
        <v>3419</v>
      </c>
      <c r="F1126" t="s">
        <v>3420</v>
      </c>
      <c r="G1126">
        <v>16301</v>
      </c>
      <c r="H1126" t="s">
        <v>3701</v>
      </c>
      <c r="I1126" t="s">
        <v>3391</v>
      </c>
      <c r="J1126" t="s">
        <v>3392</v>
      </c>
      <c r="K1126" t="s">
        <v>6315</v>
      </c>
      <c r="L1126" t="s">
        <v>6778</v>
      </c>
      <c r="M1126" t="s">
        <v>6779</v>
      </c>
      <c r="N1126" t="s">
        <v>6792</v>
      </c>
      <c r="O1126">
        <v>1</v>
      </c>
      <c r="P1126" t="str">
        <f>+BARRAS[[#This Row],[Barra]]&amp;"_"&amp;BARRAS[[#This Row],[Nivel de tensión]]</f>
        <v>N.PICHIRROPUL_220</v>
      </c>
    </row>
    <row r="1127" spans="1:16">
      <c r="A1127" t="s">
        <v>3944</v>
      </c>
      <c r="B1127">
        <v>220</v>
      </c>
      <c r="C1127">
        <v>1</v>
      </c>
      <c r="D1127" t="s">
        <v>3397</v>
      </c>
      <c r="E1127" t="s">
        <v>3945</v>
      </c>
      <c r="F1127" t="s">
        <v>3420</v>
      </c>
      <c r="G1127">
        <v>16301</v>
      </c>
      <c r="H1127" t="s">
        <v>3409</v>
      </c>
      <c r="I1127" t="s">
        <v>3391</v>
      </c>
      <c r="J1127" t="s">
        <v>3392</v>
      </c>
      <c r="K1127" t="s">
        <v>6315</v>
      </c>
      <c r="L1127" t="s">
        <v>6778</v>
      </c>
      <c r="M1127" t="s">
        <v>6779</v>
      </c>
      <c r="N1127" t="s">
        <v>6792</v>
      </c>
      <c r="O1127">
        <v>1</v>
      </c>
      <c r="P1127" t="str">
        <f>+BARRAS[[#This Row],[Barra]]&amp;"_"&amp;BARRAS[[#This Row],[Nivel de tensión]]</f>
        <v>N.POZOALMONTE_220</v>
      </c>
    </row>
    <row r="1128" spans="1:16">
      <c r="A1128" t="s">
        <v>885</v>
      </c>
      <c r="B1128">
        <v>220</v>
      </c>
      <c r="C1128">
        <v>2352</v>
      </c>
      <c r="D1128" t="s">
        <v>3946</v>
      </c>
      <c r="E1128" t="s">
        <v>3947</v>
      </c>
      <c r="F1128" t="s">
        <v>3484</v>
      </c>
      <c r="G1128">
        <v>16301</v>
      </c>
      <c r="H1128" t="s">
        <v>3405</v>
      </c>
      <c r="I1128" t="s">
        <v>3391</v>
      </c>
      <c r="J1128" t="s">
        <v>3392</v>
      </c>
      <c r="K1128" t="s">
        <v>6315</v>
      </c>
      <c r="L1128" t="s">
        <v>6778</v>
      </c>
      <c r="M1128" t="s">
        <v>6779</v>
      </c>
      <c r="N1128" t="s">
        <v>6792</v>
      </c>
      <c r="O1128">
        <v>1</v>
      </c>
      <c r="P1128" t="str">
        <f>+BARRAS[[#This Row],[Barra]]&amp;"_"&amp;BARRAS[[#This Row],[Nivel de tensión]]</f>
        <v>N.VICTORIA_220</v>
      </c>
    </row>
    <row r="1129" spans="1:16">
      <c r="A1129" t="s">
        <v>3948</v>
      </c>
      <c r="B1129">
        <v>220</v>
      </c>
      <c r="C1129">
        <v>2209</v>
      </c>
      <c r="D1129" t="s">
        <v>3949</v>
      </c>
      <c r="E1129" t="s">
        <v>3950</v>
      </c>
      <c r="F1129" t="s">
        <v>3951</v>
      </c>
      <c r="G1129">
        <v>16301</v>
      </c>
      <c r="H1129" t="s">
        <v>3396</v>
      </c>
      <c r="I1129" t="s">
        <v>3391</v>
      </c>
      <c r="J1129" t="s">
        <v>3392</v>
      </c>
      <c r="K1129" t="s">
        <v>6315</v>
      </c>
      <c r="L1129" t="s">
        <v>6778</v>
      </c>
      <c r="M1129" t="s">
        <v>6779</v>
      </c>
      <c r="N1129" t="s">
        <v>6792</v>
      </c>
      <c r="O1129">
        <v>1</v>
      </c>
      <c r="P1129" t="str">
        <f>+BARRAS[[#This Row],[Barra]]&amp;"_"&amp;BARRAS[[#This Row],[Nivel de tensión]]</f>
        <v>N.ZALDIVAR_220</v>
      </c>
    </row>
    <row r="1130" spans="1:16">
      <c r="A1130" t="s">
        <v>888</v>
      </c>
      <c r="B1130">
        <v>220</v>
      </c>
      <c r="C1130">
        <v>1770</v>
      </c>
      <c r="D1130" t="s">
        <v>3478</v>
      </c>
      <c r="E1130" t="s">
        <v>3479</v>
      </c>
      <c r="F1130" t="s">
        <v>3480</v>
      </c>
      <c r="G1130">
        <v>16301</v>
      </c>
      <c r="H1130" t="s">
        <v>3405</v>
      </c>
      <c r="I1130" t="s">
        <v>3391</v>
      </c>
      <c r="J1130" t="s">
        <v>3392</v>
      </c>
      <c r="K1130" t="s">
        <v>6315</v>
      </c>
      <c r="L1130" t="s">
        <v>6778</v>
      </c>
      <c r="M1130" t="s">
        <v>6779</v>
      </c>
      <c r="N1130" t="s">
        <v>6792</v>
      </c>
      <c r="O1130">
        <v>1</v>
      </c>
      <c r="P1130" t="str">
        <f>+BARRAS[[#This Row],[Barra]]&amp;"_"&amp;BARRAS[[#This Row],[Nivel de tensión]]</f>
        <v>NACIMIENTO_220</v>
      </c>
    </row>
    <row r="1131" spans="1:16">
      <c r="A1131" t="s">
        <v>890</v>
      </c>
      <c r="B1131">
        <v>13</v>
      </c>
      <c r="C1131">
        <v>1587</v>
      </c>
      <c r="D1131" t="s">
        <v>3994</v>
      </c>
      <c r="E1131" t="s">
        <v>3995</v>
      </c>
      <c r="F1131" t="s">
        <v>3996</v>
      </c>
      <c r="G1131">
        <v>16301</v>
      </c>
      <c r="H1131" t="s">
        <v>3414</v>
      </c>
      <c r="I1131" t="s">
        <v>3391</v>
      </c>
      <c r="J1131" t="s">
        <v>3392</v>
      </c>
      <c r="K1131" t="s">
        <v>3304</v>
      </c>
      <c r="L1131" t="s">
        <v>6778</v>
      </c>
      <c r="M1131" t="s">
        <v>6779</v>
      </c>
      <c r="N1131" t="s">
        <v>6792</v>
      </c>
      <c r="O1131">
        <v>1</v>
      </c>
      <c r="P1131" t="str">
        <f>+BARRAS[[#This Row],[Barra]]&amp;"_"&amp;BARRAS[[#This Row],[Nivel de tensión]]</f>
        <v>NAHUELBUTA_13</v>
      </c>
    </row>
    <row r="1132" spans="1:16">
      <c r="A1132" t="s">
        <v>890</v>
      </c>
      <c r="B1132">
        <v>23</v>
      </c>
      <c r="C1132">
        <v>1</v>
      </c>
      <c r="D1132" t="s">
        <v>3397</v>
      </c>
      <c r="E1132" t="s">
        <v>3419</v>
      </c>
      <c r="F1132" t="s">
        <v>3420</v>
      </c>
      <c r="G1132">
        <v>16301</v>
      </c>
      <c r="H1132" t="s">
        <v>3414</v>
      </c>
      <c r="I1132" t="s">
        <v>3391</v>
      </c>
      <c r="J1132" t="s">
        <v>3392</v>
      </c>
      <c r="K1132" t="s">
        <v>3304</v>
      </c>
      <c r="L1132" t="s">
        <v>6778</v>
      </c>
      <c r="M1132" t="s">
        <v>6779</v>
      </c>
      <c r="N1132" t="s">
        <v>6792</v>
      </c>
      <c r="O1132">
        <v>1</v>
      </c>
      <c r="P1132" t="str">
        <f>+BARRAS[[#This Row],[Barra]]&amp;"_"&amp;BARRAS[[#This Row],[Nivel de tensión]]</f>
        <v>NAHUELBUTA_23</v>
      </c>
    </row>
    <row r="1133" spans="1:16">
      <c r="A1133" t="s">
        <v>890</v>
      </c>
      <c r="B1133">
        <v>66</v>
      </c>
      <c r="C1133">
        <v>1</v>
      </c>
      <c r="D1133" t="s">
        <v>3397</v>
      </c>
      <c r="E1133" t="s">
        <v>3997</v>
      </c>
      <c r="F1133" t="s">
        <v>3420</v>
      </c>
      <c r="G1133">
        <v>16301</v>
      </c>
      <c r="H1133" t="s">
        <v>3414</v>
      </c>
      <c r="I1133" t="s">
        <v>3391</v>
      </c>
      <c r="J1133" t="s">
        <v>3392</v>
      </c>
      <c r="K1133" t="s">
        <v>3304</v>
      </c>
      <c r="L1133" t="s">
        <v>6778</v>
      </c>
      <c r="M1133" t="s">
        <v>6779</v>
      </c>
      <c r="N1133" t="s">
        <v>6792</v>
      </c>
      <c r="O1133">
        <v>1</v>
      </c>
      <c r="P1133" t="str">
        <f>+BARRAS[[#This Row],[Barra]]&amp;"_"&amp;BARRAS[[#This Row],[Nivel de tensión]]</f>
        <v>NAHUELBUTA_66</v>
      </c>
    </row>
    <row r="1134" spans="1:16">
      <c r="A1134" t="s">
        <v>894</v>
      </c>
      <c r="B1134">
        <v>23</v>
      </c>
      <c r="C1134">
        <v>1</v>
      </c>
      <c r="D1134" t="s">
        <v>3397</v>
      </c>
      <c r="E1134" t="s">
        <v>3419</v>
      </c>
      <c r="F1134" t="s">
        <v>3420</v>
      </c>
      <c r="G1134">
        <v>16301</v>
      </c>
      <c r="H1134" t="s">
        <v>3405</v>
      </c>
      <c r="I1134" t="s">
        <v>3391</v>
      </c>
      <c r="J1134" t="s">
        <v>3392</v>
      </c>
      <c r="K1134" t="s">
        <v>6315</v>
      </c>
      <c r="L1134" t="s">
        <v>6778</v>
      </c>
      <c r="M1134" t="s">
        <v>6779</v>
      </c>
      <c r="N1134" t="s">
        <v>6792</v>
      </c>
      <c r="O1134">
        <v>1</v>
      </c>
      <c r="P1134" t="str">
        <f>+BARRAS[[#This Row],[Barra]]&amp;"_"&amp;BARRAS[[#This Row],[Nivel de tensión]]</f>
        <v>NALCAS_23</v>
      </c>
    </row>
    <row r="1135" spans="1:16">
      <c r="A1135" t="s">
        <v>896</v>
      </c>
      <c r="B1135">
        <v>13</v>
      </c>
      <c r="C1135">
        <v>600</v>
      </c>
      <c r="D1135" t="s">
        <v>3998</v>
      </c>
      <c r="E1135" t="s">
        <v>3999</v>
      </c>
      <c r="F1135" t="s">
        <v>4000</v>
      </c>
      <c r="G1135">
        <v>16301</v>
      </c>
      <c r="H1135" t="s">
        <v>3414</v>
      </c>
      <c r="I1135" t="s">
        <v>3391</v>
      </c>
      <c r="J1135" t="s">
        <v>3392</v>
      </c>
      <c r="K1135" t="s">
        <v>3304</v>
      </c>
      <c r="L1135" t="s">
        <v>6778</v>
      </c>
      <c r="M1135" t="s">
        <v>6779</v>
      </c>
      <c r="N1135" t="s">
        <v>6792</v>
      </c>
      <c r="O1135">
        <v>1</v>
      </c>
      <c r="P1135" t="str">
        <f>+BARRAS[[#This Row],[Barra]]&amp;"_"&amp;BARRAS[[#This Row],[Nivel de tensión]]</f>
        <v>NANCAGUA_13</v>
      </c>
    </row>
    <row r="1136" spans="1:16">
      <c r="A1136" t="s">
        <v>896</v>
      </c>
      <c r="B1136">
        <v>66</v>
      </c>
      <c r="C1136">
        <v>1</v>
      </c>
      <c r="D1136" t="s">
        <v>3397</v>
      </c>
      <c r="E1136" t="s">
        <v>4001</v>
      </c>
      <c r="F1136" t="s">
        <v>3420</v>
      </c>
      <c r="G1136">
        <v>16301</v>
      </c>
      <c r="H1136" t="s">
        <v>3414</v>
      </c>
      <c r="I1136" t="s">
        <v>3391</v>
      </c>
      <c r="J1136" t="s">
        <v>3392</v>
      </c>
      <c r="K1136" t="s">
        <v>3304</v>
      </c>
      <c r="L1136" t="s">
        <v>6778</v>
      </c>
      <c r="M1136" t="s">
        <v>6779</v>
      </c>
      <c r="N1136" t="s">
        <v>6792</v>
      </c>
      <c r="O1136">
        <v>1</v>
      </c>
      <c r="P1136" t="str">
        <f>+BARRAS[[#This Row],[Barra]]&amp;"_"&amp;BARRAS[[#This Row],[Nivel de tensión]]</f>
        <v>NANCAGUA_66</v>
      </c>
    </row>
    <row r="1137" spans="1:16">
      <c r="A1137" t="s">
        <v>4002</v>
      </c>
      <c r="B1137">
        <v>66</v>
      </c>
      <c r="C1137">
        <v>1</v>
      </c>
      <c r="D1137" t="s">
        <v>3397</v>
      </c>
      <c r="E1137" t="s">
        <v>3419</v>
      </c>
      <c r="F1137" t="s">
        <v>3420</v>
      </c>
      <c r="G1137">
        <v>16301</v>
      </c>
      <c r="H1137" t="s">
        <v>3400</v>
      </c>
      <c r="I1137" t="s">
        <v>3391</v>
      </c>
      <c r="J1137" t="s">
        <v>3392</v>
      </c>
      <c r="K1137" t="s">
        <v>3301</v>
      </c>
      <c r="L1137" t="s">
        <v>6778</v>
      </c>
      <c r="M1137" t="s">
        <v>6779</v>
      </c>
      <c r="N1137" t="s">
        <v>6792</v>
      </c>
      <c r="O1137">
        <v>1</v>
      </c>
      <c r="P1137" t="str">
        <f>+BARRAS[[#This Row],[Barra]]&amp;"_"&amp;BARRAS[[#This Row],[Nivel de tensión]]</f>
        <v>NECSA_66</v>
      </c>
    </row>
    <row r="1138" spans="1:16">
      <c r="A1138" t="s">
        <v>900</v>
      </c>
      <c r="B1138">
        <v>23</v>
      </c>
      <c r="C1138">
        <v>2344</v>
      </c>
      <c r="D1138" t="s">
        <v>4003</v>
      </c>
      <c r="E1138" t="s">
        <v>4004</v>
      </c>
      <c r="F1138" t="s">
        <v>4005</v>
      </c>
      <c r="G1138">
        <v>16301</v>
      </c>
      <c r="H1138" t="s">
        <v>3405</v>
      </c>
      <c r="I1138" t="s">
        <v>3391</v>
      </c>
      <c r="J1138" t="s">
        <v>3392</v>
      </c>
      <c r="K1138" t="s">
        <v>6315</v>
      </c>
      <c r="L1138" t="s">
        <v>6778</v>
      </c>
      <c r="M1138" t="s">
        <v>6779</v>
      </c>
      <c r="N1138" t="s">
        <v>6792</v>
      </c>
      <c r="O1138">
        <v>1</v>
      </c>
      <c r="P1138" t="str">
        <f>+BARRAS[[#This Row],[Barra]]&amp;"_"&amp;BARRAS[[#This Row],[Nivel de tensión]]</f>
        <v>NEGRA_23</v>
      </c>
    </row>
    <row r="1139" spans="1:16">
      <c r="A1139" t="s">
        <v>900</v>
      </c>
      <c r="B1139">
        <v>110</v>
      </c>
      <c r="C1139">
        <v>1</v>
      </c>
      <c r="D1139" t="s">
        <v>3397</v>
      </c>
      <c r="E1139" t="s">
        <v>4006</v>
      </c>
      <c r="F1139" t="s">
        <v>3420</v>
      </c>
      <c r="G1139">
        <v>16301</v>
      </c>
      <c r="H1139" t="s">
        <v>3443</v>
      </c>
      <c r="I1139" t="s">
        <v>3391</v>
      </c>
      <c r="J1139" t="s">
        <v>3392</v>
      </c>
      <c r="K1139" t="s">
        <v>3300</v>
      </c>
      <c r="L1139" t="s">
        <v>6778</v>
      </c>
      <c r="M1139" t="s">
        <v>6779</v>
      </c>
      <c r="N1139" t="s">
        <v>6792</v>
      </c>
      <c r="O1139">
        <v>1</v>
      </c>
      <c r="P1139" t="str">
        <f>+BARRAS[[#This Row],[Barra]]&amp;"_"&amp;BARRAS[[#This Row],[Nivel de tensión]]</f>
        <v>NEGRA_110</v>
      </c>
    </row>
    <row r="1140" spans="1:16">
      <c r="A1140" t="s">
        <v>903</v>
      </c>
      <c r="B1140">
        <v>23</v>
      </c>
      <c r="C1140">
        <v>1078</v>
      </c>
      <c r="D1140" t="s">
        <v>4007</v>
      </c>
      <c r="E1140" t="s">
        <v>4008</v>
      </c>
      <c r="F1140" t="s">
        <v>4009</v>
      </c>
      <c r="G1140">
        <v>16301</v>
      </c>
      <c r="H1140" t="s">
        <v>3414</v>
      </c>
      <c r="I1140" t="s">
        <v>3391</v>
      </c>
      <c r="J1140" t="s">
        <v>3392</v>
      </c>
      <c r="K1140" t="s">
        <v>3304</v>
      </c>
      <c r="L1140" t="s">
        <v>6778</v>
      </c>
      <c r="M1140" t="s">
        <v>6779</v>
      </c>
      <c r="N1140" t="s">
        <v>6792</v>
      </c>
      <c r="O1140">
        <v>1</v>
      </c>
      <c r="P1140" t="str">
        <f>+BARRAS[[#This Row],[Barra]]&amp;"_"&amp;BARRAS[[#This Row],[Nivel de tensión]]</f>
        <v>NEGRETE_23</v>
      </c>
    </row>
    <row r="1141" spans="1:16">
      <c r="A1141" t="s">
        <v>903</v>
      </c>
      <c r="B1141">
        <v>66</v>
      </c>
      <c r="C1141">
        <v>1</v>
      </c>
      <c r="D1141" t="s">
        <v>3397</v>
      </c>
      <c r="E1141" t="s">
        <v>4010</v>
      </c>
      <c r="F1141" t="s">
        <v>3420</v>
      </c>
      <c r="G1141">
        <v>16301</v>
      </c>
      <c r="H1141" t="s">
        <v>3414</v>
      </c>
      <c r="I1141" t="s">
        <v>3391</v>
      </c>
      <c r="J1141" t="s">
        <v>3392</v>
      </c>
      <c r="K1141" t="s">
        <v>3304</v>
      </c>
      <c r="L1141" t="s">
        <v>6778</v>
      </c>
      <c r="M1141" t="s">
        <v>6779</v>
      </c>
      <c r="N1141" t="s">
        <v>6792</v>
      </c>
      <c r="O1141">
        <v>1</v>
      </c>
      <c r="P1141" t="str">
        <f>+BARRAS[[#This Row],[Barra]]&amp;"_"&amp;BARRAS[[#This Row],[Nivel de tensión]]</f>
        <v>NEGRETE_66</v>
      </c>
    </row>
    <row r="1142" spans="1:16">
      <c r="A1142" t="s">
        <v>935</v>
      </c>
      <c r="B1142">
        <v>66</v>
      </c>
      <c r="C1142">
        <v>2245</v>
      </c>
      <c r="D1142" t="s">
        <v>4065</v>
      </c>
      <c r="E1142" t="s">
        <v>4066</v>
      </c>
      <c r="F1142" t="s">
        <v>4064</v>
      </c>
      <c r="G1142">
        <v>16301</v>
      </c>
      <c r="H1142" t="s">
        <v>3396</v>
      </c>
      <c r="I1142" t="s">
        <v>3391</v>
      </c>
      <c r="J1142" t="s">
        <v>3392</v>
      </c>
      <c r="K1142" t="s">
        <v>6315</v>
      </c>
      <c r="L1142" t="s">
        <v>6778</v>
      </c>
      <c r="M1142" t="s">
        <v>6779</v>
      </c>
      <c r="N1142" t="s">
        <v>6792</v>
      </c>
      <c r="O1142">
        <v>1</v>
      </c>
      <c r="P1142" t="str">
        <f>+BARRAS[[#This Row],[Barra]]&amp;"_"&amp;BARRAS[[#This Row],[Nivel de tensión]]</f>
        <v>P.ALMONTE_66</v>
      </c>
    </row>
    <row r="1143" spans="1:16">
      <c r="A1143" t="s">
        <v>935</v>
      </c>
      <c r="B1143">
        <v>110</v>
      </c>
      <c r="C1143">
        <v>2238</v>
      </c>
      <c r="D1143" t="s">
        <v>4067</v>
      </c>
      <c r="E1143" t="s">
        <v>4068</v>
      </c>
      <c r="F1143" t="s">
        <v>4064</v>
      </c>
      <c r="G1143">
        <v>16301</v>
      </c>
      <c r="H1143" t="s">
        <v>3405</v>
      </c>
      <c r="I1143" t="s">
        <v>3391</v>
      </c>
      <c r="J1143" t="s">
        <v>3392</v>
      </c>
      <c r="K1143" t="s">
        <v>6315</v>
      </c>
      <c r="L1143" t="s">
        <v>6778</v>
      </c>
      <c r="M1143" t="s">
        <v>6779</v>
      </c>
      <c r="N1143" t="s">
        <v>6792</v>
      </c>
      <c r="O1143">
        <v>1</v>
      </c>
      <c r="P1143" t="str">
        <f>+BARRAS[[#This Row],[Barra]]&amp;"_"&amp;BARRAS[[#This Row],[Nivel de tensión]]</f>
        <v>P.ALMONTE_110</v>
      </c>
    </row>
    <row r="1144" spans="1:16">
      <c r="A1144" t="s">
        <v>935</v>
      </c>
      <c r="B1144">
        <v>220</v>
      </c>
      <c r="C1144">
        <v>2243</v>
      </c>
      <c r="D1144" t="s">
        <v>4069</v>
      </c>
      <c r="E1144" t="s">
        <v>4070</v>
      </c>
      <c r="F1144" t="s">
        <v>4064</v>
      </c>
      <c r="G1144">
        <v>16301</v>
      </c>
      <c r="H1144" t="s">
        <v>3701</v>
      </c>
      <c r="I1144" t="s">
        <v>3391</v>
      </c>
      <c r="J1144" t="s">
        <v>3392</v>
      </c>
      <c r="K1144" t="s">
        <v>6315</v>
      </c>
      <c r="L1144" t="s">
        <v>6778</v>
      </c>
      <c r="M1144" t="s">
        <v>6779</v>
      </c>
      <c r="N1144" t="s">
        <v>6792</v>
      </c>
      <c r="O1144">
        <v>1</v>
      </c>
      <c r="P1144" t="str">
        <f>+BARRAS[[#This Row],[Barra]]&amp;"_"&amp;BARRAS[[#This Row],[Nivel de tensión]]</f>
        <v>P.ALMONTE_220</v>
      </c>
    </row>
    <row r="1145" spans="1:16">
      <c r="A1145" t="s">
        <v>4071</v>
      </c>
      <c r="B1145">
        <v>13</v>
      </c>
      <c r="C1145">
        <v>1</v>
      </c>
      <c r="D1145" t="s">
        <v>3397</v>
      </c>
      <c r="E1145" t="s">
        <v>3419</v>
      </c>
      <c r="F1145" t="s">
        <v>3420</v>
      </c>
      <c r="G1145">
        <v>16301</v>
      </c>
      <c r="H1145" t="s">
        <v>3443</v>
      </c>
      <c r="I1145" t="s">
        <v>3391</v>
      </c>
      <c r="J1145" t="s">
        <v>3392</v>
      </c>
      <c r="K1145" t="s">
        <v>3300</v>
      </c>
      <c r="L1145" t="s">
        <v>6778</v>
      </c>
      <c r="M1145" t="s">
        <v>6779</v>
      </c>
      <c r="N1145" t="s">
        <v>6792</v>
      </c>
      <c r="O1145">
        <v>1</v>
      </c>
      <c r="P1145" t="str">
        <f>+BARRAS[[#This Row],[Barra]]&amp;"_"&amp;BARRAS[[#This Row],[Nivel de tensión]]</f>
        <v>P.ALMONTE1_13</v>
      </c>
    </row>
    <row r="1146" spans="1:16">
      <c r="A1146" t="s">
        <v>941</v>
      </c>
      <c r="B1146">
        <v>13</v>
      </c>
      <c r="C1146">
        <v>1</v>
      </c>
      <c r="D1146" t="s">
        <v>3397</v>
      </c>
      <c r="E1146" t="s">
        <v>3419</v>
      </c>
      <c r="F1146" t="s">
        <v>3420</v>
      </c>
      <c r="G1146">
        <v>16301</v>
      </c>
      <c r="H1146" t="s">
        <v>3405</v>
      </c>
      <c r="I1146" t="s">
        <v>3391</v>
      </c>
      <c r="J1146" t="s">
        <v>3392</v>
      </c>
      <c r="K1146" t="s">
        <v>6315</v>
      </c>
      <c r="L1146" t="s">
        <v>6778</v>
      </c>
      <c r="M1146" t="s">
        <v>6779</v>
      </c>
      <c r="N1146" t="s">
        <v>6792</v>
      </c>
      <c r="O1146">
        <v>1</v>
      </c>
      <c r="P1146" t="str">
        <f>+BARRAS[[#This Row],[Barra]]&amp;"_"&amp;BARRAS[[#This Row],[Nivel de tensión]]</f>
        <v>P.ALMONTE2_13</v>
      </c>
    </row>
    <row r="1147" spans="1:16">
      <c r="A1147" t="s">
        <v>943</v>
      </c>
      <c r="B1147">
        <v>13</v>
      </c>
      <c r="C1147">
        <v>1064</v>
      </c>
      <c r="D1147" t="s">
        <v>4072</v>
      </c>
      <c r="E1147" t="s">
        <v>4073</v>
      </c>
      <c r="F1147" t="s">
        <v>4074</v>
      </c>
      <c r="G1147">
        <v>16301</v>
      </c>
      <c r="H1147" t="s">
        <v>3469</v>
      </c>
      <c r="I1147" t="s">
        <v>3391</v>
      </c>
      <c r="J1147" t="s">
        <v>3392</v>
      </c>
      <c r="K1147" t="s">
        <v>3303</v>
      </c>
      <c r="L1147" t="s">
        <v>6778</v>
      </c>
      <c r="M1147" t="s">
        <v>6779</v>
      </c>
      <c r="N1147" t="s">
        <v>6792</v>
      </c>
      <c r="O1147">
        <v>1</v>
      </c>
      <c r="P1147" t="str">
        <f>+BARRAS[[#This Row],[Barra]]&amp;"_"&amp;BARRAS[[#This Row],[Nivel de tensión]]</f>
        <v>P.ALTO_13</v>
      </c>
    </row>
    <row r="1148" spans="1:16">
      <c r="A1148" t="s">
        <v>943</v>
      </c>
      <c r="B1148">
        <v>110</v>
      </c>
      <c r="C1148">
        <v>1</v>
      </c>
      <c r="D1148" t="s">
        <v>3397</v>
      </c>
      <c r="E1148" t="s">
        <v>4075</v>
      </c>
      <c r="F1148" t="s">
        <v>3420</v>
      </c>
      <c r="G1148">
        <v>16301</v>
      </c>
      <c r="H1148" t="s">
        <v>3469</v>
      </c>
      <c r="I1148" t="s">
        <v>3391</v>
      </c>
      <c r="J1148" t="s">
        <v>3392</v>
      </c>
      <c r="K1148" t="s">
        <v>3303</v>
      </c>
      <c r="L1148" t="s">
        <v>6778</v>
      </c>
      <c r="M1148" t="s">
        <v>6779</v>
      </c>
      <c r="N1148" t="s">
        <v>6792</v>
      </c>
      <c r="O1148">
        <v>1</v>
      </c>
      <c r="P1148" t="str">
        <f>+BARRAS[[#This Row],[Barra]]&amp;"_"&amp;BARRAS[[#This Row],[Nivel de tensión]]</f>
        <v>P.ALTO_110</v>
      </c>
    </row>
    <row r="1149" spans="1:16">
      <c r="A1149" t="s">
        <v>4076</v>
      </c>
      <c r="B1149">
        <v>13</v>
      </c>
      <c r="C1149">
        <v>1022</v>
      </c>
      <c r="D1149" t="s">
        <v>4077</v>
      </c>
      <c r="E1149" t="s">
        <v>4078</v>
      </c>
      <c r="F1149" t="s">
        <v>4079</v>
      </c>
      <c r="G1149">
        <v>16301</v>
      </c>
      <c r="H1149" t="s">
        <v>3418</v>
      </c>
      <c r="I1149" t="s">
        <v>3391</v>
      </c>
      <c r="J1149" t="s">
        <v>3392</v>
      </c>
      <c r="K1149" t="s">
        <v>3302</v>
      </c>
      <c r="L1149" t="s">
        <v>6778</v>
      </c>
      <c r="M1149" t="s">
        <v>6779</v>
      </c>
      <c r="N1149" t="s">
        <v>6792</v>
      </c>
      <c r="O1149">
        <v>1</v>
      </c>
      <c r="P1149" t="str">
        <f>+BARRAS[[#This Row],[Barra]]&amp;"_"&amp;BARRAS[[#This Row],[Nivel de tensión]]</f>
        <v>P.ANCHA_13</v>
      </c>
    </row>
    <row r="1150" spans="1:16">
      <c r="A1150" t="s">
        <v>4076</v>
      </c>
      <c r="B1150">
        <v>110</v>
      </c>
      <c r="C1150">
        <v>1</v>
      </c>
      <c r="D1150" t="s">
        <v>3397</v>
      </c>
      <c r="E1150" t="s">
        <v>4080</v>
      </c>
      <c r="F1150" t="s">
        <v>3420</v>
      </c>
      <c r="G1150">
        <v>16301</v>
      </c>
      <c r="H1150" t="s">
        <v>3418</v>
      </c>
      <c r="I1150" t="s">
        <v>3391</v>
      </c>
      <c r="J1150" t="s">
        <v>3392</v>
      </c>
      <c r="K1150" t="s">
        <v>3302</v>
      </c>
      <c r="L1150" t="s">
        <v>6778</v>
      </c>
      <c r="M1150" t="s">
        <v>6779</v>
      </c>
      <c r="N1150" t="s">
        <v>6792</v>
      </c>
      <c r="O1150">
        <v>1</v>
      </c>
      <c r="P1150" t="str">
        <f>+BARRAS[[#This Row],[Barra]]&amp;"_"&amp;BARRAS[[#This Row],[Nivel de tensión]]</f>
        <v>P.ANCHA_110</v>
      </c>
    </row>
    <row r="1151" spans="1:16">
      <c r="A1151" t="s">
        <v>948</v>
      </c>
      <c r="B1151">
        <v>13</v>
      </c>
      <c r="C1151">
        <v>2519</v>
      </c>
      <c r="D1151" t="s">
        <v>4081</v>
      </c>
      <c r="E1151" t="s">
        <v>4082</v>
      </c>
      <c r="F1151" t="s">
        <v>4083</v>
      </c>
      <c r="G1151">
        <v>16301</v>
      </c>
      <c r="H1151" t="s">
        <v>3400</v>
      </c>
      <c r="I1151" t="s">
        <v>3391</v>
      </c>
      <c r="J1151" t="s">
        <v>3392</v>
      </c>
      <c r="K1151" t="s">
        <v>3301</v>
      </c>
      <c r="L1151" t="s">
        <v>6778</v>
      </c>
      <c r="M1151" t="s">
        <v>6779</v>
      </c>
      <c r="N1151" t="s">
        <v>6792</v>
      </c>
      <c r="O1151">
        <v>1</v>
      </c>
      <c r="P1151" t="str">
        <f>+BARRAS[[#This Row],[Barra]]&amp;"_"&amp;BARRAS[[#This Row],[Nivel de tensión]]</f>
        <v>P.AZUCAR_13</v>
      </c>
    </row>
    <row r="1152" spans="1:16">
      <c r="A1152" t="s">
        <v>948</v>
      </c>
      <c r="B1152">
        <v>66</v>
      </c>
      <c r="C1152">
        <v>1</v>
      </c>
      <c r="D1152" t="s">
        <v>3397</v>
      </c>
      <c r="E1152" t="s">
        <v>4084</v>
      </c>
      <c r="F1152" t="s">
        <v>3420</v>
      </c>
      <c r="G1152">
        <v>16301</v>
      </c>
      <c r="H1152" t="s">
        <v>3400</v>
      </c>
      <c r="I1152" t="s">
        <v>3391</v>
      </c>
      <c r="J1152" t="s">
        <v>3392</v>
      </c>
      <c r="K1152" t="s">
        <v>3301</v>
      </c>
      <c r="L1152" t="s">
        <v>6778</v>
      </c>
      <c r="M1152" t="s">
        <v>6779</v>
      </c>
      <c r="N1152" t="s">
        <v>6792</v>
      </c>
      <c r="O1152">
        <v>1</v>
      </c>
      <c r="P1152" t="str">
        <f>+BARRAS[[#This Row],[Barra]]&amp;"_"&amp;BARRAS[[#This Row],[Nivel de tensión]]</f>
        <v>P.AZUCAR_66</v>
      </c>
    </row>
    <row r="1153" spans="1:16">
      <c r="A1153" t="s">
        <v>948</v>
      </c>
      <c r="B1153">
        <v>110</v>
      </c>
      <c r="C1153">
        <v>1</v>
      </c>
      <c r="D1153" t="s">
        <v>3397</v>
      </c>
      <c r="E1153" t="s">
        <v>4085</v>
      </c>
      <c r="F1153" t="s">
        <v>3420</v>
      </c>
      <c r="G1153">
        <v>16301</v>
      </c>
      <c r="H1153" t="s">
        <v>3400</v>
      </c>
      <c r="I1153" t="s">
        <v>3391</v>
      </c>
      <c r="J1153" t="s">
        <v>3392</v>
      </c>
      <c r="K1153" t="s">
        <v>3301</v>
      </c>
      <c r="L1153" t="s">
        <v>6778</v>
      </c>
      <c r="M1153" t="s">
        <v>6779</v>
      </c>
      <c r="N1153" t="s">
        <v>6792</v>
      </c>
      <c r="O1153">
        <v>1</v>
      </c>
      <c r="P1153" t="str">
        <f>+BARRAS[[#This Row],[Barra]]&amp;"_"&amp;BARRAS[[#This Row],[Nivel de tensión]]</f>
        <v>P.AZUCAR_110</v>
      </c>
    </row>
    <row r="1154" spans="1:16">
      <c r="A1154" t="s">
        <v>948</v>
      </c>
      <c r="B1154">
        <v>220</v>
      </c>
      <c r="C1154">
        <v>510</v>
      </c>
      <c r="D1154" t="s">
        <v>4086</v>
      </c>
      <c r="E1154" t="s">
        <v>4087</v>
      </c>
      <c r="F1154" t="s">
        <v>4083</v>
      </c>
      <c r="G1154">
        <v>16301</v>
      </c>
      <c r="H1154" t="s">
        <v>3400</v>
      </c>
      <c r="I1154" t="s">
        <v>3391</v>
      </c>
      <c r="J1154" t="s">
        <v>3392</v>
      </c>
      <c r="K1154" t="s">
        <v>3301</v>
      </c>
      <c r="L1154" t="s">
        <v>6778</v>
      </c>
      <c r="M1154" t="s">
        <v>6779</v>
      </c>
      <c r="N1154" t="s">
        <v>6792</v>
      </c>
      <c r="O1154">
        <v>1</v>
      </c>
      <c r="P1154" t="str">
        <f>+BARRAS[[#This Row],[Barra]]&amp;"_"&amp;BARRAS[[#This Row],[Nivel de tensión]]</f>
        <v>P.AZUCAR_220</v>
      </c>
    </row>
    <row r="1155" spans="1:16">
      <c r="A1155" t="s">
        <v>953</v>
      </c>
      <c r="B1155">
        <v>220</v>
      </c>
      <c r="C1155">
        <v>1359</v>
      </c>
      <c r="D1155" t="s">
        <v>4088</v>
      </c>
      <c r="E1155" t="s">
        <v>4089</v>
      </c>
      <c r="F1155" t="s">
        <v>4090</v>
      </c>
      <c r="G1155">
        <v>16301</v>
      </c>
      <c r="H1155" t="s">
        <v>3409</v>
      </c>
      <c r="I1155" t="s">
        <v>3391</v>
      </c>
      <c r="J1155" t="s">
        <v>3392</v>
      </c>
      <c r="K1155" t="s">
        <v>6315</v>
      </c>
      <c r="L1155" t="s">
        <v>6778</v>
      </c>
      <c r="M1155" t="s">
        <v>6779</v>
      </c>
      <c r="N1155" t="s">
        <v>6792</v>
      </c>
      <c r="O1155">
        <v>1</v>
      </c>
      <c r="P1155" t="str">
        <f>+BARRAS[[#This Row],[Barra]]&amp;"_"&amp;BARRAS[[#This Row],[Nivel de tensión]]</f>
        <v>P.COLORADA_220</v>
      </c>
    </row>
    <row r="1156" spans="1:16">
      <c r="A1156" t="s">
        <v>4091</v>
      </c>
      <c r="B1156">
        <v>15</v>
      </c>
      <c r="C1156">
        <v>2867</v>
      </c>
      <c r="D1156" t="s">
        <v>3397</v>
      </c>
      <c r="E1156" t="s">
        <v>4092</v>
      </c>
      <c r="F1156" t="s">
        <v>4093</v>
      </c>
      <c r="G1156">
        <v>16301</v>
      </c>
      <c r="H1156" t="s">
        <v>3414</v>
      </c>
      <c r="I1156" t="s">
        <v>3391</v>
      </c>
      <c r="J1156" t="s">
        <v>3392</v>
      </c>
      <c r="K1156" t="s">
        <v>3304</v>
      </c>
      <c r="L1156" t="s">
        <v>6778</v>
      </c>
      <c r="M1156" t="s">
        <v>6779</v>
      </c>
      <c r="N1156" t="s">
        <v>6792</v>
      </c>
      <c r="O1156">
        <v>1</v>
      </c>
      <c r="P1156" t="str">
        <f>+BARRAS[[#This Row],[Barra]]&amp;"_"&amp;BARRAS[[#This Row],[Nivel de tensión]]</f>
        <v>P.CORTES_15</v>
      </c>
    </row>
    <row r="1157" spans="1:16">
      <c r="A1157" t="s">
        <v>4091</v>
      </c>
      <c r="B1157">
        <v>66</v>
      </c>
      <c r="C1157">
        <v>1</v>
      </c>
      <c r="D1157" t="s">
        <v>3397</v>
      </c>
      <c r="E1157" t="s">
        <v>4094</v>
      </c>
      <c r="F1157" t="s">
        <v>3420</v>
      </c>
      <c r="G1157">
        <v>16301</v>
      </c>
      <c r="H1157" t="s">
        <v>3414</v>
      </c>
      <c r="I1157" t="s">
        <v>3391</v>
      </c>
      <c r="J1157" t="s">
        <v>3392</v>
      </c>
      <c r="K1157" t="s">
        <v>3304</v>
      </c>
      <c r="L1157" t="s">
        <v>6778</v>
      </c>
      <c r="M1157" t="s">
        <v>6779</v>
      </c>
      <c r="N1157" t="s">
        <v>6792</v>
      </c>
      <c r="O1157">
        <v>1</v>
      </c>
      <c r="P1157" t="str">
        <f>+BARRAS[[#This Row],[Barra]]&amp;"_"&amp;BARRAS[[#This Row],[Nivel de tensión]]</f>
        <v>P.CORTES_66</v>
      </c>
    </row>
    <row r="1158" spans="1:16">
      <c r="A1158" t="s">
        <v>4095</v>
      </c>
      <c r="B1158">
        <v>154</v>
      </c>
      <c r="C1158">
        <v>1</v>
      </c>
      <c r="D1158" t="s">
        <v>3397</v>
      </c>
      <c r="E1158" t="s">
        <v>4096</v>
      </c>
      <c r="F1158" t="s">
        <v>3420</v>
      </c>
      <c r="G1158">
        <v>16301</v>
      </c>
      <c r="H1158" t="s">
        <v>3414</v>
      </c>
      <c r="I1158" t="s">
        <v>3391</v>
      </c>
      <c r="J1158" t="s">
        <v>3392</v>
      </c>
      <c r="K1158" t="s">
        <v>3304</v>
      </c>
      <c r="L1158" t="s">
        <v>6778</v>
      </c>
      <c r="M1158" t="s">
        <v>6779</v>
      </c>
      <c r="N1158" t="s">
        <v>6792</v>
      </c>
      <c r="O1158">
        <v>1</v>
      </c>
      <c r="P1158" t="str">
        <f>+BARRAS[[#This Row],[Barra]]&amp;"_"&amp;BARRAS[[#This Row],[Nivel de tensión]]</f>
        <v>P.CORTES1_154</v>
      </c>
    </row>
    <row r="1159" spans="1:16">
      <c r="A1159" t="s">
        <v>3485</v>
      </c>
      <c r="B1159">
        <v>154</v>
      </c>
      <c r="C1159">
        <v>1</v>
      </c>
      <c r="D1159" t="s">
        <v>3397</v>
      </c>
      <c r="E1159" t="s">
        <v>3419</v>
      </c>
      <c r="F1159" t="s">
        <v>3420</v>
      </c>
      <c r="G1159">
        <v>16301</v>
      </c>
      <c r="H1159" t="s">
        <v>3414</v>
      </c>
      <c r="I1159" t="s">
        <v>3391</v>
      </c>
      <c r="J1159" t="s">
        <v>3392</v>
      </c>
      <c r="K1159" t="s">
        <v>3304</v>
      </c>
      <c r="L1159" t="s">
        <v>6778</v>
      </c>
      <c r="M1159" t="s">
        <v>6779</v>
      </c>
      <c r="N1159" t="s">
        <v>6792</v>
      </c>
      <c r="O1159">
        <v>1</v>
      </c>
      <c r="P1159" t="str">
        <f>+BARRAS[[#This Row],[Barra]]&amp;"_"&amp;BARRAS[[#This Row],[Nivel de tensión]]</f>
        <v>P.CORTES2_154</v>
      </c>
    </row>
    <row r="1160" spans="1:16">
      <c r="A1160" t="s">
        <v>959</v>
      </c>
      <c r="B1160">
        <v>23</v>
      </c>
      <c r="C1160">
        <v>2795</v>
      </c>
      <c r="D1160" t="s">
        <v>3397</v>
      </c>
      <c r="E1160" t="s">
        <v>4097</v>
      </c>
      <c r="F1160" t="s">
        <v>4098</v>
      </c>
      <c r="G1160">
        <v>16301</v>
      </c>
      <c r="H1160" t="s">
        <v>3469</v>
      </c>
      <c r="I1160" t="s">
        <v>3391</v>
      </c>
      <c r="J1160" t="s">
        <v>3392</v>
      </c>
      <c r="K1160" t="s">
        <v>3303</v>
      </c>
      <c r="L1160" t="s">
        <v>6778</v>
      </c>
      <c r="M1160" t="s">
        <v>6779</v>
      </c>
      <c r="N1160" t="s">
        <v>6792</v>
      </c>
      <c r="O1160">
        <v>1</v>
      </c>
      <c r="P1160" t="str">
        <f>+BARRAS[[#This Row],[Barra]]&amp;"_"&amp;BARRAS[[#This Row],[Nivel de tensión]]</f>
        <v>P.HURTADO_23</v>
      </c>
    </row>
    <row r="1161" spans="1:16">
      <c r="A1161" t="s">
        <v>959</v>
      </c>
      <c r="B1161">
        <v>110</v>
      </c>
      <c r="C1161">
        <v>1</v>
      </c>
      <c r="D1161" t="s">
        <v>3397</v>
      </c>
      <c r="E1161" t="s">
        <v>4099</v>
      </c>
      <c r="F1161" t="s">
        <v>3420</v>
      </c>
      <c r="G1161">
        <v>16301</v>
      </c>
      <c r="H1161" t="s">
        <v>3469</v>
      </c>
      <c r="I1161" t="s">
        <v>3391</v>
      </c>
      <c r="J1161" t="s">
        <v>3392</v>
      </c>
      <c r="K1161" t="s">
        <v>3303</v>
      </c>
      <c r="L1161" t="s">
        <v>6778</v>
      </c>
      <c r="M1161" t="s">
        <v>6779</v>
      </c>
      <c r="N1161" t="s">
        <v>6792</v>
      </c>
      <c r="O1161">
        <v>1</v>
      </c>
      <c r="P1161" t="str">
        <f>+BARRAS[[#This Row],[Barra]]&amp;"_"&amp;BARRAS[[#This Row],[Nivel de tensión]]</f>
        <v>P.HURTADO_110</v>
      </c>
    </row>
    <row r="1162" spans="1:16">
      <c r="A1162" t="s">
        <v>962</v>
      </c>
      <c r="B1162">
        <v>23</v>
      </c>
      <c r="C1162">
        <v>3123</v>
      </c>
      <c r="D1162" t="s">
        <v>4100</v>
      </c>
      <c r="E1162" t="s">
        <v>4101</v>
      </c>
      <c r="F1162" t="s">
        <v>4102</v>
      </c>
      <c r="G1162">
        <v>10101</v>
      </c>
      <c r="H1162" t="s">
        <v>3390</v>
      </c>
      <c r="I1162" t="s">
        <v>3391</v>
      </c>
      <c r="J1162" t="s">
        <v>3928</v>
      </c>
      <c r="K1162" t="s">
        <v>6315</v>
      </c>
      <c r="L1162" t="s">
        <v>6778</v>
      </c>
      <c r="M1162" t="s">
        <v>6779</v>
      </c>
      <c r="N1162" t="s">
        <v>6792</v>
      </c>
      <c r="O1162">
        <v>1</v>
      </c>
      <c r="P1162" t="str">
        <f>+BARRAS[[#This Row],[Barra]]&amp;"_"&amp;BARRAS[[#This Row],[Nivel de tensión]]</f>
        <v>P.MONTT_23</v>
      </c>
    </row>
    <row r="1163" spans="1:16">
      <c r="A1163" t="s">
        <v>962</v>
      </c>
      <c r="B1163">
        <v>220</v>
      </c>
      <c r="C1163">
        <v>1</v>
      </c>
      <c r="D1163" t="s">
        <v>3397</v>
      </c>
      <c r="E1163" t="s">
        <v>4103</v>
      </c>
      <c r="F1163" t="s">
        <v>3420</v>
      </c>
      <c r="G1163">
        <v>16301</v>
      </c>
      <c r="H1163" t="s">
        <v>3405</v>
      </c>
      <c r="I1163" t="s">
        <v>3391</v>
      </c>
      <c r="J1163" t="s">
        <v>3392</v>
      </c>
      <c r="K1163" t="s">
        <v>6315</v>
      </c>
      <c r="L1163" t="s">
        <v>6778</v>
      </c>
      <c r="M1163" t="s">
        <v>6779</v>
      </c>
      <c r="N1163" t="s">
        <v>6792</v>
      </c>
      <c r="O1163">
        <v>1</v>
      </c>
      <c r="P1163" t="str">
        <f>+BARRAS[[#This Row],[Barra]]&amp;"_"&amp;BARRAS[[#This Row],[Nivel de tensión]]</f>
        <v>P.MONTT_220</v>
      </c>
    </row>
    <row r="1164" spans="1:16">
      <c r="A1164" t="s">
        <v>4104</v>
      </c>
      <c r="B1164">
        <v>13</v>
      </c>
      <c r="C1164">
        <v>448</v>
      </c>
      <c r="D1164" t="s">
        <v>4105</v>
      </c>
      <c r="E1164" t="s">
        <v>4106</v>
      </c>
      <c r="F1164" t="s">
        <v>4107</v>
      </c>
      <c r="G1164">
        <v>16301</v>
      </c>
      <c r="H1164" t="s">
        <v>3390</v>
      </c>
      <c r="I1164" t="s">
        <v>3391</v>
      </c>
      <c r="J1164" t="s">
        <v>3392</v>
      </c>
      <c r="K1164" t="s">
        <v>3305</v>
      </c>
      <c r="L1164" t="s">
        <v>6778</v>
      </c>
      <c r="M1164" t="s">
        <v>6779</v>
      </c>
      <c r="N1164" t="s">
        <v>6792</v>
      </c>
      <c r="O1164">
        <v>1</v>
      </c>
      <c r="P1164" t="str">
        <f>+BARRAS[[#This Row],[Barra]]&amp;"_"&amp;BARRAS[[#This Row],[Nivel de tensión]]</f>
        <v>P.VARAS_13</v>
      </c>
    </row>
    <row r="1165" spans="1:16">
      <c r="A1165" t="s">
        <v>4104</v>
      </c>
      <c r="B1165">
        <v>66</v>
      </c>
      <c r="C1165">
        <v>1</v>
      </c>
      <c r="D1165" t="s">
        <v>3397</v>
      </c>
      <c r="E1165" t="s">
        <v>4108</v>
      </c>
      <c r="F1165" t="s">
        <v>3420</v>
      </c>
      <c r="G1165">
        <v>16301</v>
      </c>
      <c r="H1165" t="s">
        <v>3390</v>
      </c>
      <c r="I1165" t="s">
        <v>3391</v>
      </c>
      <c r="J1165" t="s">
        <v>3392</v>
      </c>
      <c r="K1165" t="s">
        <v>3305</v>
      </c>
      <c r="L1165" t="s">
        <v>6778</v>
      </c>
      <c r="M1165" t="s">
        <v>6779</v>
      </c>
      <c r="N1165" t="s">
        <v>6792</v>
      </c>
      <c r="O1165">
        <v>1</v>
      </c>
      <c r="P1165" t="str">
        <f>+BARRAS[[#This Row],[Barra]]&amp;"_"&amp;BARRAS[[#This Row],[Nivel de tensión]]</f>
        <v>P.VARAS_66</v>
      </c>
    </row>
    <row r="1166" spans="1:16">
      <c r="A1166" t="s">
        <v>4109</v>
      </c>
      <c r="B1166">
        <v>44</v>
      </c>
      <c r="C1166">
        <v>1</v>
      </c>
      <c r="D1166" t="s">
        <v>3397</v>
      </c>
      <c r="E1166" t="s">
        <v>3419</v>
      </c>
      <c r="F1166" t="s">
        <v>3420</v>
      </c>
      <c r="G1166">
        <v>16301</v>
      </c>
      <c r="H1166" t="s">
        <v>3418</v>
      </c>
      <c r="I1166" t="s">
        <v>3391</v>
      </c>
      <c r="J1166" t="s">
        <v>3392</v>
      </c>
      <c r="K1166" t="s">
        <v>3302</v>
      </c>
      <c r="L1166" t="s">
        <v>6778</v>
      </c>
      <c r="M1166" t="s">
        <v>6779</v>
      </c>
      <c r="N1166" t="s">
        <v>6792</v>
      </c>
      <c r="O1166">
        <v>1</v>
      </c>
      <c r="P1166" t="str">
        <f>+BARRAS[[#This Row],[Barra]]&amp;"_"&amp;BARRAS[[#This Row],[Nivel de tensión]]</f>
        <v>PACHACAMA_44</v>
      </c>
    </row>
    <row r="1167" spans="1:16">
      <c r="A1167" t="s">
        <v>4154</v>
      </c>
      <c r="B1167">
        <v>220</v>
      </c>
      <c r="C1167">
        <v>1</v>
      </c>
      <c r="D1167" t="s">
        <v>3397</v>
      </c>
      <c r="E1167" t="s">
        <v>4159</v>
      </c>
      <c r="F1167" t="s">
        <v>3420</v>
      </c>
      <c r="G1167">
        <v>16301</v>
      </c>
      <c r="H1167" t="s">
        <v>3405</v>
      </c>
      <c r="I1167" t="s">
        <v>3391</v>
      </c>
      <c r="J1167" t="s">
        <v>3392</v>
      </c>
      <c r="K1167" t="s">
        <v>6315</v>
      </c>
      <c r="L1167" t="s">
        <v>6778</v>
      </c>
      <c r="M1167" t="s">
        <v>6779</v>
      </c>
      <c r="N1167" t="s">
        <v>6792</v>
      </c>
      <c r="O1167">
        <v>1</v>
      </c>
      <c r="P1167" t="str">
        <f>+BARRAS[[#This Row],[Barra]]&amp;"_"&amp;BARRAS[[#This Row],[Nivel de tensión]]</f>
        <v>PANGUE_220</v>
      </c>
    </row>
    <row r="1168" spans="1:16">
      <c r="A1168" t="s">
        <v>996</v>
      </c>
      <c r="B1168">
        <v>13</v>
      </c>
      <c r="C1168">
        <v>196</v>
      </c>
      <c r="D1168" t="s">
        <v>4160</v>
      </c>
      <c r="E1168" t="s">
        <v>4161</v>
      </c>
      <c r="F1168" t="s">
        <v>4162</v>
      </c>
      <c r="G1168">
        <v>16301</v>
      </c>
      <c r="H1168" t="s">
        <v>3414</v>
      </c>
      <c r="I1168" t="s">
        <v>3391</v>
      </c>
      <c r="J1168" t="s">
        <v>3392</v>
      </c>
      <c r="K1168" t="s">
        <v>3304</v>
      </c>
      <c r="L1168" t="s">
        <v>6778</v>
      </c>
      <c r="M1168" t="s">
        <v>6779</v>
      </c>
      <c r="N1168" t="s">
        <v>6792</v>
      </c>
      <c r="O1168">
        <v>1</v>
      </c>
      <c r="P1168" t="str">
        <f>+BARRAS[[#This Row],[Barra]]&amp;"_"&amp;BARRAS[[#This Row],[Nivel de tensión]]</f>
        <v>PANGUILEMO_13</v>
      </c>
    </row>
    <row r="1169" spans="1:16">
      <c r="A1169" t="s">
        <v>996</v>
      </c>
      <c r="B1169">
        <v>66</v>
      </c>
      <c r="C1169">
        <v>295</v>
      </c>
      <c r="D1169" t="s">
        <v>4163</v>
      </c>
      <c r="E1169" t="s">
        <v>4164</v>
      </c>
      <c r="F1169" t="s">
        <v>4162</v>
      </c>
      <c r="G1169">
        <v>16301</v>
      </c>
      <c r="H1169" t="s">
        <v>3414</v>
      </c>
      <c r="I1169" t="s">
        <v>3391</v>
      </c>
      <c r="J1169" t="s">
        <v>3392</v>
      </c>
      <c r="K1169" t="s">
        <v>3304</v>
      </c>
      <c r="L1169" t="s">
        <v>6778</v>
      </c>
      <c r="M1169" t="s">
        <v>6779</v>
      </c>
      <c r="N1169" t="s">
        <v>6792</v>
      </c>
      <c r="O1169">
        <v>1</v>
      </c>
      <c r="P1169" t="str">
        <f>+BARRAS[[#This Row],[Barra]]&amp;"_"&amp;BARRAS[[#This Row],[Nivel de tensión]]</f>
        <v>PANGUILEMO_66</v>
      </c>
    </row>
    <row r="1170" spans="1:16">
      <c r="A1170" t="s">
        <v>999</v>
      </c>
      <c r="B1170">
        <v>23</v>
      </c>
      <c r="C1170">
        <v>438</v>
      </c>
      <c r="D1170" t="s">
        <v>4165</v>
      </c>
      <c r="E1170" t="s">
        <v>4166</v>
      </c>
      <c r="F1170" t="s">
        <v>4167</v>
      </c>
      <c r="G1170">
        <v>16301</v>
      </c>
      <c r="H1170" t="s">
        <v>3390</v>
      </c>
      <c r="I1170" t="s">
        <v>3391</v>
      </c>
      <c r="J1170" t="s">
        <v>3392</v>
      </c>
      <c r="K1170" t="s">
        <v>3305</v>
      </c>
      <c r="L1170" t="s">
        <v>6778</v>
      </c>
      <c r="M1170" t="s">
        <v>6779</v>
      </c>
      <c r="N1170" t="s">
        <v>6792</v>
      </c>
      <c r="O1170">
        <v>1</v>
      </c>
      <c r="P1170" t="str">
        <f>+BARRAS[[#This Row],[Barra]]&amp;"_"&amp;BARRAS[[#This Row],[Nivel de tensión]]</f>
        <v>PANGUIPULLI_23</v>
      </c>
    </row>
    <row r="1171" spans="1:16">
      <c r="A1171" t="s">
        <v>999</v>
      </c>
      <c r="B1171">
        <v>66</v>
      </c>
      <c r="C1171">
        <v>1</v>
      </c>
      <c r="D1171" t="s">
        <v>3397</v>
      </c>
      <c r="E1171" t="s">
        <v>4168</v>
      </c>
      <c r="F1171" t="s">
        <v>3420</v>
      </c>
      <c r="G1171">
        <v>16301</v>
      </c>
      <c r="H1171" t="s">
        <v>3390</v>
      </c>
      <c r="I1171" t="s">
        <v>3391</v>
      </c>
      <c r="J1171" t="s">
        <v>3392</v>
      </c>
      <c r="K1171" t="s">
        <v>3305</v>
      </c>
      <c r="L1171" t="s">
        <v>6778</v>
      </c>
      <c r="M1171" t="s">
        <v>6779</v>
      </c>
      <c r="N1171" t="s">
        <v>6792</v>
      </c>
      <c r="O1171">
        <v>1</v>
      </c>
      <c r="P1171" t="str">
        <f>+BARRAS[[#This Row],[Barra]]&amp;"_"&amp;BARRAS[[#This Row],[Nivel de tensión]]</f>
        <v>PANGUIPULLI_66</v>
      </c>
    </row>
    <row r="1172" spans="1:16">
      <c r="A1172" t="s">
        <v>1002</v>
      </c>
      <c r="B1172">
        <v>13</v>
      </c>
      <c r="C1172">
        <v>602</v>
      </c>
      <c r="D1172" t="s">
        <v>4169</v>
      </c>
      <c r="E1172" t="s">
        <v>4170</v>
      </c>
      <c r="F1172" t="s">
        <v>4171</v>
      </c>
      <c r="G1172">
        <v>16301</v>
      </c>
      <c r="H1172" t="s">
        <v>3414</v>
      </c>
      <c r="I1172" t="s">
        <v>3391</v>
      </c>
      <c r="J1172" t="s">
        <v>3392</v>
      </c>
      <c r="K1172" t="s">
        <v>3304</v>
      </c>
      <c r="L1172" t="s">
        <v>6778</v>
      </c>
      <c r="M1172" t="s">
        <v>6779</v>
      </c>
      <c r="N1172" t="s">
        <v>6792</v>
      </c>
      <c r="O1172">
        <v>1</v>
      </c>
      <c r="P1172" t="str">
        <f>+BARRAS[[#This Row],[Barra]]&amp;"_"&amp;BARRAS[[#This Row],[Nivel de tensión]]</f>
        <v>PANIAHUE_13</v>
      </c>
    </row>
    <row r="1173" spans="1:16">
      <c r="A1173" t="s">
        <v>1002</v>
      </c>
      <c r="B1173">
        <v>66</v>
      </c>
      <c r="C1173">
        <v>1</v>
      </c>
      <c r="D1173" t="s">
        <v>3397</v>
      </c>
      <c r="E1173" t="s">
        <v>4172</v>
      </c>
      <c r="F1173" t="s">
        <v>3420</v>
      </c>
      <c r="G1173">
        <v>16301</v>
      </c>
      <c r="H1173" t="s">
        <v>3414</v>
      </c>
      <c r="I1173" t="s">
        <v>3391</v>
      </c>
      <c r="J1173" t="s">
        <v>3392</v>
      </c>
      <c r="K1173" t="s">
        <v>3304</v>
      </c>
      <c r="L1173" t="s">
        <v>6778</v>
      </c>
      <c r="M1173" t="s">
        <v>6779</v>
      </c>
      <c r="N1173" t="s">
        <v>6792</v>
      </c>
      <c r="O1173">
        <v>1</v>
      </c>
      <c r="P1173" t="str">
        <f>+BARRAS[[#This Row],[Barra]]&amp;"_"&amp;BARRAS[[#This Row],[Nivel de tensión]]</f>
        <v>PANIAHUE_66</v>
      </c>
    </row>
    <row r="1174" spans="1:16">
      <c r="A1174" t="s">
        <v>1005</v>
      </c>
      <c r="B1174">
        <v>13</v>
      </c>
      <c r="C1174">
        <v>1087</v>
      </c>
      <c r="D1174" t="s">
        <v>4173</v>
      </c>
      <c r="E1174" t="s">
        <v>4174</v>
      </c>
      <c r="F1174" t="s">
        <v>4175</v>
      </c>
      <c r="G1174">
        <v>16301</v>
      </c>
      <c r="H1174" t="s">
        <v>3414</v>
      </c>
      <c r="I1174" t="s">
        <v>3391</v>
      </c>
      <c r="J1174" t="s">
        <v>3392</v>
      </c>
      <c r="K1174" t="s">
        <v>3304</v>
      </c>
      <c r="L1174" t="s">
        <v>6778</v>
      </c>
      <c r="M1174" t="s">
        <v>6779</v>
      </c>
      <c r="N1174" t="s">
        <v>6792</v>
      </c>
      <c r="O1174">
        <v>1</v>
      </c>
      <c r="P1174" t="str">
        <f>+BARRAS[[#This Row],[Barra]]&amp;"_"&amp;BARRAS[[#This Row],[Nivel de tensión]]</f>
        <v>PANIMAVIDA_13</v>
      </c>
    </row>
    <row r="1175" spans="1:16">
      <c r="A1175" t="s">
        <v>1005</v>
      </c>
      <c r="B1175">
        <v>66</v>
      </c>
      <c r="C1175">
        <v>1</v>
      </c>
      <c r="D1175" t="s">
        <v>3397</v>
      </c>
      <c r="E1175" t="s">
        <v>4176</v>
      </c>
      <c r="F1175" t="s">
        <v>3420</v>
      </c>
      <c r="G1175">
        <v>16301</v>
      </c>
      <c r="H1175" t="s">
        <v>3414</v>
      </c>
      <c r="I1175" t="s">
        <v>3391</v>
      </c>
      <c r="J1175" t="s">
        <v>3392</v>
      </c>
      <c r="K1175" t="s">
        <v>3304</v>
      </c>
      <c r="L1175" t="s">
        <v>6778</v>
      </c>
      <c r="M1175" t="s">
        <v>6779</v>
      </c>
      <c r="N1175" t="s">
        <v>6792</v>
      </c>
      <c r="O1175">
        <v>1</v>
      </c>
      <c r="P1175" t="str">
        <f>+BARRAS[[#This Row],[Barra]]&amp;"_"&amp;BARRAS[[#This Row],[Nivel de tensión]]</f>
        <v>PANIMAVIDA_66</v>
      </c>
    </row>
    <row r="1176" spans="1:16">
      <c r="A1176" t="s">
        <v>1008</v>
      </c>
      <c r="B1176">
        <v>13</v>
      </c>
      <c r="C1176">
        <v>1020</v>
      </c>
      <c r="D1176" t="s">
        <v>4177</v>
      </c>
      <c r="E1176" t="s">
        <v>4178</v>
      </c>
      <c r="F1176" t="s">
        <v>4179</v>
      </c>
      <c r="G1176">
        <v>16301</v>
      </c>
      <c r="H1176" t="s">
        <v>3418</v>
      </c>
      <c r="I1176" t="s">
        <v>3391</v>
      </c>
      <c r="J1176" t="s">
        <v>3392</v>
      </c>
      <c r="K1176" t="s">
        <v>3302</v>
      </c>
      <c r="L1176" t="s">
        <v>6778</v>
      </c>
      <c r="M1176" t="s">
        <v>6779</v>
      </c>
      <c r="N1176" t="s">
        <v>6792</v>
      </c>
      <c r="O1176">
        <v>1</v>
      </c>
      <c r="P1176" t="str">
        <f>+BARRAS[[#This Row],[Barra]]&amp;"_"&amp;BARRAS[[#This Row],[Nivel de tensión]]</f>
        <v>PANQUEHUE_13</v>
      </c>
    </row>
    <row r="1177" spans="1:16">
      <c r="A1177" t="s">
        <v>1008</v>
      </c>
      <c r="B1177">
        <v>44</v>
      </c>
      <c r="C1177">
        <v>1</v>
      </c>
      <c r="D1177" t="s">
        <v>3397</v>
      </c>
      <c r="E1177" t="s">
        <v>4180</v>
      </c>
      <c r="F1177" t="s">
        <v>3420</v>
      </c>
      <c r="G1177">
        <v>16301</v>
      </c>
      <c r="H1177" t="s">
        <v>3418</v>
      </c>
      <c r="I1177" t="s">
        <v>3391</v>
      </c>
      <c r="J1177" t="s">
        <v>3392</v>
      </c>
      <c r="K1177" t="s">
        <v>3302</v>
      </c>
      <c r="L1177" t="s">
        <v>6778</v>
      </c>
      <c r="M1177" t="s">
        <v>6779</v>
      </c>
      <c r="N1177" t="s">
        <v>6792</v>
      </c>
      <c r="O1177">
        <v>1</v>
      </c>
      <c r="P1177" t="str">
        <f>+BARRAS[[#This Row],[Barra]]&amp;"_"&amp;BARRAS[[#This Row],[Nivel de tensión]]</f>
        <v>PANQUEHUE_44</v>
      </c>
    </row>
    <row r="1178" spans="1:16">
      <c r="A1178" t="s">
        <v>4181</v>
      </c>
      <c r="B1178">
        <v>66</v>
      </c>
      <c r="C1178">
        <v>1</v>
      </c>
      <c r="D1178" t="s">
        <v>3397</v>
      </c>
      <c r="E1178" t="s">
        <v>4182</v>
      </c>
      <c r="F1178" t="s">
        <v>3420</v>
      </c>
      <c r="G1178">
        <v>16301</v>
      </c>
      <c r="H1178" t="s">
        <v>3400</v>
      </c>
      <c r="I1178" t="s">
        <v>3391</v>
      </c>
      <c r="J1178" t="s">
        <v>3392</v>
      </c>
      <c r="K1178" t="s">
        <v>3301</v>
      </c>
      <c r="L1178" t="s">
        <v>6778</v>
      </c>
      <c r="M1178" t="s">
        <v>6779</v>
      </c>
      <c r="N1178" t="s">
        <v>6792</v>
      </c>
      <c r="O1178">
        <v>1</v>
      </c>
      <c r="P1178" t="str">
        <f>+BARRAS[[#This Row],[Barra]]&amp;"_"&amp;BARRAS[[#This Row],[Nivel de tensión]]</f>
        <v>PAPOSO_66</v>
      </c>
    </row>
    <row r="1179" spans="1:16">
      <c r="A1179" t="s">
        <v>4181</v>
      </c>
      <c r="B1179">
        <v>220</v>
      </c>
      <c r="C1179">
        <v>511</v>
      </c>
      <c r="D1179" t="s">
        <v>4183</v>
      </c>
      <c r="E1179" t="s">
        <v>4184</v>
      </c>
      <c r="F1179" t="s">
        <v>3637</v>
      </c>
      <c r="G1179">
        <v>16301</v>
      </c>
      <c r="H1179" t="s">
        <v>3396</v>
      </c>
      <c r="I1179" t="s">
        <v>3391</v>
      </c>
      <c r="J1179" t="s">
        <v>3392</v>
      </c>
      <c r="K1179" t="s">
        <v>6315</v>
      </c>
      <c r="L1179" t="s">
        <v>6778</v>
      </c>
      <c r="M1179" t="s">
        <v>6779</v>
      </c>
      <c r="N1179" t="s">
        <v>6792</v>
      </c>
      <c r="O1179">
        <v>1</v>
      </c>
      <c r="P1179" t="str">
        <f>+BARRAS[[#This Row],[Barra]]&amp;"_"&amp;BARRAS[[#This Row],[Nivel de tensión]]</f>
        <v>PAPOSO_220</v>
      </c>
    </row>
    <row r="1180" spans="1:16">
      <c r="A1180" t="s">
        <v>6397</v>
      </c>
      <c r="B1180">
        <v>220</v>
      </c>
      <c r="C1180">
        <v>3282</v>
      </c>
      <c r="D1180" t="s">
        <v>3397</v>
      </c>
      <c r="E1180" t="s">
        <v>3419</v>
      </c>
      <c r="F1180" t="s">
        <v>6398</v>
      </c>
      <c r="G1180">
        <v>8202</v>
      </c>
      <c r="H1180" t="s">
        <v>3405</v>
      </c>
      <c r="I1180" t="s">
        <v>3391</v>
      </c>
      <c r="J1180" t="s">
        <v>6399</v>
      </c>
      <c r="K1180" t="s">
        <v>6315</v>
      </c>
      <c r="L1180" t="s">
        <v>6778</v>
      </c>
      <c r="M1180" t="s">
        <v>6779</v>
      </c>
      <c r="N1180" t="s">
        <v>6792</v>
      </c>
      <c r="O1180">
        <v>1</v>
      </c>
      <c r="P1180" t="str">
        <f>+BARRAS[[#This Row],[Barra]]&amp;"_"&amp;BARRAS[[#This Row],[Nivel de tensión]]</f>
        <v>PARAUCO_220</v>
      </c>
    </row>
    <row r="1181" spans="1:16">
      <c r="A1181" t="s">
        <v>4185</v>
      </c>
      <c r="B1181">
        <v>23</v>
      </c>
      <c r="C1181">
        <v>1</v>
      </c>
      <c r="D1181" t="s">
        <v>3397</v>
      </c>
      <c r="E1181" t="s">
        <v>4186</v>
      </c>
      <c r="F1181" t="s">
        <v>3484</v>
      </c>
      <c r="G1181">
        <v>16301</v>
      </c>
      <c r="H1181" t="s">
        <v>3390</v>
      </c>
      <c r="I1181" t="s">
        <v>3391</v>
      </c>
      <c r="J1181" t="s">
        <v>3392</v>
      </c>
      <c r="K1181" t="s">
        <v>3305</v>
      </c>
      <c r="L1181" t="s">
        <v>6778</v>
      </c>
      <c r="M1181" t="s">
        <v>6779</v>
      </c>
      <c r="N1181" t="s">
        <v>6792</v>
      </c>
      <c r="O1181">
        <v>1</v>
      </c>
      <c r="P1181" t="str">
        <f>+BARRAS[[#This Row],[Barra]]&amp;"_"&amp;BARRAS[[#This Row],[Nivel de tensión]]</f>
        <v>PARGUA_23</v>
      </c>
    </row>
    <row r="1182" spans="1:16">
      <c r="A1182" t="s">
        <v>4185</v>
      </c>
      <c r="B1182">
        <v>110</v>
      </c>
      <c r="C1182">
        <v>1</v>
      </c>
      <c r="D1182" t="s">
        <v>3397</v>
      </c>
      <c r="E1182" t="s">
        <v>4187</v>
      </c>
      <c r="F1182" t="s">
        <v>3420</v>
      </c>
      <c r="G1182">
        <v>16301</v>
      </c>
      <c r="H1182" t="s">
        <v>3390</v>
      </c>
      <c r="I1182" t="s">
        <v>3391</v>
      </c>
      <c r="J1182" t="s">
        <v>3392</v>
      </c>
      <c r="K1182" t="s">
        <v>3305</v>
      </c>
      <c r="L1182" t="s">
        <v>6778</v>
      </c>
      <c r="M1182" t="s">
        <v>6779</v>
      </c>
      <c r="N1182" t="s">
        <v>6792</v>
      </c>
      <c r="O1182">
        <v>1</v>
      </c>
      <c r="P1182" t="str">
        <f>+BARRAS[[#This Row],[Barra]]&amp;"_"&amp;BARRAS[[#This Row],[Nivel de tensión]]</f>
        <v>PARGUA_110</v>
      </c>
    </row>
    <row r="1183" spans="1:16">
      <c r="A1183" t="s">
        <v>4185</v>
      </c>
      <c r="B1183">
        <v>220</v>
      </c>
      <c r="C1183">
        <v>1</v>
      </c>
      <c r="D1183" t="s">
        <v>3397</v>
      </c>
      <c r="E1183" t="s">
        <v>4188</v>
      </c>
      <c r="F1183" t="s">
        <v>3420</v>
      </c>
      <c r="G1183">
        <v>16301</v>
      </c>
      <c r="H1183" t="s">
        <v>3390</v>
      </c>
      <c r="I1183" t="s">
        <v>3391</v>
      </c>
      <c r="J1183" t="s">
        <v>3392</v>
      </c>
      <c r="K1183" t="s">
        <v>3305</v>
      </c>
      <c r="L1183" t="s">
        <v>6778</v>
      </c>
      <c r="M1183" t="s">
        <v>6779</v>
      </c>
      <c r="N1183" t="s">
        <v>6792</v>
      </c>
      <c r="O1183">
        <v>1</v>
      </c>
      <c r="P1183" t="str">
        <f>+BARRAS[[#This Row],[Barra]]&amp;"_"&amp;BARRAS[[#This Row],[Nivel de tensión]]</f>
        <v>PARGUA_220</v>
      </c>
    </row>
    <row r="1184" spans="1:16">
      <c r="A1184" t="s">
        <v>1016</v>
      </c>
      <c r="B1184">
        <v>66</v>
      </c>
      <c r="C1184">
        <v>2235</v>
      </c>
      <c r="D1184" t="s">
        <v>4189</v>
      </c>
      <c r="E1184" t="s">
        <v>4190</v>
      </c>
      <c r="F1184" t="s">
        <v>4191</v>
      </c>
      <c r="G1184">
        <v>16301</v>
      </c>
      <c r="H1184" t="s">
        <v>3443</v>
      </c>
      <c r="I1184" t="s">
        <v>3391</v>
      </c>
      <c r="J1184" t="s">
        <v>3392</v>
      </c>
      <c r="K1184" t="s">
        <v>3300</v>
      </c>
      <c r="L1184" t="s">
        <v>6778</v>
      </c>
      <c r="M1184" t="s">
        <v>6779</v>
      </c>
      <c r="N1184" t="s">
        <v>6792</v>
      </c>
      <c r="O1184">
        <v>1</v>
      </c>
      <c r="P1184" t="str">
        <f>+BARRAS[[#This Row],[Barra]]&amp;"_"&amp;BARRAS[[#This Row],[Nivel de tensión]]</f>
        <v>PARINACOTA_66</v>
      </c>
    </row>
    <row r="1185" spans="1:16">
      <c r="A1185" t="s">
        <v>1016</v>
      </c>
      <c r="B1185">
        <v>220</v>
      </c>
      <c r="C1185">
        <v>2234</v>
      </c>
      <c r="D1185" t="s">
        <v>4192</v>
      </c>
      <c r="E1185" t="s">
        <v>4193</v>
      </c>
      <c r="F1185" t="s">
        <v>4191</v>
      </c>
      <c r="G1185">
        <v>16301</v>
      </c>
      <c r="H1185" t="s">
        <v>3443</v>
      </c>
      <c r="I1185" t="s">
        <v>3391</v>
      </c>
      <c r="J1185" t="s">
        <v>3392</v>
      </c>
      <c r="K1185" t="s">
        <v>3300</v>
      </c>
      <c r="L1185" t="s">
        <v>6778</v>
      </c>
      <c r="M1185" t="s">
        <v>6779</v>
      </c>
      <c r="N1185" t="s">
        <v>6792</v>
      </c>
      <c r="O1185">
        <v>1</v>
      </c>
      <c r="P1185" t="str">
        <f>+BARRAS[[#This Row],[Barra]]&amp;"_"&amp;BARRAS[[#This Row],[Nivel de tensión]]</f>
        <v>PARINACOTA_220</v>
      </c>
    </row>
    <row r="1186" spans="1:16">
      <c r="A1186" t="s">
        <v>4194</v>
      </c>
      <c r="B1186">
        <v>220</v>
      </c>
      <c r="C1186">
        <v>3795</v>
      </c>
      <c r="D1186" t="s">
        <v>3811</v>
      </c>
      <c r="E1186" t="s">
        <v>4195</v>
      </c>
      <c r="F1186" t="s">
        <v>4196</v>
      </c>
      <c r="G1186">
        <v>2101</v>
      </c>
      <c r="H1186" t="s">
        <v>3701</v>
      </c>
      <c r="I1186" t="s">
        <v>3391</v>
      </c>
      <c r="J1186" t="s">
        <v>4197</v>
      </c>
      <c r="K1186" t="s">
        <v>6315</v>
      </c>
      <c r="L1186" t="s">
        <v>6778</v>
      </c>
      <c r="M1186" t="s">
        <v>6779</v>
      </c>
      <c r="N1186" t="s">
        <v>6792</v>
      </c>
      <c r="O1186">
        <v>1</v>
      </c>
      <c r="P1186" t="str">
        <f>+BARRAS[[#This Row],[Barra]]&amp;"_"&amp;BARRAS[[#This Row],[Nivel de tensión]]</f>
        <v>PARINAS_220</v>
      </c>
    </row>
    <row r="1187" spans="1:16">
      <c r="A1187" t="s">
        <v>4194</v>
      </c>
      <c r="B1187">
        <v>500</v>
      </c>
      <c r="C1187">
        <v>3793</v>
      </c>
      <c r="D1187" t="s">
        <v>4198</v>
      </c>
      <c r="E1187" t="s">
        <v>4199</v>
      </c>
      <c r="F1187" t="s">
        <v>4196</v>
      </c>
      <c r="G1187">
        <v>2101</v>
      </c>
      <c r="H1187" t="s">
        <v>3701</v>
      </c>
      <c r="I1187" t="s">
        <v>3391</v>
      </c>
      <c r="J1187" t="s">
        <v>4197</v>
      </c>
      <c r="K1187" t="s">
        <v>6315</v>
      </c>
      <c r="L1187" t="s">
        <v>6778</v>
      </c>
      <c r="M1187" t="s">
        <v>6779</v>
      </c>
      <c r="N1187" t="s">
        <v>6792</v>
      </c>
      <c r="O1187">
        <v>1</v>
      </c>
      <c r="P1187" t="str">
        <f>+BARRAS[[#This Row],[Barra]]&amp;"_"&amp;BARRAS[[#This Row],[Nivel de tensión]]</f>
        <v>PARINAS_500</v>
      </c>
    </row>
    <row r="1188" spans="1:16">
      <c r="A1188" t="s">
        <v>1019</v>
      </c>
      <c r="B1188">
        <v>13</v>
      </c>
      <c r="C1188">
        <v>604</v>
      </c>
      <c r="D1188" t="s">
        <v>4200</v>
      </c>
      <c r="E1188" t="s">
        <v>4201</v>
      </c>
      <c r="F1188" t="s">
        <v>4202</v>
      </c>
      <c r="G1188">
        <v>16301</v>
      </c>
      <c r="H1188" t="s">
        <v>3414</v>
      </c>
      <c r="I1188" t="s">
        <v>3391</v>
      </c>
      <c r="J1188" t="s">
        <v>3392</v>
      </c>
      <c r="K1188" t="s">
        <v>3304</v>
      </c>
      <c r="L1188" t="s">
        <v>6778</v>
      </c>
      <c r="M1188" t="s">
        <v>6779</v>
      </c>
      <c r="N1188" t="s">
        <v>6792</v>
      </c>
      <c r="O1188">
        <v>1</v>
      </c>
      <c r="P1188" t="str">
        <f>+BARRAS[[#This Row],[Barra]]&amp;"_"&amp;BARRAS[[#This Row],[Nivel de tensión]]</f>
        <v>PARRAL_13</v>
      </c>
    </row>
    <row r="1189" spans="1:16">
      <c r="A1189" t="s">
        <v>1019</v>
      </c>
      <c r="B1189">
        <v>66</v>
      </c>
      <c r="C1189">
        <v>1</v>
      </c>
      <c r="D1189" t="s">
        <v>3397</v>
      </c>
      <c r="E1189" t="s">
        <v>4203</v>
      </c>
      <c r="F1189" t="s">
        <v>3420</v>
      </c>
      <c r="G1189">
        <v>16301</v>
      </c>
      <c r="H1189" t="s">
        <v>3414</v>
      </c>
      <c r="I1189" t="s">
        <v>3391</v>
      </c>
      <c r="J1189" t="s">
        <v>3392</v>
      </c>
      <c r="K1189" t="s">
        <v>3304</v>
      </c>
      <c r="L1189" t="s">
        <v>6778</v>
      </c>
      <c r="M1189" t="s">
        <v>6779</v>
      </c>
      <c r="N1189" t="s">
        <v>6792</v>
      </c>
      <c r="O1189">
        <v>1</v>
      </c>
      <c r="P1189" t="str">
        <f>+BARRAS[[#This Row],[Barra]]&amp;"_"&amp;BARRAS[[#This Row],[Nivel de tensión]]</f>
        <v>PARRAL_66</v>
      </c>
    </row>
    <row r="1190" spans="1:16">
      <c r="A1190" t="s">
        <v>1019</v>
      </c>
      <c r="B1190">
        <v>154</v>
      </c>
      <c r="C1190">
        <v>1</v>
      </c>
      <c r="D1190" t="s">
        <v>3397</v>
      </c>
      <c r="E1190" t="s">
        <v>3488</v>
      </c>
      <c r="F1190" t="s">
        <v>3420</v>
      </c>
      <c r="G1190">
        <v>16301</v>
      </c>
      <c r="H1190" t="s">
        <v>3414</v>
      </c>
      <c r="I1190" t="s">
        <v>3391</v>
      </c>
      <c r="J1190" t="s">
        <v>3392</v>
      </c>
      <c r="K1190" t="s">
        <v>3304</v>
      </c>
      <c r="L1190" t="s">
        <v>6778</v>
      </c>
      <c r="M1190" t="s">
        <v>6779</v>
      </c>
      <c r="N1190" t="s">
        <v>6792</v>
      </c>
      <c r="O1190">
        <v>1</v>
      </c>
      <c r="P1190" t="str">
        <f>+BARRAS[[#This Row],[Barra]]&amp;"_"&amp;BARRAS[[#This Row],[Nivel de tensión]]</f>
        <v>PARRAL_154</v>
      </c>
    </row>
    <row r="1191" spans="1:16">
      <c r="A1191" t="s">
        <v>1023</v>
      </c>
      <c r="B1191">
        <v>13</v>
      </c>
      <c r="C1191">
        <v>605</v>
      </c>
      <c r="D1191" t="s">
        <v>4204</v>
      </c>
      <c r="E1191" t="s">
        <v>4205</v>
      </c>
      <c r="F1191" t="s">
        <v>4206</v>
      </c>
      <c r="G1191">
        <v>16301</v>
      </c>
      <c r="H1191" t="s">
        <v>3414</v>
      </c>
      <c r="I1191" t="s">
        <v>3391</v>
      </c>
      <c r="J1191" t="s">
        <v>3392</v>
      </c>
      <c r="K1191" t="s">
        <v>3304</v>
      </c>
      <c r="L1191" t="s">
        <v>6778</v>
      </c>
      <c r="M1191" t="s">
        <v>6779</v>
      </c>
      <c r="N1191" t="s">
        <v>6792</v>
      </c>
      <c r="O1191">
        <v>1</v>
      </c>
      <c r="P1191" t="str">
        <f>+BARRAS[[#This Row],[Barra]]&amp;"_"&amp;BARRAS[[#This Row],[Nivel de tensión]]</f>
        <v>PARRONAL_13</v>
      </c>
    </row>
    <row r="1192" spans="1:16">
      <c r="A1192" t="s">
        <v>1023</v>
      </c>
      <c r="B1192">
        <v>66</v>
      </c>
      <c r="C1192">
        <v>1</v>
      </c>
      <c r="D1192" t="s">
        <v>3397</v>
      </c>
      <c r="E1192" t="s">
        <v>4207</v>
      </c>
      <c r="F1192" t="s">
        <v>3420</v>
      </c>
      <c r="G1192">
        <v>16301</v>
      </c>
      <c r="H1192" t="s">
        <v>3414</v>
      </c>
      <c r="I1192" t="s">
        <v>3391</v>
      </c>
      <c r="J1192" t="s">
        <v>3392</v>
      </c>
      <c r="K1192" t="s">
        <v>3304</v>
      </c>
      <c r="L1192" t="s">
        <v>6778</v>
      </c>
      <c r="M1192" t="s">
        <v>6779</v>
      </c>
      <c r="N1192" t="s">
        <v>6792</v>
      </c>
      <c r="O1192">
        <v>1</v>
      </c>
      <c r="P1192" t="str">
        <f>+BARRAS[[#This Row],[Barra]]&amp;"_"&amp;BARRAS[[#This Row],[Nivel de tensión]]</f>
        <v>PARRONAL_66</v>
      </c>
    </row>
    <row r="1193" spans="1:16">
      <c r="A1193" t="s">
        <v>4264</v>
      </c>
      <c r="B1193">
        <v>13</v>
      </c>
      <c r="C1193">
        <v>447</v>
      </c>
      <c r="D1193" t="s">
        <v>4265</v>
      </c>
      <c r="E1193" t="s">
        <v>4266</v>
      </c>
      <c r="F1193" t="s">
        <v>4267</v>
      </c>
      <c r="G1193">
        <v>16301</v>
      </c>
      <c r="H1193" t="s">
        <v>3390</v>
      </c>
      <c r="I1193" t="s">
        <v>3391</v>
      </c>
      <c r="J1193" t="s">
        <v>3392</v>
      </c>
      <c r="K1193" t="s">
        <v>3305</v>
      </c>
      <c r="L1193" t="s">
        <v>6778</v>
      </c>
      <c r="M1193" t="s">
        <v>6779</v>
      </c>
      <c r="N1193" t="s">
        <v>6792</v>
      </c>
      <c r="O1193">
        <v>1</v>
      </c>
      <c r="P1193" t="str">
        <f>+BARRAS[[#This Row],[Barra]]&amp;"_"&amp;BARRAS[[#This Row],[Nivel de tensión]]</f>
        <v>PIDPID_13</v>
      </c>
    </row>
    <row r="1194" spans="1:16">
      <c r="A1194" t="s">
        <v>4264</v>
      </c>
      <c r="B1194">
        <v>110</v>
      </c>
      <c r="C1194">
        <v>1</v>
      </c>
      <c r="D1194" t="s">
        <v>3397</v>
      </c>
      <c r="E1194" t="s">
        <v>4268</v>
      </c>
      <c r="F1194" t="s">
        <v>3420</v>
      </c>
      <c r="G1194">
        <v>16301</v>
      </c>
      <c r="H1194" t="s">
        <v>3390</v>
      </c>
      <c r="I1194" t="s">
        <v>3391</v>
      </c>
      <c r="J1194" t="s">
        <v>3392</v>
      </c>
      <c r="K1194" t="s">
        <v>3305</v>
      </c>
      <c r="L1194" t="s">
        <v>6778</v>
      </c>
      <c r="M1194" t="s">
        <v>6779</v>
      </c>
      <c r="N1194" t="s">
        <v>6792</v>
      </c>
      <c r="O1194">
        <v>1</v>
      </c>
      <c r="P1194" t="str">
        <f>+BARRAS[[#This Row],[Barra]]&amp;"_"&amp;BARRAS[[#This Row],[Nivel de tensión]]</f>
        <v>PIDPID_110</v>
      </c>
    </row>
    <row r="1195" spans="1:16">
      <c r="A1195" t="s">
        <v>1060</v>
      </c>
      <c r="B1195">
        <v>13</v>
      </c>
      <c r="C1195">
        <v>200</v>
      </c>
      <c r="D1195" t="s">
        <v>4269</v>
      </c>
      <c r="E1195" t="s">
        <v>4270</v>
      </c>
      <c r="F1195" t="s">
        <v>4271</v>
      </c>
      <c r="G1195">
        <v>16301</v>
      </c>
      <c r="H1195" t="s">
        <v>3414</v>
      </c>
      <c r="I1195" t="s">
        <v>3391</v>
      </c>
      <c r="J1195" t="s">
        <v>3392</v>
      </c>
      <c r="K1195" t="s">
        <v>3304</v>
      </c>
      <c r="L1195" t="s">
        <v>6778</v>
      </c>
      <c r="M1195" t="s">
        <v>6779</v>
      </c>
      <c r="N1195" t="s">
        <v>6792</v>
      </c>
      <c r="O1195">
        <v>1</v>
      </c>
      <c r="P1195" t="str">
        <f>+BARRAS[[#This Row],[Barra]]&amp;"_"&amp;BARRAS[[#This Row],[Nivel de tensión]]</f>
        <v>PIDUCO_13</v>
      </c>
    </row>
    <row r="1196" spans="1:16">
      <c r="A1196" t="s">
        <v>1060</v>
      </c>
      <c r="B1196">
        <v>66</v>
      </c>
      <c r="C1196">
        <v>1</v>
      </c>
      <c r="D1196" t="s">
        <v>3397</v>
      </c>
      <c r="E1196" t="s">
        <v>4272</v>
      </c>
      <c r="F1196" t="s">
        <v>3420</v>
      </c>
      <c r="G1196">
        <v>16301</v>
      </c>
      <c r="H1196" t="s">
        <v>3414</v>
      </c>
      <c r="I1196" t="s">
        <v>3391</v>
      </c>
      <c r="J1196" t="s">
        <v>3392</v>
      </c>
      <c r="K1196" t="s">
        <v>3304</v>
      </c>
      <c r="L1196" t="s">
        <v>6778</v>
      </c>
      <c r="M1196" t="s">
        <v>6779</v>
      </c>
      <c r="N1196" t="s">
        <v>6792</v>
      </c>
      <c r="O1196">
        <v>1</v>
      </c>
      <c r="P1196" t="str">
        <f>+BARRAS[[#This Row],[Barra]]&amp;"_"&amp;BARRAS[[#This Row],[Nivel de tensión]]</f>
        <v>PIDUCO_66</v>
      </c>
    </row>
    <row r="1197" spans="1:16">
      <c r="A1197" t="s">
        <v>4273</v>
      </c>
      <c r="B1197">
        <v>66</v>
      </c>
      <c r="C1197">
        <v>1</v>
      </c>
      <c r="D1197" t="s">
        <v>3397</v>
      </c>
      <c r="E1197" t="s">
        <v>4274</v>
      </c>
      <c r="F1197" t="s">
        <v>3420</v>
      </c>
      <c r="G1197">
        <v>16301</v>
      </c>
      <c r="H1197" t="s">
        <v>3390</v>
      </c>
      <c r="I1197" t="s">
        <v>3391</v>
      </c>
      <c r="J1197" t="s">
        <v>3392</v>
      </c>
      <c r="K1197" t="s">
        <v>3305</v>
      </c>
      <c r="L1197" t="s">
        <v>6778</v>
      </c>
      <c r="M1197" t="s">
        <v>6779</v>
      </c>
      <c r="N1197" t="s">
        <v>6792</v>
      </c>
      <c r="O1197">
        <v>1</v>
      </c>
      <c r="P1197" t="str">
        <f>+BARRAS[[#This Row],[Barra]]&amp;"_"&amp;BARRAS[[#This Row],[Nivel de tensión]]</f>
        <v>PILAUCO_66</v>
      </c>
    </row>
    <row r="1198" spans="1:16">
      <c r="A1198" t="s">
        <v>4275</v>
      </c>
      <c r="B1198">
        <v>13</v>
      </c>
      <c r="C1198">
        <v>300</v>
      </c>
      <c r="D1198" t="s">
        <v>4276</v>
      </c>
      <c r="E1198" t="s">
        <v>4277</v>
      </c>
      <c r="F1198" t="s">
        <v>4278</v>
      </c>
      <c r="G1198">
        <v>16301</v>
      </c>
      <c r="H1198" t="s">
        <v>3414</v>
      </c>
      <c r="I1198" t="s">
        <v>3391</v>
      </c>
      <c r="J1198" t="s">
        <v>3392</v>
      </c>
      <c r="K1198" t="s">
        <v>3304</v>
      </c>
      <c r="L1198" t="s">
        <v>6778</v>
      </c>
      <c r="M1198" t="s">
        <v>6779</v>
      </c>
      <c r="N1198" t="s">
        <v>6792</v>
      </c>
      <c r="O1198">
        <v>1</v>
      </c>
      <c r="P1198" t="str">
        <f>+BARRAS[[#This Row],[Barra]]&amp;"_"&amp;BARRAS[[#This Row],[Nivel de tensión]]</f>
        <v>PILLANLELBUN_13</v>
      </c>
    </row>
    <row r="1199" spans="1:16">
      <c r="A1199" t="s">
        <v>4275</v>
      </c>
      <c r="B1199">
        <v>66</v>
      </c>
      <c r="C1199">
        <v>1</v>
      </c>
      <c r="D1199" t="s">
        <v>3397</v>
      </c>
      <c r="E1199" t="s">
        <v>4279</v>
      </c>
      <c r="F1199" t="s">
        <v>3420</v>
      </c>
      <c r="G1199">
        <v>16301</v>
      </c>
      <c r="H1199" t="s">
        <v>3414</v>
      </c>
      <c r="I1199" t="s">
        <v>3391</v>
      </c>
      <c r="J1199" t="s">
        <v>3392</v>
      </c>
      <c r="K1199" t="s">
        <v>3304</v>
      </c>
      <c r="L1199" t="s">
        <v>6778</v>
      </c>
      <c r="M1199" t="s">
        <v>6779</v>
      </c>
      <c r="N1199" t="s">
        <v>6792</v>
      </c>
      <c r="O1199">
        <v>1</v>
      </c>
      <c r="P1199" t="str">
        <f>+BARRAS[[#This Row],[Barra]]&amp;"_"&amp;BARRAS[[#This Row],[Nivel de tensión]]</f>
        <v>PILLANLELBUN_66</v>
      </c>
    </row>
    <row r="1200" spans="1:16">
      <c r="A1200" t="s">
        <v>1066</v>
      </c>
      <c r="B1200">
        <v>13</v>
      </c>
      <c r="C1200">
        <v>48</v>
      </c>
      <c r="D1200" t="s">
        <v>4280</v>
      </c>
      <c r="E1200" t="s">
        <v>4281</v>
      </c>
      <c r="F1200" t="s">
        <v>4282</v>
      </c>
      <c r="G1200">
        <v>16301</v>
      </c>
      <c r="H1200" t="s">
        <v>3390</v>
      </c>
      <c r="I1200" t="s">
        <v>3391</v>
      </c>
      <c r="J1200" t="s">
        <v>3392</v>
      </c>
      <c r="K1200" t="s">
        <v>3305</v>
      </c>
      <c r="L1200" t="s">
        <v>6778</v>
      </c>
      <c r="M1200" t="s">
        <v>6779</v>
      </c>
      <c r="N1200" t="s">
        <v>6792</v>
      </c>
      <c r="O1200">
        <v>1</v>
      </c>
      <c r="P1200" t="str">
        <f>+BARRAS[[#This Row],[Barra]]&amp;"_"&amp;BARRAS[[#This Row],[Nivel de tensión]]</f>
        <v>PILMAIQUEN_13</v>
      </c>
    </row>
    <row r="1201" spans="1:16">
      <c r="A1201" t="s">
        <v>1066</v>
      </c>
      <c r="B1201">
        <v>66</v>
      </c>
      <c r="C1201">
        <v>1</v>
      </c>
      <c r="D1201" t="s">
        <v>3397</v>
      </c>
      <c r="E1201" t="s">
        <v>4283</v>
      </c>
      <c r="F1201" t="s">
        <v>3420</v>
      </c>
      <c r="G1201">
        <v>16301</v>
      </c>
      <c r="H1201" t="s">
        <v>3390</v>
      </c>
      <c r="I1201" t="s">
        <v>3391</v>
      </c>
      <c r="J1201" t="s">
        <v>3392</v>
      </c>
      <c r="K1201" t="s">
        <v>3305</v>
      </c>
      <c r="L1201" t="s">
        <v>6778</v>
      </c>
      <c r="M1201" t="s">
        <v>6779</v>
      </c>
      <c r="N1201" t="s">
        <v>6792</v>
      </c>
      <c r="O1201">
        <v>1</v>
      </c>
      <c r="P1201" t="str">
        <f>+BARRAS[[#This Row],[Barra]]&amp;"_"&amp;BARRAS[[#This Row],[Nivel de tensión]]</f>
        <v>PILMAIQUEN_66</v>
      </c>
    </row>
    <row r="1202" spans="1:16">
      <c r="A1202" t="s">
        <v>4284</v>
      </c>
      <c r="B1202">
        <v>13</v>
      </c>
      <c r="C1202">
        <v>1081</v>
      </c>
      <c r="D1202" t="s">
        <v>4285</v>
      </c>
      <c r="E1202" t="s">
        <v>4286</v>
      </c>
      <c r="F1202" t="s">
        <v>4287</v>
      </c>
      <c r="G1202">
        <v>16301</v>
      </c>
      <c r="H1202" t="s">
        <v>3418</v>
      </c>
      <c r="I1202" t="s">
        <v>3391</v>
      </c>
      <c r="J1202" t="s">
        <v>3392</v>
      </c>
      <c r="K1202" t="s">
        <v>3302</v>
      </c>
      <c r="L1202" t="s">
        <v>6778</v>
      </c>
      <c r="M1202" t="s">
        <v>6779</v>
      </c>
      <c r="N1202" t="s">
        <v>6792</v>
      </c>
      <c r="O1202">
        <v>1</v>
      </c>
      <c r="P1202" t="str">
        <f>+BARRAS[[#This Row],[Barra]]&amp;"_"&amp;BARRAS[[#This Row],[Nivel de tensión]]</f>
        <v>PINATAS_13</v>
      </c>
    </row>
    <row r="1203" spans="1:16">
      <c r="A1203" t="s">
        <v>4284</v>
      </c>
      <c r="B1203">
        <v>66</v>
      </c>
      <c r="C1203">
        <v>1</v>
      </c>
      <c r="D1203" t="s">
        <v>3397</v>
      </c>
      <c r="E1203" t="s">
        <v>4288</v>
      </c>
      <c r="F1203" t="s">
        <v>3420</v>
      </c>
      <c r="G1203">
        <v>16301</v>
      </c>
      <c r="H1203" t="s">
        <v>3418</v>
      </c>
      <c r="I1203" t="s">
        <v>3391</v>
      </c>
      <c r="J1203" t="s">
        <v>3392</v>
      </c>
      <c r="K1203" t="s">
        <v>3302</v>
      </c>
      <c r="L1203" t="s">
        <v>6778</v>
      </c>
      <c r="M1203" t="s">
        <v>6779</v>
      </c>
      <c r="N1203" t="s">
        <v>6792</v>
      </c>
      <c r="O1203">
        <v>1</v>
      </c>
      <c r="P1203" t="str">
        <f>+BARRAS[[#This Row],[Barra]]&amp;"_"&amp;BARRAS[[#This Row],[Nivel de tensión]]</f>
        <v>PINATAS_66</v>
      </c>
    </row>
    <row r="1204" spans="1:16">
      <c r="A1204" t="s">
        <v>1071</v>
      </c>
      <c r="B1204">
        <v>13</v>
      </c>
      <c r="C1204">
        <v>208</v>
      </c>
      <c r="D1204" t="s">
        <v>4289</v>
      </c>
      <c r="E1204" t="s">
        <v>4290</v>
      </c>
      <c r="F1204" t="s">
        <v>4291</v>
      </c>
      <c r="G1204">
        <v>16301</v>
      </c>
      <c r="H1204" t="s">
        <v>3414</v>
      </c>
      <c r="I1204" t="s">
        <v>3391</v>
      </c>
      <c r="J1204" t="s">
        <v>3392</v>
      </c>
      <c r="K1204" t="s">
        <v>3304</v>
      </c>
      <c r="L1204" t="s">
        <v>6778</v>
      </c>
      <c r="M1204" t="s">
        <v>6779</v>
      </c>
      <c r="N1204" t="s">
        <v>6792</v>
      </c>
      <c r="O1204">
        <v>1</v>
      </c>
      <c r="P1204" t="str">
        <f>+BARRAS[[#This Row],[Barra]]&amp;"_"&amp;BARRAS[[#This Row],[Nivel de tensión]]</f>
        <v>PIRQUE_13</v>
      </c>
    </row>
    <row r="1205" spans="1:16">
      <c r="A1205" t="s">
        <v>1071</v>
      </c>
      <c r="B1205">
        <v>110</v>
      </c>
      <c r="C1205">
        <v>1</v>
      </c>
      <c r="D1205" t="s">
        <v>3397</v>
      </c>
      <c r="E1205" t="s">
        <v>4292</v>
      </c>
      <c r="F1205" t="s">
        <v>3420</v>
      </c>
      <c r="G1205">
        <v>16301</v>
      </c>
      <c r="H1205" t="s">
        <v>3396</v>
      </c>
      <c r="I1205" t="s">
        <v>3391</v>
      </c>
      <c r="J1205" t="s">
        <v>3392</v>
      </c>
      <c r="K1205" t="s">
        <v>6315</v>
      </c>
      <c r="L1205" t="s">
        <v>6778</v>
      </c>
      <c r="M1205" t="s">
        <v>6779</v>
      </c>
      <c r="N1205" t="s">
        <v>6792</v>
      </c>
      <c r="O1205">
        <v>1</v>
      </c>
      <c r="P1205" t="str">
        <f>+BARRAS[[#This Row],[Barra]]&amp;"_"&amp;BARRAS[[#This Row],[Nivel de tensión]]</f>
        <v>PIRQUE_110</v>
      </c>
    </row>
    <row r="1206" spans="1:16">
      <c r="A1206" t="s">
        <v>1074</v>
      </c>
      <c r="B1206">
        <v>13</v>
      </c>
      <c r="C1206">
        <v>202</v>
      </c>
      <c r="D1206" t="s">
        <v>4293</v>
      </c>
      <c r="E1206" t="s">
        <v>4294</v>
      </c>
      <c r="F1206" t="s">
        <v>4295</v>
      </c>
      <c r="G1206">
        <v>16301</v>
      </c>
      <c r="H1206" t="s">
        <v>3414</v>
      </c>
      <c r="I1206" t="s">
        <v>3391</v>
      </c>
      <c r="J1206" t="s">
        <v>3392</v>
      </c>
      <c r="K1206" t="s">
        <v>3304</v>
      </c>
      <c r="L1206" t="s">
        <v>6778</v>
      </c>
      <c r="M1206" t="s">
        <v>6779</v>
      </c>
      <c r="N1206" t="s">
        <v>6792</v>
      </c>
      <c r="O1206">
        <v>1</v>
      </c>
      <c r="P1206" t="str">
        <f>+BARRAS[[#This Row],[Barra]]&amp;"_"&amp;BARRAS[[#This Row],[Nivel de tensión]]</f>
        <v>PITRUFQUEN_13</v>
      </c>
    </row>
    <row r="1207" spans="1:16">
      <c r="A1207" t="s">
        <v>1074</v>
      </c>
      <c r="B1207">
        <v>66</v>
      </c>
      <c r="C1207">
        <v>1</v>
      </c>
      <c r="D1207" t="s">
        <v>3397</v>
      </c>
      <c r="E1207" t="s">
        <v>4296</v>
      </c>
      <c r="F1207" t="s">
        <v>3420</v>
      </c>
      <c r="G1207">
        <v>16301</v>
      </c>
      <c r="H1207" t="s">
        <v>3414</v>
      </c>
      <c r="I1207" t="s">
        <v>3391</v>
      </c>
      <c r="J1207" t="s">
        <v>3392</v>
      </c>
      <c r="K1207" t="s">
        <v>3304</v>
      </c>
      <c r="L1207" t="s">
        <v>6778</v>
      </c>
      <c r="M1207" t="s">
        <v>6779</v>
      </c>
      <c r="N1207" t="s">
        <v>6792</v>
      </c>
      <c r="O1207">
        <v>1</v>
      </c>
      <c r="P1207" t="str">
        <f>+BARRAS[[#This Row],[Barra]]&amp;"_"&amp;BARRAS[[#This Row],[Nivel de tensión]]</f>
        <v>PITRUFQUEN_66</v>
      </c>
    </row>
    <row r="1208" spans="1:16">
      <c r="A1208" t="s">
        <v>1077</v>
      </c>
      <c r="B1208">
        <v>13</v>
      </c>
      <c r="C1208">
        <v>1012</v>
      </c>
      <c r="D1208" t="s">
        <v>4297</v>
      </c>
      <c r="E1208" t="s">
        <v>4298</v>
      </c>
      <c r="F1208" t="s">
        <v>4299</v>
      </c>
      <c r="G1208">
        <v>16301</v>
      </c>
      <c r="H1208" t="s">
        <v>3418</v>
      </c>
      <c r="I1208" t="s">
        <v>3391</v>
      </c>
      <c r="J1208" t="s">
        <v>3392</v>
      </c>
      <c r="K1208" t="s">
        <v>3302</v>
      </c>
      <c r="L1208" t="s">
        <v>6778</v>
      </c>
      <c r="M1208" t="s">
        <v>6779</v>
      </c>
      <c r="N1208" t="s">
        <v>6792</v>
      </c>
      <c r="O1208">
        <v>1</v>
      </c>
      <c r="P1208" t="str">
        <f>+BARRAS[[#This Row],[Barra]]&amp;"_"&amp;BARRAS[[#This Row],[Nivel de tensión]]</f>
        <v>PLACERES_13</v>
      </c>
    </row>
    <row r="1209" spans="1:16">
      <c r="A1209" t="s">
        <v>1077</v>
      </c>
      <c r="B1209">
        <v>110</v>
      </c>
      <c r="C1209">
        <v>1</v>
      </c>
      <c r="D1209" t="s">
        <v>3397</v>
      </c>
      <c r="E1209" t="s">
        <v>4300</v>
      </c>
      <c r="F1209" t="s">
        <v>3420</v>
      </c>
      <c r="G1209">
        <v>16301</v>
      </c>
      <c r="H1209" t="s">
        <v>3418</v>
      </c>
      <c r="I1209" t="s">
        <v>3391</v>
      </c>
      <c r="J1209" t="s">
        <v>3392</v>
      </c>
      <c r="K1209" t="s">
        <v>3302</v>
      </c>
      <c r="L1209" t="s">
        <v>6778</v>
      </c>
      <c r="M1209" t="s">
        <v>6779</v>
      </c>
      <c r="N1209" t="s">
        <v>6792</v>
      </c>
      <c r="O1209">
        <v>1</v>
      </c>
      <c r="P1209" t="str">
        <f>+BARRAS[[#This Row],[Barra]]&amp;"_"&amp;BARRAS[[#This Row],[Nivel de tensión]]</f>
        <v>PLACERES_110</v>
      </c>
    </row>
    <row r="1210" spans="1:16">
      <c r="A1210" t="s">
        <v>4301</v>
      </c>
      <c r="B1210">
        <v>13</v>
      </c>
      <c r="C1210">
        <v>3162</v>
      </c>
      <c r="D1210" t="s">
        <v>4302</v>
      </c>
      <c r="E1210" t="s">
        <v>4303</v>
      </c>
      <c r="F1210" t="s">
        <v>4304</v>
      </c>
      <c r="G1210">
        <v>16301</v>
      </c>
      <c r="H1210" t="s">
        <v>3418</v>
      </c>
      <c r="I1210" t="s">
        <v>3391</v>
      </c>
      <c r="J1210" t="s">
        <v>3392</v>
      </c>
      <c r="K1210" t="s">
        <v>3302</v>
      </c>
      <c r="L1210" t="s">
        <v>6778</v>
      </c>
      <c r="M1210" t="s">
        <v>6779</v>
      </c>
      <c r="N1210" t="s">
        <v>6792</v>
      </c>
      <c r="O1210">
        <v>1</v>
      </c>
      <c r="P1210" t="str">
        <f>+BARRAS[[#This Row],[Barra]]&amp;"_"&amp;BARRAS[[#This Row],[Nivel de tensión]]</f>
        <v>PLACILLA_13</v>
      </c>
    </row>
    <row r="1211" spans="1:16">
      <c r="A1211" t="s">
        <v>4301</v>
      </c>
      <c r="B1211">
        <v>66</v>
      </c>
      <c r="C1211">
        <v>1</v>
      </c>
      <c r="D1211" t="s">
        <v>3397</v>
      </c>
      <c r="E1211" t="s">
        <v>4305</v>
      </c>
      <c r="F1211" t="s">
        <v>3420</v>
      </c>
      <c r="G1211">
        <v>16301</v>
      </c>
      <c r="H1211" t="s">
        <v>3414</v>
      </c>
      <c r="I1211" t="s">
        <v>3391</v>
      </c>
      <c r="J1211" t="s">
        <v>3392</v>
      </c>
      <c r="K1211" t="s">
        <v>3304</v>
      </c>
      <c r="L1211" t="s">
        <v>6778</v>
      </c>
      <c r="M1211" t="s">
        <v>6779</v>
      </c>
      <c r="N1211" t="s">
        <v>6792</v>
      </c>
      <c r="O1211">
        <v>1</v>
      </c>
      <c r="P1211" t="str">
        <f>+BARRAS[[#This Row],[Barra]]&amp;"_"&amp;BARRAS[[#This Row],[Nivel de tensión]]</f>
        <v>PLACILLA_66</v>
      </c>
    </row>
    <row r="1212" spans="1:16">
      <c r="A1212" t="s">
        <v>4301</v>
      </c>
      <c r="B1212">
        <v>110</v>
      </c>
      <c r="C1212">
        <v>1</v>
      </c>
      <c r="D1212" t="s">
        <v>3397</v>
      </c>
      <c r="E1212" t="s">
        <v>4306</v>
      </c>
      <c r="F1212" t="s">
        <v>3420</v>
      </c>
      <c r="G1212">
        <v>16301</v>
      </c>
      <c r="H1212" t="s">
        <v>3418</v>
      </c>
      <c r="I1212" t="s">
        <v>3391</v>
      </c>
      <c r="J1212" t="s">
        <v>3392</v>
      </c>
      <c r="K1212" t="s">
        <v>3302</v>
      </c>
      <c r="L1212" t="s">
        <v>6778</v>
      </c>
      <c r="M1212" t="s">
        <v>6779</v>
      </c>
      <c r="N1212" t="s">
        <v>6792</v>
      </c>
      <c r="O1212">
        <v>1</v>
      </c>
      <c r="P1212" t="str">
        <f>+BARRAS[[#This Row],[Barra]]&amp;"_"&amp;BARRAS[[#This Row],[Nivel de tensión]]</f>
        <v>PLACILLA_110</v>
      </c>
    </row>
    <row r="1213" spans="1:16">
      <c r="A1213" t="s">
        <v>1083</v>
      </c>
      <c r="B1213">
        <v>13</v>
      </c>
      <c r="C1213">
        <v>607</v>
      </c>
      <c r="D1213" t="s">
        <v>4307</v>
      </c>
      <c r="E1213" t="s">
        <v>4308</v>
      </c>
      <c r="F1213" t="s">
        <v>4309</v>
      </c>
      <c r="G1213">
        <v>16301</v>
      </c>
      <c r="H1213" t="s">
        <v>3414</v>
      </c>
      <c r="I1213" t="s">
        <v>3391</v>
      </c>
      <c r="J1213" t="s">
        <v>3392</v>
      </c>
      <c r="K1213" t="s">
        <v>3304</v>
      </c>
      <c r="L1213" t="s">
        <v>6778</v>
      </c>
      <c r="M1213" t="s">
        <v>6779</v>
      </c>
      <c r="N1213" t="s">
        <v>6792</v>
      </c>
      <c r="O1213">
        <v>1</v>
      </c>
      <c r="P1213" t="str">
        <f>+BARRAS[[#This Row],[Barra]]&amp;"_"&amp;BARRAS[[#This Row],[Nivel de tensión]]</f>
        <v>PLACILLA_S_13</v>
      </c>
    </row>
    <row r="1214" spans="1:16">
      <c r="A1214" t="s">
        <v>1085</v>
      </c>
      <c r="B1214">
        <v>13</v>
      </c>
      <c r="C1214">
        <v>2236</v>
      </c>
      <c r="D1214" t="s">
        <v>4310</v>
      </c>
      <c r="E1214" t="s">
        <v>4311</v>
      </c>
      <c r="F1214" t="s">
        <v>4312</v>
      </c>
      <c r="G1214">
        <v>16301</v>
      </c>
      <c r="H1214" t="s">
        <v>3400</v>
      </c>
      <c r="I1214" t="s">
        <v>3391</v>
      </c>
      <c r="J1214" t="s">
        <v>3392</v>
      </c>
      <c r="K1214" t="s">
        <v>3301</v>
      </c>
      <c r="L1214" t="s">
        <v>6778</v>
      </c>
      <c r="M1214" t="s">
        <v>6779</v>
      </c>
      <c r="N1214" t="s">
        <v>6792</v>
      </c>
      <c r="O1214">
        <v>1</v>
      </c>
      <c r="P1214" t="str">
        <f>+BARRAS[[#This Row],[Barra]]&amp;"_"&amp;BARRAS[[#This Row],[Nivel de tensión]]</f>
        <v>PLANTAS_13</v>
      </c>
    </row>
    <row r="1215" spans="1:16">
      <c r="A1215" t="s">
        <v>1085</v>
      </c>
      <c r="B1215">
        <v>110</v>
      </c>
      <c r="C1215">
        <v>1</v>
      </c>
      <c r="D1215" t="s">
        <v>3397</v>
      </c>
      <c r="E1215" t="s">
        <v>4313</v>
      </c>
      <c r="F1215" t="s">
        <v>3420</v>
      </c>
      <c r="G1215">
        <v>16301</v>
      </c>
      <c r="H1215" t="s">
        <v>3400</v>
      </c>
      <c r="I1215" t="s">
        <v>3391</v>
      </c>
      <c r="J1215" t="s">
        <v>3392</v>
      </c>
      <c r="K1215" t="s">
        <v>3301</v>
      </c>
      <c r="L1215" t="s">
        <v>6778</v>
      </c>
      <c r="M1215" t="s">
        <v>6779</v>
      </c>
      <c r="N1215" t="s">
        <v>6792</v>
      </c>
      <c r="O1215">
        <v>1</v>
      </c>
      <c r="P1215" t="str">
        <f>+BARRAS[[#This Row],[Barra]]&amp;"_"&amp;BARRAS[[#This Row],[Nivel de tensión]]</f>
        <v>PLANTAS_110</v>
      </c>
    </row>
    <row r="1216" spans="1:16">
      <c r="A1216" t="s">
        <v>4314</v>
      </c>
      <c r="B1216">
        <v>13</v>
      </c>
      <c r="C1216">
        <v>194</v>
      </c>
      <c r="D1216" t="s">
        <v>4315</v>
      </c>
      <c r="E1216" t="s">
        <v>4316</v>
      </c>
      <c r="F1216" t="s">
        <v>4317</v>
      </c>
      <c r="G1216">
        <v>16301</v>
      </c>
      <c r="H1216" t="s">
        <v>3414</v>
      </c>
      <c r="I1216" t="s">
        <v>3391</v>
      </c>
      <c r="J1216" t="s">
        <v>3392</v>
      </c>
      <c r="K1216" t="s">
        <v>3304</v>
      </c>
      <c r="L1216" t="s">
        <v>6778</v>
      </c>
      <c r="M1216" t="s">
        <v>6779</v>
      </c>
      <c r="N1216" t="s">
        <v>6792</v>
      </c>
      <c r="O1216">
        <v>1</v>
      </c>
      <c r="P1216" t="str">
        <f>+BARRAS[[#This Row],[Barra]]&amp;"_"&amp;BARRAS[[#This Row],[Nivel de tensión]]</f>
        <v>PLASCASAS_13</v>
      </c>
    </row>
    <row r="1217" spans="1:16">
      <c r="A1217" t="s">
        <v>4314</v>
      </c>
      <c r="B1217">
        <v>66</v>
      </c>
      <c r="C1217">
        <v>1</v>
      </c>
      <c r="D1217" t="s">
        <v>3397</v>
      </c>
      <c r="E1217" t="s">
        <v>4318</v>
      </c>
      <c r="F1217" t="s">
        <v>3420</v>
      </c>
      <c r="G1217">
        <v>16301</v>
      </c>
      <c r="H1217" t="s">
        <v>3414</v>
      </c>
      <c r="I1217" t="s">
        <v>3391</v>
      </c>
      <c r="J1217" t="s">
        <v>3392</v>
      </c>
      <c r="K1217" t="s">
        <v>3304</v>
      </c>
      <c r="L1217" t="s">
        <v>6778</v>
      </c>
      <c r="M1217" t="s">
        <v>6779</v>
      </c>
      <c r="N1217" t="s">
        <v>6792</v>
      </c>
      <c r="O1217">
        <v>1</v>
      </c>
      <c r="P1217" t="str">
        <f>+BARRAS[[#This Row],[Barra]]&amp;"_"&amp;BARRAS[[#This Row],[Nivel de tensión]]</f>
        <v>PLASCASAS_66</v>
      </c>
    </row>
    <row r="1218" spans="1:16">
      <c r="A1218" t="s">
        <v>1090</v>
      </c>
      <c r="B1218">
        <v>23</v>
      </c>
      <c r="C1218">
        <v>1241</v>
      </c>
      <c r="D1218" t="s">
        <v>3490</v>
      </c>
      <c r="E1218" t="s">
        <v>3491</v>
      </c>
      <c r="F1218" t="s">
        <v>3492</v>
      </c>
      <c r="G1218">
        <v>16301</v>
      </c>
      <c r="H1218" t="s">
        <v>3469</v>
      </c>
      <c r="I1218" t="s">
        <v>3391</v>
      </c>
      <c r="J1218" t="s">
        <v>3392</v>
      </c>
      <c r="K1218" t="s">
        <v>3303</v>
      </c>
      <c r="L1218" t="s">
        <v>6778</v>
      </c>
      <c r="M1218" t="s">
        <v>6779</v>
      </c>
      <c r="N1218" t="s">
        <v>6792</v>
      </c>
      <c r="O1218">
        <v>1</v>
      </c>
      <c r="P1218" t="str">
        <f>+BARRAS[[#This Row],[Barra]]&amp;"_"&amp;BARRAS[[#This Row],[Nivel de tensión]]</f>
        <v>POLPAICO_23</v>
      </c>
    </row>
    <row r="1219" spans="1:16">
      <c r="A1219" t="s">
        <v>4373</v>
      </c>
      <c r="B1219">
        <v>220</v>
      </c>
      <c r="C1219">
        <v>1</v>
      </c>
      <c r="D1219" t="s">
        <v>3397</v>
      </c>
      <c r="E1219" t="s">
        <v>4374</v>
      </c>
      <c r="F1219" t="s">
        <v>3420</v>
      </c>
      <c r="G1219">
        <v>16301</v>
      </c>
      <c r="H1219" t="s">
        <v>3409</v>
      </c>
      <c r="I1219" t="s">
        <v>3391</v>
      </c>
      <c r="J1219" t="s">
        <v>3392</v>
      </c>
      <c r="K1219" t="s">
        <v>6315</v>
      </c>
      <c r="L1219" t="s">
        <v>6778</v>
      </c>
      <c r="M1219" t="s">
        <v>6779</v>
      </c>
      <c r="N1219" t="s">
        <v>6792</v>
      </c>
      <c r="O1219">
        <v>1</v>
      </c>
      <c r="P1219" t="str">
        <f>+BARRAS[[#This Row],[Barra]]&amp;"_"&amp;BARRAS[[#This Row],[Nivel de tensión]]</f>
        <v>PUNTA_SIERRA_220</v>
      </c>
    </row>
    <row r="1220" spans="1:16">
      <c r="A1220" t="s">
        <v>4375</v>
      </c>
      <c r="B1220">
        <v>13</v>
      </c>
      <c r="C1220">
        <v>1</v>
      </c>
      <c r="D1220" t="s">
        <v>4376</v>
      </c>
      <c r="E1220" t="s">
        <v>4377</v>
      </c>
      <c r="F1220" t="s">
        <v>4378</v>
      </c>
      <c r="G1220">
        <v>6305</v>
      </c>
      <c r="H1220" t="s">
        <v>3414</v>
      </c>
      <c r="I1220" t="s">
        <v>3391</v>
      </c>
      <c r="J1220" t="s">
        <v>3928</v>
      </c>
      <c r="K1220" t="s">
        <v>3304</v>
      </c>
      <c r="L1220" t="s">
        <v>6778</v>
      </c>
      <c r="M1220" t="s">
        <v>6779</v>
      </c>
      <c r="N1220" t="s">
        <v>6792</v>
      </c>
      <c r="O1220">
        <v>1</v>
      </c>
      <c r="P1220" t="str">
        <f>+BARRAS[[#This Row],[Barra]]&amp;"_"&amp;BARRAS[[#This Row],[Nivel de tensión]]</f>
        <v>PUQUILLAY_13</v>
      </c>
    </row>
    <row r="1221" spans="1:16">
      <c r="A1221" t="s">
        <v>4375</v>
      </c>
      <c r="B1221">
        <v>66</v>
      </c>
      <c r="C1221">
        <v>1</v>
      </c>
      <c r="D1221" t="s">
        <v>4379</v>
      </c>
      <c r="E1221" t="s">
        <v>4380</v>
      </c>
      <c r="F1221" t="s">
        <v>4378</v>
      </c>
      <c r="G1221">
        <v>6305</v>
      </c>
      <c r="H1221" t="s">
        <v>3414</v>
      </c>
      <c r="I1221" t="s">
        <v>3391</v>
      </c>
      <c r="J1221" t="s">
        <v>3928</v>
      </c>
      <c r="K1221" t="s">
        <v>3304</v>
      </c>
      <c r="L1221" t="s">
        <v>6778</v>
      </c>
      <c r="M1221" t="s">
        <v>6779</v>
      </c>
      <c r="N1221" t="s">
        <v>6792</v>
      </c>
      <c r="O1221">
        <v>1</v>
      </c>
      <c r="P1221" t="str">
        <f>+BARRAS[[#This Row],[Barra]]&amp;"_"&amp;BARRAS[[#This Row],[Nivel de tensión]]</f>
        <v>PUQUILLAY_66</v>
      </c>
    </row>
    <row r="1222" spans="1:16">
      <c r="A1222" t="s">
        <v>4381</v>
      </c>
      <c r="B1222">
        <v>220</v>
      </c>
      <c r="C1222">
        <v>2250</v>
      </c>
      <c r="D1222" t="s">
        <v>3402</v>
      </c>
      <c r="E1222" t="s">
        <v>4382</v>
      </c>
      <c r="F1222" t="s">
        <v>4383</v>
      </c>
      <c r="G1222">
        <v>16301</v>
      </c>
      <c r="H1222" t="s">
        <v>3396</v>
      </c>
      <c r="I1222" t="s">
        <v>3391</v>
      </c>
      <c r="J1222" t="s">
        <v>3392</v>
      </c>
      <c r="K1222" t="s">
        <v>6315</v>
      </c>
      <c r="L1222" t="s">
        <v>6778</v>
      </c>
      <c r="M1222" t="s">
        <v>6779</v>
      </c>
      <c r="N1222" t="s">
        <v>6792</v>
      </c>
      <c r="O1222">
        <v>1</v>
      </c>
      <c r="P1222" t="str">
        <f>+BARRAS[[#This Row],[Barra]]&amp;"_"&amp;BARRAS[[#This Row],[Nivel de tensión]]</f>
        <v>PURI_220</v>
      </c>
    </row>
    <row r="1223" spans="1:16">
      <c r="A1223" t="s">
        <v>4384</v>
      </c>
      <c r="B1223">
        <v>13</v>
      </c>
      <c r="C1223">
        <v>1177</v>
      </c>
      <c r="D1223" t="s">
        <v>4385</v>
      </c>
      <c r="E1223" t="s">
        <v>4386</v>
      </c>
      <c r="F1223" t="s">
        <v>4387</v>
      </c>
      <c r="G1223">
        <v>16301</v>
      </c>
      <c r="H1223" t="s">
        <v>3390</v>
      </c>
      <c r="I1223" t="s">
        <v>3391</v>
      </c>
      <c r="J1223" t="s">
        <v>3392</v>
      </c>
      <c r="K1223" t="s">
        <v>3305</v>
      </c>
      <c r="L1223" t="s">
        <v>6778</v>
      </c>
      <c r="M1223" t="s">
        <v>6779</v>
      </c>
      <c r="N1223" t="s">
        <v>6792</v>
      </c>
      <c r="O1223">
        <v>1</v>
      </c>
      <c r="P1223" t="str">
        <f>+BARRAS[[#This Row],[Barra]]&amp;"_"&amp;BARRAS[[#This Row],[Nivel de tensión]]</f>
        <v>PURRANQUE_13</v>
      </c>
    </row>
    <row r="1224" spans="1:16">
      <c r="A1224" t="s">
        <v>4384</v>
      </c>
      <c r="B1224">
        <v>66</v>
      </c>
      <c r="C1224">
        <v>1</v>
      </c>
      <c r="D1224" t="s">
        <v>3397</v>
      </c>
      <c r="E1224" t="s">
        <v>4388</v>
      </c>
      <c r="F1224" t="s">
        <v>3420</v>
      </c>
      <c r="G1224">
        <v>16301</v>
      </c>
      <c r="H1224" t="s">
        <v>3390</v>
      </c>
      <c r="I1224" t="s">
        <v>3391</v>
      </c>
      <c r="J1224" t="s">
        <v>3392</v>
      </c>
      <c r="K1224" t="s">
        <v>3305</v>
      </c>
      <c r="L1224" t="s">
        <v>6778</v>
      </c>
      <c r="M1224" t="s">
        <v>6779</v>
      </c>
      <c r="N1224" t="s">
        <v>6792</v>
      </c>
      <c r="O1224">
        <v>1</v>
      </c>
      <c r="P1224" t="str">
        <f>+BARRAS[[#This Row],[Barra]]&amp;"_"&amp;BARRAS[[#This Row],[Nivel de tensión]]</f>
        <v>PURRANQUE_66</v>
      </c>
    </row>
    <row r="1225" spans="1:16">
      <c r="A1225" t="s">
        <v>4389</v>
      </c>
      <c r="B1225">
        <v>33</v>
      </c>
      <c r="C1225">
        <v>3807</v>
      </c>
      <c r="D1225" t="s">
        <v>3397</v>
      </c>
      <c r="E1225" t="s">
        <v>4390</v>
      </c>
      <c r="F1225" t="s">
        <v>4391</v>
      </c>
      <c r="G1225">
        <v>13303</v>
      </c>
      <c r="H1225" t="s">
        <v>3405</v>
      </c>
      <c r="I1225" t="s">
        <v>3391</v>
      </c>
      <c r="J1225" t="s">
        <v>6317</v>
      </c>
      <c r="K1225" t="s">
        <v>6315</v>
      </c>
      <c r="L1225" t="s">
        <v>6778</v>
      </c>
      <c r="M1225" t="s">
        <v>6779</v>
      </c>
      <c r="N1225" t="s">
        <v>6792</v>
      </c>
      <c r="O1225">
        <v>1</v>
      </c>
      <c r="P1225" t="str">
        <f>+BARRAS[[#This Row],[Barra]]&amp;"_"&amp;BARRAS[[#This Row],[Nivel de tensión]]</f>
        <v>PVHFAMI_33</v>
      </c>
    </row>
    <row r="1226" spans="1:16">
      <c r="A1226" t="s">
        <v>4392</v>
      </c>
      <c r="B1226">
        <v>110</v>
      </c>
      <c r="C1226">
        <v>1</v>
      </c>
      <c r="D1226" t="s">
        <v>3397</v>
      </c>
      <c r="E1226" t="s">
        <v>4393</v>
      </c>
      <c r="F1226" t="s">
        <v>3420</v>
      </c>
      <c r="G1226">
        <v>16301</v>
      </c>
      <c r="H1226" t="s">
        <v>3405</v>
      </c>
      <c r="I1226" t="s">
        <v>3391</v>
      </c>
      <c r="J1226" t="s">
        <v>3392</v>
      </c>
      <c r="K1226" t="s">
        <v>6315</v>
      </c>
      <c r="L1226" t="s">
        <v>6778</v>
      </c>
      <c r="M1226" t="s">
        <v>6779</v>
      </c>
      <c r="N1226" t="s">
        <v>6792</v>
      </c>
      <c r="O1226">
        <v>1</v>
      </c>
      <c r="P1226" t="str">
        <f>+BARRAS[[#This Row],[Barra]]&amp;"_"&amp;BARRAS[[#This Row],[Nivel de tensión]]</f>
        <v>PVSALVADOR_110</v>
      </c>
    </row>
    <row r="1227" spans="1:16">
      <c r="A1227" t="s">
        <v>4394</v>
      </c>
      <c r="B1227">
        <v>33</v>
      </c>
      <c r="D1227" t="s">
        <v>3680</v>
      </c>
      <c r="E1227" t="s">
        <v>3925</v>
      </c>
      <c r="F1227" t="s">
        <v>4395</v>
      </c>
      <c r="G1227">
        <v>2302</v>
      </c>
      <c r="H1227" t="s">
        <v>3405</v>
      </c>
      <c r="I1227" t="s">
        <v>3683</v>
      </c>
      <c r="J1227" t="s">
        <v>4396</v>
      </c>
      <c r="K1227" t="s">
        <v>6315</v>
      </c>
      <c r="L1227" t="s">
        <v>6778</v>
      </c>
      <c r="M1227" t="s">
        <v>6779</v>
      </c>
      <c r="N1227" t="s">
        <v>6792</v>
      </c>
      <c r="O1227">
        <v>1</v>
      </c>
      <c r="P1227" t="str">
        <f>+BARRAS[[#This Row],[Barra]]&amp;"_"&amp;BARRAS[[#This Row],[Nivel de tensión]]</f>
        <v>PVSOLDESIERTO_33</v>
      </c>
    </row>
    <row r="1228" spans="1:16">
      <c r="A1228" t="s">
        <v>4394</v>
      </c>
      <c r="B1228">
        <v>220</v>
      </c>
      <c r="D1228" t="s">
        <v>3680</v>
      </c>
      <c r="E1228" t="s">
        <v>3925</v>
      </c>
      <c r="F1228" t="s">
        <v>4395</v>
      </c>
      <c r="G1228">
        <v>2302</v>
      </c>
      <c r="H1228" t="s">
        <v>3405</v>
      </c>
      <c r="I1228" t="s">
        <v>3683</v>
      </c>
      <c r="J1228" t="s">
        <v>4396</v>
      </c>
      <c r="K1228" t="s">
        <v>6315</v>
      </c>
      <c r="L1228" t="s">
        <v>6778</v>
      </c>
      <c r="M1228" t="s">
        <v>6779</v>
      </c>
      <c r="N1228" t="s">
        <v>6792</v>
      </c>
      <c r="O1228">
        <v>1</v>
      </c>
      <c r="P1228" t="str">
        <f>+BARRAS[[#This Row],[Barra]]&amp;"_"&amp;BARRAS[[#This Row],[Nivel de tensión]]</f>
        <v>PVSOLDESIERTO_220</v>
      </c>
    </row>
    <row r="1229" spans="1:16">
      <c r="A1229" t="s">
        <v>1128</v>
      </c>
      <c r="B1229">
        <v>13</v>
      </c>
      <c r="C1229">
        <v>319</v>
      </c>
      <c r="D1229" t="s">
        <v>4397</v>
      </c>
      <c r="E1229" t="s">
        <v>4398</v>
      </c>
      <c r="F1229" t="s">
        <v>4399</v>
      </c>
      <c r="G1229">
        <v>16301</v>
      </c>
      <c r="H1229" t="s">
        <v>3414</v>
      </c>
      <c r="I1229" t="s">
        <v>3391</v>
      </c>
      <c r="J1229" t="s">
        <v>3392</v>
      </c>
      <c r="K1229" t="s">
        <v>3304</v>
      </c>
      <c r="L1229" t="s">
        <v>6778</v>
      </c>
      <c r="M1229" t="s">
        <v>6779</v>
      </c>
      <c r="N1229" t="s">
        <v>6792</v>
      </c>
      <c r="O1229">
        <v>1</v>
      </c>
      <c r="P1229" t="str">
        <f>+BARRAS[[#This Row],[Barra]]&amp;"_"&amp;BARRAS[[#This Row],[Nivel de tensión]]</f>
        <v>QTILCOCO_13</v>
      </c>
    </row>
    <row r="1230" spans="1:16">
      <c r="A1230" t="s">
        <v>1128</v>
      </c>
      <c r="B1230">
        <v>66</v>
      </c>
      <c r="C1230">
        <v>1</v>
      </c>
      <c r="D1230" t="s">
        <v>3397</v>
      </c>
      <c r="E1230" t="s">
        <v>4400</v>
      </c>
      <c r="F1230" t="s">
        <v>3420</v>
      </c>
      <c r="G1230">
        <v>16301</v>
      </c>
      <c r="H1230" t="s">
        <v>3414</v>
      </c>
      <c r="I1230" t="s">
        <v>3391</v>
      </c>
      <c r="J1230" t="s">
        <v>3392</v>
      </c>
      <c r="K1230" t="s">
        <v>3304</v>
      </c>
      <c r="L1230" t="s">
        <v>6778</v>
      </c>
      <c r="M1230" t="s">
        <v>6779</v>
      </c>
      <c r="N1230" t="s">
        <v>6792</v>
      </c>
      <c r="O1230">
        <v>1</v>
      </c>
      <c r="P1230" t="str">
        <f>+BARRAS[[#This Row],[Barra]]&amp;"_"&amp;BARRAS[[#This Row],[Nivel de tensión]]</f>
        <v>QTILCOCO_66</v>
      </c>
    </row>
    <row r="1231" spans="1:16">
      <c r="A1231" t="s">
        <v>1131</v>
      </c>
      <c r="B1231">
        <v>13</v>
      </c>
      <c r="C1231">
        <v>611</v>
      </c>
      <c r="D1231" t="s">
        <v>4401</v>
      </c>
      <c r="E1231" t="s">
        <v>4402</v>
      </c>
      <c r="F1231" t="s">
        <v>4403</v>
      </c>
      <c r="G1231">
        <v>16301</v>
      </c>
      <c r="H1231" t="s">
        <v>3414</v>
      </c>
      <c r="I1231" t="s">
        <v>3391</v>
      </c>
      <c r="J1231" t="s">
        <v>3392</v>
      </c>
      <c r="K1231" t="s">
        <v>3304</v>
      </c>
      <c r="L1231" t="s">
        <v>6778</v>
      </c>
      <c r="M1231" t="s">
        <v>6779</v>
      </c>
      <c r="N1231" t="s">
        <v>6792</v>
      </c>
      <c r="O1231">
        <v>1</v>
      </c>
      <c r="P1231" t="str">
        <f>+BARRAS[[#This Row],[Barra]]&amp;"_"&amp;BARRAS[[#This Row],[Nivel de tensión]]</f>
        <v>QUELENTARO_13</v>
      </c>
    </row>
    <row r="1232" spans="1:16">
      <c r="A1232" t="s">
        <v>1131</v>
      </c>
      <c r="B1232">
        <v>110</v>
      </c>
      <c r="C1232">
        <v>1</v>
      </c>
      <c r="D1232" t="s">
        <v>3397</v>
      </c>
      <c r="E1232" t="s">
        <v>4404</v>
      </c>
      <c r="F1232" t="s">
        <v>3420</v>
      </c>
      <c r="G1232">
        <v>16301</v>
      </c>
      <c r="H1232" t="s">
        <v>3414</v>
      </c>
      <c r="I1232" t="s">
        <v>3391</v>
      </c>
      <c r="J1232" t="s">
        <v>3392</v>
      </c>
      <c r="K1232" t="s">
        <v>3304</v>
      </c>
      <c r="L1232" t="s">
        <v>6778</v>
      </c>
      <c r="M1232" t="s">
        <v>6779</v>
      </c>
      <c r="N1232" t="s">
        <v>6792</v>
      </c>
      <c r="O1232">
        <v>1</v>
      </c>
      <c r="P1232" t="str">
        <f>+BARRAS[[#This Row],[Barra]]&amp;"_"&amp;BARRAS[[#This Row],[Nivel de tensión]]</f>
        <v>QUELENTARO_110</v>
      </c>
    </row>
    <row r="1233" spans="1:16">
      <c r="A1233" t="s">
        <v>1131</v>
      </c>
      <c r="B1233">
        <v>220</v>
      </c>
      <c r="C1233">
        <v>1</v>
      </c>
      <c r="D1233" t="s">
        <v>3397</v>
      </c>
      <c r="E1233" t="s">
        <v>4405</v>
      </c>
      <c r="F1233" t="s">
        <v>3420</v>
      </c>
      <c r="G1233">
        <v>16301</v>
      </c>
      <c r="H1233" t="s">
        <v>3414</v>
      </c>
      <c r="I1233" t="s">
        <v>3391</v>
      </c>
      <c r="J1233" t="s">
        <v>3392</v>
      </c>
      <c r="K1233" t="s">
        <v>3304</v>
      </c>
      <c r="L1233" t="s">
        <v>6778</v>
      </c>
      <c r="M1233" t="s">
        <v>6779</v>
      </c>
      <c r="N1233" t="s">
        <v>6792</v>
      </c>
      <c r="O1233">
        <v>1</v>
      </c>
      <c r="P1233" t="str">
        <f>+BARRAS[[#This Row],[Barra]]&amp;"_"&amp;BARRAS[[#This Row],[Nivel de tensión]]</f>
        <v>QUELENTARO_220</v>
      </c>
    </row>
    <row r="1234" spans="1:16">
      <c r="A1234" t="s">
        <v>4406</v>
      </c>
      <c r="B1234">
        <v>13</v>
      </c>
      <c r="C1234">
        <v>452</v>
      </c>
      <c r="D1234" t="s">
        <v>4407</v>
      </c>
      <c r="E1234" t="s">
        <v>4408</v>
      </c>
      <c r="F1234" t="s">
        <v>4409</v>
      </c>
      <c r="G1234">
        <v>16301</v>
      </c>
      <c r="H1234" t="s">
        <v>3390</v>
      </c>
      <c r="I1234" t="s">
        <v>3391</v>
      </c>
      <c r="J1234" t="s">
        <v>3392</v>
      </c>
      <c r="K1234" t="s">
        <v>3305</v>
      </c>
      <c r="L1234" t="s">
        <v>6778</v>
      </c>
      <c r="M1234" t="s">
        <v>6779</v>
      </c>
      <c r="N1234" t="s">
        <v>6792</v>
      </c>
      <c r="O1234">
        <v>1</v>
      </c>
      <c r="P1234" t="str">
        <f>+BARRAS[[#This Row],[Barra]]&amp;"_"&amp;BARRAS[[#This Row],[Nivel de tensión]]</f>
        <v>QUELLON_13</v>
      </c>
    </row>
    <row r="1235" spans="1:16">
      <c r="A1235" t="s">
        <v>4406</v>
      </c>
      <c r="B1235">
        <v>110</v>
      </c>
      <c r="C1235">
        <v>1</v>
      </c>
      <c r="D1235" t="s">
        <v>3397</v>
      </c>
      <c r="E1235" t="s">
        <v>4410</v>
      </c>
      <c r="F1235" t="s">
        <v>3420</v>
      </c>
      <c r="G1235">
        <v>16301</v>
      </c>
      <c r="H1235" t="s">
        <v>3390</v>
      </c>
      <c r="I1235" t="s">
        <v>3391</v>
      </c>
      <c r="J1235" t="s">
        <v>3392</v>
      </c>
      <c r="K1235" t="s">
        <v>3305</v>
      </c>
      <c r="L1235" t="s">
        <v>6778</v>
      </c>
      <c r="M1235" t="s">
        <v>6779</v>
      </c>
      <c r="N1235" t="s">
        <v>6792</v>
      </c>
      <c r="O1235">
        <v>1</v>
      </c>
      <c r="P1235" t="str">
        <f>+BARRAS[[#This Row],[Barra]]&amp;"_"&amp;BARRAS[[#This Row],[Nivel de tensión]]</f>
        <v>QUELLON_110</v>
      </c>
    </row>
    <row r="1236" spans="1:16">
      <c r="A1236" t="s">
        <v>4411</v>
      </c>
      <c r="B1236">
        <v>12</v>
      </c>
      <c r="C1236">
        <v>8</v>
      </c>
      <c r="D1236" t="s">
        <v>4412</v>
      </c>
      <c r="E1236" t="s">
        <v>4413</v>
      </c>
      <c r="F1236" t="s">
        <v>4414</v>
      </c>
      <c r="G1236">
        <v>16301</v>
      </c>
      <c r="H1236" t="s">
        <v>3396</v>
      </c>
      <c r="I1236" t="s">
        <v>3391</v>
      </c>
      <c r="J1236" t="s">
        <v>3392</v>
      </c>
      <c r="K1236" t="s">
        <v>6315</v>
      </c>
      <c r="L1236" t="s">
        <v>6778</v>
      </c>
      <c r="M1236" t="s">
        <v>6779</v>
      </c>
      <c r="N1236" t="s">
        <v>6792</v>
      </c>
      <c r="O1236">
        <v>1</v>
      </c>
      <c r="P1236" t="str">
        <f>+BARRAS[[#This Row],[Barra]]&amp;"_"&amp;BARRAS[[#This Row],[Nivel de tensión]]</f>
        <v>QUELTEHUES_12</v>
      </c>
    </row>
    <row r="1237" spans="1:16">
      <c r="A1237" t="s">
        <v>4411</v>
      </c>
      <c r="B1237">
        <v>110</v>
      </c>
      <c r="C1237">
        <v>7</v>
      </c>
      <c r="D1237" t="s">
        <v>4415</v>
      </c>
      <c r="E1237" t="s">
        <v>4416</v>
      </c>
      <c r="F1237" t="s">
        <v>4414</v>
      </c>
      <c r="G1237">
        <v>16301</v>
      </c>
      <c r="H1237" t="s">
        <v>3396</v>
      </c>
      <c r="I1237" t="s">
        <v>3391</v>
      </c>
      <c r="J1237" t="s">
        <v>3392</v>
      </c>
      <c r="K1237" t="s">
        <v>6315</v>
      </c>
      <c r="L1237" t="s">
        <v>6778</v>
      </c>
      <c r="M1237" t="s">
        <v>6779</v>
      </c>
      <c r="N1237" t="s">
        <v>6792</v>
      </c>
      <c r="O1237">
        <v>1</v>
      </c>
      <c r="P1237" t="str">
        <f>+BARRAS[[#This Row],[Barra]]&amp;"_"&amp;BARRAS[[#This Row],[Nivel de tensión]]</f>
        <v>QUELTEHUES_110</v>
      </c>
    </row>
    <row r="1238" spans="1:16">
      <c r="A1238" t="s">
        <v>1139</v>
      </c>
      <c r="B1238">
        <v>23</v>
      </c>
      <c r="C1238">
        <v>364</v>
      </c>
      <c r="D1238" t="s">
        <v>4417</v>
      </c>
      <c r="E1238" t="s">
        <v>4418</v>
      </c>
      <c r="F1238" t="s">
        <v>4419</v>
      </c>
      <c r="G1238">
        <v>16301</v>
      </c>
      <c r="H1238" t="s">
        <v>3400</v>
      </c>
      <c r="I1238" t="s">
        <v>3391</v>
      </c>
      <c r="J1238" t="s">
        <v>3392</v>
      </c>
      <c r="K1238" t="s">
        <v>3301</v>
      </c>
      <c r="L1238" t="s">
        <v>6778</v>
      </c>
      <c r="M1238" t="s">
        <v>6779</v>
      </c>
      <c r="N1238" t="s">
        <v>6792</v>
      </c>
      <c r="O1238">
        <v>1</v>
      </c>
      <c r="P1238" t="str">
        <f>+BARRAS[[#This Row],[Barra]]&amp;"_"&amp;BARRAS[[#This Row],[Nivel de tensión]]</f>
        <v>QUEREO_23</v>
      </c>
    </row>
    <row r="1239" spans="1:16">
      <c r="A1239" t="s">
        <v>1139</v>
      </c>
      <c r="B1239">
        <v>110</v>
      </c>
      <c r="C1239">
        <v>1</v>
      </c>
      <c r="D1239" t="s">
        <v>3397</v>
      </c>
      <c r="E1239" t="s">
        <v>4420</v>
      </c>
      <c r="F1239" t="s">
        <v>3420</v>
      </c>
      <c r="G1239">
        <v>16301</v>
      </c>
      <c r="H1239" t="s">
        <v>3400</v>
      </c>
      <c r="I1239" t="s">
        <v>3391</v>
      </c>
      <c r="J1239" t="s">
        <v>3392</v>
      </c>
      <c r="K1239" t="s">
        <v>3301</v>
      </c>
      <c r="L1239" t="s">
        <v>6778</v>
      </c>
      <c r="M1239" t="s">
        <v>6779</v>
      </c>
      <c r="N1239" t="s">
        <v>6792</v>
      </c>
      <c r="O1239">
        <v>1</v>
      </c>
      <c r="P1239" t="str">
        <f>+BARRAS[[#This Row],[Barra]]&amp;"_"&amp;BARRAS[[#This Row],[Nivel de tensión]]</f>
        <v>QUEREO_110</v>
      </c>
    </row>
    <row r="1240" spans="1:16">
      <c r="A1240" t="s">
        <v>1142</v>
      </c>
      <c r="B1240">
        <v>13</v>
      </c>
      <c r="C1240">
        <v>3187</v>
      </c>
      <c r="D1240" t="s">
        <v>4421</v>
      </c>
      <c r="E1240" t="s">
        <v>4422</v>
      </c>
      <c r="F1240" t="s">
        <v>4423</v>
      </c>
      <c r="G1240">
        <v>16301</v>
      </c>
      <c r="H1240" t="s">
        <v>3443</v>
      </c>
      <c r="I1240" t="s">
        <v>3391</v>
      </c>
      <c r="J1240" t="s">
        <v>3392</v>
      </c>
      <c r="K1240" t="s">
        <v>3300</v>
      </c>
      <c r="L1240" t="s">
        <v>6778</v>
      </c>
      <c r="M1240" t="s">
        <v>6779</v>
      </c>
      <c r="N1240" t="s">
        <v>6792</v>
      </c>
      <c r="O1240">
        <v>1</v>
      </c>
      <c r="P1240" t="str">
        <f>+BARRAS[[#This Row],[Barra]]&amp;"_"&amp;BARRAS[[#This Row],[Nivel de tensión]]</f>
        <v>QUIANI_13</v>
      </c>
    </row>
    <row r="1241" spans="1:16">
      <c r="A1241" t="s">
        <v>1142</v>
      </c>
      <c r="B1241">
        <v>66</v>
      </c>
      <c r="C1241">
        <v>1</v>
      </c>
      <c r="D1241" t="s">
        <v>3397</v>
      </c>
      <c r="E1241" t="s">
        <v>4424</v>
      </c>
      <c r="F1241" t="s">
        <v>3420</v>
      </c>
      <c r="G1241">
        <v>16301</v>
      </c>
      <c r="H1241" t="s">
        <v>3443</v>
      </c>
      <c r="I1241" t="s">
        <v>3391</v>
      </c>
      <c r="J1241" t="s">
        <v>3392</v>
      </c>
      <c r="K1241" t="s">
        <v>3300</v>
      </c>
      <c r="L1241" t="s">
        <v>6778</v>
      </c>
      <c r="M1241" t="s">
        <v>6779</v>
      </c>
      <c r="N1241" t="s">
        <v>6792</v>
      </c>
      <c r="O1241">
        <v>1</v>
      </c>
      <c r="P1241" t="str">
        <f>+BARRAS[[#This Row],[Barra]]&amp;"_"&amp;BARRAS[[#This Row],[Nivel de tensión]]</f>
        <v>QUIANI_66</v>
      </c>
    </row>
    <row r="1242" spans="1:16">
      <c r="A1242" t="s">
        <v>4425</v>
      </c>
      <c r="B1242">
        <v>220</v>
      </c>
      <c r="C1242">
        <v>1</v>
      </c>
      <c r="D1242" t="s">
        <v>3397</v>
      </c>
      <c r="E1242" t="s">
        <v>4426</v>
      </c>
      <c r="F1242" t="s">
        <v>3420</v>
      </c>
      <c r="G1242">
        <v>16301</v>
      </c>
      <c r="H1242" t="s">
        <v>3409</v>
      </c>
      <c r="I1242" t="s">
        <v>3391</v>
      </c>
      <c r="J1242" t="s">
        <v>3392</v>
      </c>
      <c r="K1242" t="s">
        <v>6315</v>
      </c>
      <c r="L1242" t="s">
        <v>6778</v>
      </c>
      <c r="M1242" t="s">
        <v>6779</v>
      </c>
      <c r="N1242" t="s">
        <v>6792</v>
      </c>
      <c r="O1242">
        <v>1</v>
      </c>
      <c r="P1242" t="str">
        <f>+BARRAS[[#This Row],[Barra]]&amp;"_"&amp;BARRAS[[#This Row],[Nivel de tensión]]</f>
        <v>QUILAPILUN_220</v>
      </c>
    </row>
    <row r="1243" spans="1:16">
      <c r="A1243" t="s">
        <v>4427</v>
      </c>
      <c r="B1243">
        <v>13</v>
      </c>
      <c r="C1243">
        <v>885</v>
      </c>
      <c r="D1243" t="s">
        <v>4428</v>
      </c>
      <c r="E1243" t="s">
        <v>4429</v>
      </c>
      <c r="F1243" t="s">
        <v>4430</v>
      </c>
      <c r="G1243">
        <v>16301</v>
      </c>
      <c r="H1243" t="s">
        <v>3469</v>
      </c>
      <c r="I1243" t="s">
        <v>3391</v>
      </c>
      <c r="J1243" t="s">
        <v>3392</v>
      </c>
      <c r="K1243" t="s">
        <v>3303</v>
      </c>
      <c r="L1243" t="s">
        <v>6778</v>
      </c>
      <c r="M1243" t="s">
        <v>6779</v>
      </c>
      <c r="N1243" t="s">
        <v>6792</v>
      </c>
      <c r="O1243">
        <v>1</v>
      </c>
      <c r="P1243" t="str">
        <f>+BARRAS[[#This Row],[Barra]]&amp;"_"&amp;BARRAS[[#This Row],[Nivel de tensión]]</f>
        <v>QUILICURA_13</v>
      </c>
    </row>
    <row r="1244" spans="1:16">
      <c r="A1244" t="s">
        <v>29</v>
      </c>
      <c r="B1244">
        <v>66</v>
      </c>
      <c r="C1244">
        <v>1</v>
      </c>
      <c r="D1244" t="s">
        <v>6012</v>
      </c>
      <c r="E1244" t="s">
        <v>6013</v>
      </c>
      <c r="F1244" t="s">
        <v>3484</v>
      </c>
      <c r="G1244">
        <v>16301</v>
      </c>
      <c r="H1244" t="s">
        <v>3405</v>
      </c>
      <c r="I1244" t="s">
        <v>3391</v>
      </c>
      <c r="J1244" t="s">
        <v>3392</v>
      </c>
      <c r="K1244" t="s">
        <v>6315</v>
      </c>
      <c r="L1244" t="s">
        <v>6778</v>
      </c>
      <c r="M1244" t="s">
        <v>6779</v>
      </c>
      <c r="N1244" t="s">
        <v>6792</v>
      </c>
      <c r="O1244">
        <v>1</v>
      </c>
      <c r="P1244" t="str">
        <f>+BARRAS[[#This Row],[Barra]]&amp;"_"&amp;BARRAS[[#This Row],[Nivel de tensión]]</f>
        <v>AGUILA_66</v>
      </c>
    </row>
    <row r="1245" spans="1:16">
      <c r="A1245" t="s">
        <v>31</v>
      </c>
      <c r="B1245">
        <v>13</v>
      </c>
      <c r="C1245">
        <v>391</v>
      </c>
      <c r="D1245" t="s">
        <v>3387</v>
      </c>
      <c r="E1245" t="s">
        <v>3388</v>
      </c>
      <c r="F1245" t="s">
        <v>3389</v>
      </c>
      <c r="G1245">
        <v>16301</v>
      </c>
      <c r="H1245" t="s">
        <v>3390</v>
      </c>
      <c r="I1245" t="s">
        <v>3391</v>
      </c>
      <c r="J1245" t="s">
        <v>3392</v>
      </c>
      <c r="K1245" t="s">
        <v>3305</v>
      </c>
      <c r="L1245" t="s">
        <v>6778</v>
      </c>
      <c r="M1245" t="s">
        <v>6779</v>
      </c>
      <c r="N1245" t="s">
        <v>6792</v>
      </c>
      <c r="O1245">
        <v>1</v>
      </c>
      <c r="P1245" t="str">
        <f>+BARRAS[[#This Row],[Barra]]&amp;"_"&amp;BARRAS[[#This Row],[Nivel de tensión]]</f>
        <v>AIHUAPI_13</v>
      </c>
    </row>
    <row r="1246" spans="1:16">
      <c r="A1246" t="s">
        <v>31</v>
      </c>
      <c r="B1246">
        <v>66</v>
      </c>
      <c r="C1246">
        <v>1</v>
      </c>
      <c r="D1246" t="s">
        <v>3397</v>
      </c>
      <c r="E1246" t="s">
        <v>5585</v>
      </c>
      <c r="F1246" t="s">
        <v>3420</v>
      </c>
      <c r="G1246">
        <v>16301</v>
      </c>
      <c r="H1246" t="s">
        <v>3390</v>
      </c>
      <c r="I1246" t="s">
        <v>3391</v>
      </c>
      <c r="J1246" t="s">
        <v>3392</v>
      </c>
      <c r="K1246" t="s">
        <v>3305</v>
      </c>
      <c r="L1246" t="s">
        <v>6778</v>
      </c>
      <c r="M1246" t="s">
        <v>6779</v>
      </c>
      <c r="N1246" t="s">
        <v>6792</v>
      </c>
      <c r="O1246">
        <v>1</v>
      </c>
      <c r="P1246" t="str">
        <f>+BARRAS[[#This Row],[Barra]]&amp;"_"&amp;BARRAS[[#This Row],[Nivel de tensión]]</f>
        <v>AIHUAPI_66</v>
      </c>
    </row>
    <row r="1247" spans="1:16">
      <c r="A1247" t="s">
        <v>31</v>
      </c>
      <c r="B1247">
        <v>110</v>
      </c>
      <c r="C1247">
        <v>1</v>
      </c>
      <c r="D1247" t="s">
        <v>3397</v>
      </c>
      <c r="E1247" t="s">
        <v>5586</v>
      </c>
      <c r="F1247" t="s">
        <v>3420</v>
      </c>
      <c r="G1247">
        <v>16301</v>
      </c>
      <c r="H1247" t="s">
        <v>3390</v>
      </c>
      <c r="I1247" t="s">
        <v>3391</v>
      </c>
      <c r="J1247" t="s">
        <v>3392</v>
      </c>
      <c r="K1247" t="s">
        <v>3305</v>
      </c>
      <c r="L1247" t="s">
        <v>6778</v>
      </c>
      <c r="M1247" t="s">
        <v>6779</v>
      </c>
      <c r="N1247" t="s">
        <v>6792</v>
      </c>
      <c r="O1247">
        <v>1</v>
      </c>
      <c r="P1247" t="str">
        <f>+BARRAS[[#This Row],[Barra]]&amp;"_"&amp;BARRAS[[#This Row],[Nivel de tensión]]</f>
        <v>AIHUAPI_110</v>
      </c>
    </row>
    <row r="1248" spans="1:16">
      <c r="A1248" t="s">
        <v>5587</v>
      </c>
      <c r="B1248">
        <v>500</v>
      </c>
      <c r="C1248">
        <v>1</v>
      </c>
      <c r="D1248" t="s">
        <v>3397</v>
      </c>
      <c r="E1248" t="s">
        <v>3419</v>
      </c>
      <c r="F1248" t="s">
        <v>3420</v>
      </c>
      <c r="G1248">
        <v>16301</v>
      </c>
      <c r="H1248" t="s">
        <v>3409</v>
      </c>
      <c r="I1248" t="s">
        <v>3391</v>
      </c>
      <c r="J1248" t="s">
        <v>3392</v>
      </c>
      <c r="K1248" t="s">
        <v>6315</v>
      </c>
      <c r="L1248" t="s">
        <v>6778</v>
      </c>
      <c r="M1248" t="s">
        <v>6779</v>
      </c>
      <c r="N1248" t="s">
        <v>6792</v>
      </c>
      <c r="O1248">
        <v>1</v>
      </c>
      <c r="P1248" t="str">
        <f>+BARRAS[[#This Row],[Barra]]&amp;"_"&amp;BARRAS[[#This Row],[Nivel de tensión]]</f>
        <v>AJAHUEL_500</v>
      </c>
    </row>
    <row r="1249" spans="1:16">
      <c r="A1249" t="s">
        <v>36</v>
      </c>
      <c r="B1249">
        <v>15</v>
      </c>
      <c r="C1249">
        <v>134</v>
      </c>
      <c r="D1249" t="s">
        <v>5588</v>
      </c>
      <c r="E1249" t="s">
        <v>5589</v>
      </c>
      <c r="F1249" t="s">
        <v>5590</v>
      </c>
      <c r="G1249">
        <v>16301</v>
      </c>
      <c r="H1249" t="s">
        <v>3414</v>
      </c>
      <c r="I1249" t="s">
        <v>3391</v>
      </c>
      <c r="J1249" t="s">
        <v>3392</v>
      </c>
      <c r="K1249" t="s">
        <v>3304</v>
      </c>
      <c r="L1249" t="s">
        <v>6778</v>
      </c>
      <c r="M1249" t="s">
        <v>6779</v>
      </c>
      <c r="N1249" t="s">
        <v>6792</v>
      </c>
      <c r="O1249">
        <v>1</v>
      </c>
      <c r="P1249" t="str">
        <f>+BARRAS[[#This Row],[Barra]]&amp;"_"&amp;BARRAS[[#This Row],[Nivel de tensión]]</f>
        <v>ALAMEDA_15</v>
      </c>
    </row>
    <row r="1250" spans="1:16">
      <c r="A1250" t="s">
        <v>36</v>
      </c>
      <c r="B1250">
        <v>66</v>
      </c>
      <c r="C1250">
        <v>1</v>
      </c>
      <c r="D1250" t="s">
        <v>3397</v>
      </c>
      <c r="E1250" t="s">
        <v>5591</v>
      </c>
      <c r="F1250" t="s">
        <v>3420</v>
      </c>
      <c r="G1250">
        <v>16301</v>
      </c>
      <c r="H1250" t="s">
        <v>3414</v>
      </c>
      <c r="I1250" t="s">
        <v>3391</v>
      </c>
      <c r="J1250" t="s">
        <v>3392</v>
      </c>
      <c r="K1250" t="s">
        <v>3304</v>
      </c>
      <c r="L1250" t="s">
        <v>6778</v>
      </c>
      <c r="M1250" t="s">
        <v>6779</v>
      </c>
      <c r="N1250" t="s">
        <v>6792</v>
      </c>
      <c r="O1250">
        <v>1</v>
      </c>
      <c r="P1250" t="str">
        <f>+BARRAS[[#This Row],[Barra]]&amp;"_"&amp;BARRAS[[#This Row],[Nivel de tensión]]</f>
        <v>ALAMEDA_66</v>
      </c>
    </row>
    <row r="1251" spans="1:16">
      <c r="A1251" t="s">
        <v>39</v>
      </c>
      <c r="B1251">
        <v>23</v>
      </c>
      <c r="C1251">
        <v>552</v>
      </c>
      <c r="D1251" t="s">
        <v>5592</v>
      </c>
      <c r="E1251" t="s">
        <v>5593</v>
      </c>
      <c r="F1251" t="s">
        <v>5594</v>
      </c>
      <c r="G1251">
        <v>16301</v>
      </c>
      <c r="H1251" t="s">
        <v>3414</v>
      </c>
      <c r="I1251" t="s">
        <v>3391</v>
      </c>
      <c r="J1251" t="s">
        <v>3392</v>
      </c>
      <c r="K1251" t="s">
        <v>3304</v>
      </c>
      <c r="L1251" t="s">
        <v>6778</v>
      </c>
      <c r="M1251" t="s">
        <v>6779</v>
      </c>
      <c r="N1251" t="s">
        <v>6792</v>
      </c>
      <c r="O1251">
        <v>1</v>
      </c>
      <c r="P1251" t="str">
        <f>+BARRAS[[#This Row],[Barra]]&amp;"_"&amp;BARRAS[[#This Row],[Nivel de tensión]]</f>
        <v>ALCONES_23</v>
      </c>
    </row>
    <row r="1252" spans="1:16">
      <c r="A1252" t="s">
        <v>39</v>
      </c>
      <c r="B1252">
        <v>66</v>
      </c>
      <c r="C1252">
        <v>1</v>
      </c>
      <c r="D1252" t="s">
        <v>3397</v>
      </c>
      <c r="E1252" t="s">
        <v>5595</v>
      </c>
      <c r="F1252" t="s">
        <v>3420</v>
      </c>
      <c r="G1252">
        <v>16301</v>
      </c>
      <c r="H1252" t="s">
        <v>3414</v>
      </c>
      <c r="I1252" t="s">
        <v>3391</v>
      </c>
      <c r="J1252" t="s">
        <v>3392</v>
      </c>
      <c r="K1252" t="s">
        <v>3304</v>
      </c>
      <c r="L1252" t="s">
        <v>6778</v>
      </c>
      <c r="M1252" t="s">
        <v>6779</v>
      </c>
      <c r="N1252" t="s">
        <v>6792</v>
      </c>
      <c r="O1252">
        <v>1</v>
      </c>
      <c r="P1252" t="str">
        <f>+BARRAS[[#This Row],[Barra]]&amp;"_"&amp;BARRAS[[#This Row],[Nivel de tensión]]</f>
        <v>ALCONES_66</v>
      </c>
    </row>
    <row r="1253" spans="1:16">
      <c r="A1253" t="s">
        <v>5596</v>
      </c>
      <c r="B1253">
        <v>110</v>
      </c>
      <c r="C1253">
        <v>1</v>
      </c>
      <c r="D1253" t="s">
        <v>3397</v>
      </c>
      <c r="E1253" t="s">
        <v>5597</v>
      </c>
      <c r="F1253" t="s">
        <v>3420</v>
      </c>
      <c r="G1253">
        <v>16301</v>
      </c>
      <c r="H1253" t="s">
        <v>3405</v>
      </c>
      <c r="I1253" t="s">
        <v>3391</v>
      </c>
      <c r="J1253" t="s">
        <v>3392</v>
      </c>
      <c r="K1253" t="s">
        <v>6315</v>
      </c>
      <c r="L1253" t="s">
        <v>6778</v>
      </c>
      <c r="M1253" t="s">
        <v>6779</v>
      </c>
      <c r="N1253" t="s">
        <v>6792</v>
      </c>
      <c r="O1253">
        <v>1</v>
      </c>
      <c r="P1253" t="str">
        <f>+BARRAS[[#This Row],[Barra]]&amp;"_"&amp;BARRAS[[#This Row],[Nivel de tensión]]</f>
        <v>ALFALFAL_110</v>
      </c>
    </row>
    <row r="1254" spans="1:16">
      <c r="A1254" t="s">
        <v>5596</v>
      </c>
      <c r="B1254">
        <v>220</v>
      </c>
      <c r="C1254">
        <v>1</v>
      </c>
      <c r="D1254" t="s">
        <v>3397</v>
      </c>
      <c r="E1254" t="s">
        <v>5598</v>
      </c>
      <c r="F1254" t="s">
        <v>3420</v>
      </c>
      <c r="G1254">
        <v>16301</v>
      </c>
      <c r="H1254" t="s">
        <v>3405</v>
      </c>
      <c r="I1254" t="s">
        <v>3391</v>
      </c>
      <c r="J1254" t="s">
        <v>3392</v>
      </c>
      <c r="K1254" t="s">
        <v>6315</v>
      </c>
      <c r="L1254" t="s">
        <v>6778</v>
      </c>
      <c r="M1254" t="s">
        <v>6779</v>
      </c>
      <c r="N1254" t="s">
        <v>6792</v>
      </c>
      <c r="O1254">
        <v>1</v>
      </c>
      <c r="P1254" t="str">
        <f>+BARRAS[[#This Row],[Barra]]&amp;"_"&amp;BARRAS[[#This Row],[Nivel de tensión]]</f>
        <v>ALFALFAL_220</v>
      </c>
    </row>
    <row r="1255" spans="1:16">
      <c r="A1255" t="s">
        <v>5599</v>
      </c>
      <c r="B1255">
        <v>13</v>
      </c>
      <c r="C1255">
        <v>990</v>
      </c>
      <c r="D1255" t="s">
        <v>5600</v>
      </c>
      <c r="E1255" t="s">
        <v>5601</v>
      </c>
      <c r="F1255" t="s">
        <v>5602</v>
      </c>
      <c r="G1255">
        <v>16301</v>
      </c>
      <c r="H1255" t="s">
        <v>3418</v>
      </c>
      <c r="I1255" t="s">
        <v>3391</v>
      </c>
      <c r="J1255" t="s">
        <v>3392</v>
      </c>
      <c r="K1255" t="s">
        <v>3302</v>
      </c>
      <c r="L1255" t="s">
        <v>6778</v>
      </c>
      <c r="M1255" t="s">
        <v>6779</v>
      </c>
      <c r="N1255" t="s">
        <v>6792</v>
      </c>
      <c r="O1255">
        <v>1</v>
      </c>
      <c r="P1255" t="str">
        <f>+BARRAS[[#This Row],[Barra]]&amp;"_"&amp;BARRAS[[#This Row],[Nivel de tensión]]</f>
        <v>ALGARR.NORTE_13</v>
      </c>
    </row>
    <row r="1256" spans="1:16">
      <c r="A1256" t="s">
        <v>5599</v>
      </c>
      <c r="B1256">
        <v>66</v>
      </c>
      <c r="C1256">
        <v>1</v>
      </c>
      <c r="D1256" t="s">
        <v>3397</v>
      </c>
      <c r="E1256" t="s">
        <v>5603</v>
      </c>
      <c r="F1256" t="s">
        <v>3420</v>
      </c>
      <c r="G1256">
        <v>16301</v>
      </c>
      <c r="H1256" t="s">
        <v>3418</v>
      </c>
      <c r="I1256" t="s">
        <v>3391</v>
      </c>
      <c r="J1256" t="s">
        <v>3392</v>
      </c>
      <c r="K1256" t="s">
        <v>3302</v>
      </c>
      <c r="L1256" t="s">
        <v>6778</v>
      </c>
      <c r="M1256" t="s">
        <v>6779</v>
      </c>
      <c r="N1256" t="s">
        <v>6792</v>
      </c>
      <c r="O1256">
        <v>1</v>
      </c>
      <c r="P1256" t="str">
        <f>+BARRAS[[#This Row],[Barra]]&amp;"_"&amp;BARRAS[[#This Row],[Nivel de tensión]]</f>
        <v>ALGARR.NORTE_66</v>
      </c>
    </row>
    <row r="1257" spans="1:16">
      <c r="A1257" t="s">
        <v>5604</v>
      </c>
      <c r="B1257">
        <v>220</v>
      </c>
      <c r="C1257">
        <v>1</v>
      </c>
      <c r="D1257" t="s">
        <v>3397</v>
      </c>
      <c r="E1257" t="s">
        <v>5605</v>
      </c>
      <c r="F1257" t="s">
        <v>3420</v>
      </c>
      <c r="G1257">
        <v>16301</v>
      </c>
      <c r="H1257" t="s">
        <v>3409</v>
      </c>
      <c r="I1257" t="s">
        <v>3391</v>
      </c>
      <c r="J1257" t="s">
        <v>3392</v>
      </c>
      <c r="K1257" t="s">
        <v>6315</v>
      </c>
      <c r="L1257" t="s">
        <v>6778</v>
      </c>
      <c r="M1257" t="s">
        <v>6779</v>
      </c>
      <c r="N1257" t="s">
        <v>6792</v>
      </c>
      <c r="O1257">
        <v>1</v>
      </c>
      <c r="P1257" t="str">
        <f>+BARRAS[[#This Row],[Barra]]&amp;"_"&amp;BARRAS[[#This Row],[Nivel de tensión]]</f>
        <v>ALGARROBAL_220</v>
      </c>
    </row>
    <row r="1258" spans="1:16">
      <c r="A1258" t="s">
        <v>5606</v>
      </c>
      <c r="B1258">
        <v>110</v>
      </c>
      <c r="C1258">
        <v>1095</v>
      </c>
      <c r="D1258" t="s">
        <v>5607</v>
      </c>
      <c r="E1258" t="s">
        <v>5608</v>
      </c>
      <c r="F1258" t="s">
        <v>5609</v>
      </c>
      <c r="G1258">
        <v>16301</v>
      </c>
      <c r="H1258" t="s">
        <v>3400</v>
      </c>
      <c r="I1258" t="s">
        <v>3391</v>
      </c>
      <c r="J1258" t="s">
        <v>3392</v>
      </c>
      <c r="K1258" t="s">
        <v>3301</v>
      </c>
      <c r="L1258" t="s">
        <v>6778</v>
      </c>
      <c r="M1258" t="s">
        <v>6779</v>
      </c>
      <c r="N1258" t="s">
        <v>6792</v>
      </c>
      <c r="O1258">
        <v>1</v>
      </c>
      <c r="P1258" t="str">
        <f>+BARRAS[[#This Row],[Barra]]&amp;"_"&amp;BARRAS[[#This Row],[Nivel de tensión]]</f>
        <v>ALGARROBO_110</v>
      </c>
    </row>
    <row r="1259" spans="1:16">
      <c r="A1259" t="s">
        <v>48</v>
      </c>
      <c r="B1259">
        <v>23</v>
      </c>
      <c r="C1259">
        <v>390</v>
      </c>
      <c r="D1259" t="s">
        <v>5610</v>
      </c>
      <c r="E1259" t="s">
        <v>5611</v>
      </c>
      <c r="F1259" t="s">
        <v>5612</v>
      </c>
      <c r="G1259">
        <v>16301</v>
      </c>
      <c r="H1259" t="s">
        <v>3396</v>
      </c>
      <c r="I1259" t="s">
        <v>3391</v>
      </c>
      <c r="J1259" t="s">
        <v>3392</v>
      </c>
      <c r="K1259" t="s">
        <v>3304</v>
      </c>
      <c r="L1259" t="s">
        <v>6778</v>
      </c>
      <c r="M1259" t="s">
        <v>6779</v>
      </c>
      <c r="N1259" t="s">
        <v>6792</v>
      </c>
      <c r="O1259">
        <v>1</v>
      </c>
      <c r="P1259" t="str">
        <f>+BARRAS[[#This Row],[Barra]]&amp;"_"&amp;BARRAS[[#This Row],[Nivel de tensión]]</f>
        <v>ALHUE_23</v>
      </c>
    </row>
    <row r="1260" spans="1:16">
      <c r="A1260" t="s">
        <v>48</v>
      </c>
      <c r="B1260">
        <v>66</v>
      </c>
      <c r="C1260">
        <v>1</v>
      </c>
      <c r="D1260" t="s">
        <v>3397</v>
      </c>
      <c r="E1260" t="s">
        <v>5613</v>
      </c>
      <c r="F1260" t="s">
        <v>3420</v>
      </c>
      <c r="G1260">
        <v>16301</v>
      </c>
      <c r="H1260" t="s">
        <v>3396</v>
      </c>
      <c r="I1260" t="s">
        <v>3391</v>
      </c>
      <c r="J1260" t="s">
        <v>3392</v>
      </c>
      <c r="K1260" t="s">
        <v>6315</v>
      </c>
      <c r="L1260" t="s">
        <v>6778</v>
      </c>
      <c r="M1260" t="s">
        <v>6779</v>
      </c>
      <c r="N1260" t="s">
        <v>6792</v>
      </c>
      <c r="O1260">
        <v>1</v>
      </c>
      <c r="P1260" t="str">
        <f>+BARRAS[[#This Row],[Barra]]&amp;"_"&amp;BARRAS[[#This Row],[Nivel de tensión]]</f>
        <v>ALHUE_66</v>
      </c>
    </row>
    <row r="1261" spans="1:16">
      <c r="A1261" t="s">
        <v>5614</v>
      </c>
      <c r="B1261">
        <v>220</v>
      </c>
      <c r="C1261">
        <v>1</v>
      </c>
      <c r="D1261" t="s">
        <v>3397</v>
      </c>
      <c r="E1261" t="s">
        <v>3419</v>
      </c>
      <c r="F1261" t="s">
        <v>3420</v>
      </c>
      <c r="G1261">
        <v>16301</v>
      </c>
      <c r="H1261" t="s">
        <v>3405</v>
      </c>
      <c r="I1261" t="s">
        <v>3391</v>
      </c>
      <c r="J1261" t="s">
        <v>3392</v>
      </c>
      <c r="K1261" t="s">
        <v>6315</v>
      </c>
      <c r="L1261" t="s">
        <v>6778</v>
      </c>
      <c r="M1261" t="s">
        <v>6779</v>
      </c>
      <c r="N1261" t="s">
        <v>6792</v>
      </c>
      <c r="O1261">
        <v>1</v>
      </c>
      <c r="P1261" t="str">
        <f>+BARRAS[[#This Row],[Barra]]&amp;"_"&amp;BARRAS[[#This Row],[Nivel de tensión]]</f>
        <v>ALMEYDA_220</v>
      </c>
    </row>
    <row r="1262" spans="1:16">
      <c r="A1262" t="s">
        <v>5615</v>
      </c>
      <c r="B1262">
        <v>13</v>
      </c>
      <c r="C1262">
        <v>657</v>
      </c>
      <c r="D1262" t="s">
        <v>5616</v>
      </c>
      <c r="E1262" t="s">
        <v>5617</v>
      </c>
      <c r="F1262" t="s">
        <v>5618</v>
      </c>
      <c r="G1262">
        <v>16301</v>
      </c>
      <c r="H1262" t="s">
        <v>3469</v>
      </c>
      <c r="I1262" t="s">
        <v>3391</v>
      </c>
      <c r="J1262" t="s">
        <v>3392</v>
      </c>
      <c r="K1262" t="s">
        <v>3303</v>
      </c>
      <c r="L1262" t="s">
        <v>6778</v>
      </c>
      <c r="M1262" t="s">
        <v>6779</v>
      </c>
      <c r="N1262" t="s">
        <v>6792</v>
      </c>
      <c r="O1262">
        <v>1</v>
      </c>
      <c r="P1262" t="str">
        <f>+BARRAS[[#This Row],[Barra]]&amp;"_"&amp;BARRAS[[#This Row],[Nivel de tensión]]</f>
        <v>ALTAMIRANO_13</v>
      </c>
    </row>
    <row r="1263" spans="1:16">
      <c r="A1263" t="s">
        <v>5615</v>
      </c>
      <c r="B1263">
        <v>110</v>
      </c>
      <c r="C1263">
        <v>1</v>
      </c>
      <c r="D1263" t="s">
        <v>3397</v>
      </c>
      <c r="E1263" t="s">
        <v>5619</v>
      </c>
      <c r="F1263" t="s">
        <v>3420</v>
      </c>
      <c r="G1263">
        <v>16301</v>
      </c>
      <c r="H1263" t="s">
        <v>3469</v>
      </c>
      <c r="I1263" t="s">
        <v>3391</v>
      </c>
      <c r="J1263" t="s">
        <v>3392</v>
      </c>
      <c r="K1263" t="s">
        <v>3303</v>
      </c>
      <c r="L1263" t="s">
        <v>6778</v>
      </c>
      <c r="M1263" t="s">
        <v>6779</v>
      </c>
      <c r="N1263" t="s">
        <v>6792</v>
      </c>
      <c r="O1263">
        <v>1</v>
      </c>
      <c r="P1263" t="str">
        <f>+BARRAS[[#This Row],[Barra]]&amp;"_"&amp;BARRAS[[#This Row],[Nivel de tensión]]</f>
        <v>ALTAMIRANO_110</v>
      </c>
    </row>
    <row r="1264" spans="1:16">
      <c r="A1264" t="s">
        <v>5620</v>
      </c>
      <c r="B1264">
        <v>23</v>
      </c>
      <c r="C1264">
        <v>1744</v>
      </c>
      <c r="D1264" t="s">
        <v>5621</v>
      </c>
      <c r="E1264" t="s">
        <v>5622</v>
      </c>
      <c r="F1264" t="s">
        <v>5623</v>
      </c>
      <c r="G1264">
        <v>16301</v>
      </c>
      <c r="H1264" t="s">
        <v>3390</v>
      </c>
      <c r="I1264" t="s">
        <v>3391</v>
      </c>
      <c r="J1264" t="s">
        <v>3392</v>
      </c>
      <c r="K1264" t="s">
        <v>3305</v>
      </c>
      <c r="L1264" t="s">
        <v>6778</v>
      </c>
      <c r="M1264" t="s">
        <v>6779</v>
      </c>
      <c r="N1264" t="s">
        <v>6792</v>
      </c>
      <c r="O1264">
        <v>1</v>
      </c>
      <c r="P1264" t="str">
        <f>+BARRAS[[#This Row],[Barra]]&amp;"_"&amp;BARRAS[[#This Row],[Nivel de tensión]]</f>
        <v>ALTO_BONITO_23</v>
      </c>
    </row>
    <row r="1265" spans="1:16">
      <c r="A1265" t="s">
        <v>5620</v>
      </c>
      <c r="B1265">
        <v>110</v>
      </c>
      <c r="C1265">
        <v>1</v>
      </c>
      <c r="D1265" t="s">
        <v>3397</v>
      </c>
      <c r="E1265" t="s">
        <v>5624</v>
      </c>
      <c r="F1265" t="s">
        <v>3420</v>
      </c>
      <c r="G1265">
        <v>16301</v>
      </c>
      <c r="H1265" t="s">
        <v>3390</v>
      </c>
      <c r="I1265" t="s">
        <v>3391</v>
      </c>
      <c r="J1265" t="s">
        <v>3392</v>
      </c>
      <c r="K1265" t="s">
        <v>3305</v>
      </c>
      <c r="L1265" t="s">
        <v>6778</v>
      </c>
      <c r="M1265" t="s">
        <v>6779</v>
      </c>
      <c r="N1265" t="s">
        <v>6792</v>
      </c>
      <c r="O1265">
        <v>1</v>
      </c>
      <c r="P1265" t="str">
        <f>+BARRAS[[#This Row],[Barra]]&amp;"_"&amp;BARRAS[[#This Row],[Nivel de tensión]]</f>
        <v>ALTO_BONITO_110</v>
      </c>
    </row>
    <row r="1266" spans="1:16">
      <c r="A1266" t="s">
        <v>5625</v>
      </c>
      <c r="B1266">
        <v>110</v>
      </c>
      <c r="C1266">
        <v>1</v>
      </c>
      <c r="D1266" t="s">
        <v>3397</v>
      </c>
      <c r="E1266" t="s">
        <v>5626</v>
      </c>
      <c r="F1266" t="s">
        <v>3420</v>
      </c>
      <c r="G1266">
        <v>16301</v>
      </c>
      <c r="H1266" t="s">
        <v>3405</v>
      </c>
      <c r="I1266" t="s">
        <v>3391</v>
      </c>
      <c r="J1266" t="s">
        <v>3392</v>
      </c>
      <c r="K1266" t="s">
        <v>6315</v>
      </c>
      <c r="L1266" t="s">
        <v>6778</v>
      </c>
      <c r="M1266" t="s">
        <v>6779</v>
      </c>
      <c r="N1266" t="s">
        <v>6792</v>
      </c>
      <c r="O1266">
        <v>1</v>
      </c>
      <c r="P1266" t="str">
        <f>+BARRAS[[#This Row],[Barra]]&amp;"_"&amp;BARRAS[[#This Row],[Nivel de tensión]]</f>
        <v>ALTO_MAIPO_110</v>
      </c>
    </row>
    <row r="1267" spans="1:16">
      <c r="A1267" t="s">
        <v>5627</v>
      </c>
      <c r="B1267">
        <v>13</v>
      </c>
      <c r="C1267">
        <v>533</v>
      </c>
      <c r="D1267" t="s">
        <v>5628</v>
      </c>
      <c r="E1267" t="s">
        <v>5629</v>
      </c>
      <c r="F1267" t="s">
        <v>5630</v>
      </c>
      <c r="G1267">
        <v>16301</v>
      </c>
      <c r="H1267" t="s">
        <v>3400</v>
      </c>
      <c r="I1267" t="s">
        <v>3391</v>
      </c>
      <c r="J1267" t="s">
        <v>3392</v>
      </c>
      <c r="K1267" t="s">
        <v>3301</v>
      </c>
      <c r="L1267" t="s">
        <v>6778</v>
      </c>
      <c r="M1267" t="s">
        <v>6779</v>
      </c>
      <c r="N1267" t="s">
        <v>6792</v>
      </c>
      <c r="O1267">
        <v>1</v>
      </c>
      <c r="P1267" t="str">
        <f>+BARRAS[[#This Row],[Barra]]&amp;"_"&amp;BARRAS[[#This Row],[Nivel de tensión]]</f>
        <v>ALTODCARMEN_13</v>
      </c>
    </row>
    <row r="1268" spans="1:16">
      <c r="A1268" t="s">
        <v>5627</v>
      </c>
      <c r="B1268">
        <v>110</v>
      </c>
      <c r="C1268">
        <v>1</v>
      </c>
      <c r="D1268" t="s">
        <v>3397</v>
      </c>
      <c r="E1268" t="s">
        <v>5631</v>
      </c>
      <c r="F1268" t="s">
        <v>3420</v>
      </c>
      <c r="G1268">
        <v>16301</v>
      </c>
      <c r="H1268" t="s">
        <v>3400</v>
      </c>
      <c r="I1268" t="s">
        <v>3391</v>
      </c>
      <c r="J1268" t="s">
        <v>3392</v>
      </c>
      <c r="K1268" t="s">
        <v>3301</v>
      </c>
      <c r="L1268" t="s">
        <v>6778</v>
      </c>
      <c r="M1268" t="s">
        <v>6779</v>
      </c>
      <c r="N1268" t="s">
        <v>6792</v>
      </c>
      <c r="O1268">
        <v>1</v>
      </c>
      <c r="P1268" t="str">
        <f>+BARRAS[[#This Row],[Barra]]&amp;"_"&amp;BARRAS[[#This Row],[Nivel de tensión]]</f>
        <v>ALTODCARMEN_110</v>
      </c>
    </row>
    <row r="1269" spans="1:16">
      <c r="A1269" t="s">
        <v>5632</v>
      </c>
      <c r="B1269">
        <v>110</v>
      </c>
      <c r="C1269">
        <v>1871</v>
      </c>
      <c r="D1269" t="s">
        <v>5633</v>
      </c>
      <c r="E1269" t="s">
        <v>5634</v>
      </c>
      <c r="F1269" t="s">
        <v>5635</v>
      </c>
      <c r="G1269">
        <v>16301</v>
      </c>
      <c r="H1269" t="s">
        <v>3396</v>
      </c>
      <c r="I1269" t="s">
        <v>3391</v>
      </c>
      <c r="J1269" t="s">
        <v>3392</v>
      </c>
      <c r="K1269" t="s">
        <v>6315</v>
      </c>
      <c r="L1269" t="s">
        <v>6778</v>
      </c>
      <c r="M1269" t="s">
        <v>6779</v>
      </c>
      <c r="N1269" t="s">
        <v>6792</v>
      </c>
      <c r="O1269">
        <v>1</v>
      </c>
      <c r="P1269" t="str">
        <f>+BARRAS[[#This Row],[Barra]]&amp;"_"&amp;BARRAS[[#This Row],[Nivel de tensión]]</f>
        <v>ALTONORTE_110</v>
      </c>
    </row>
    <row r="1270" spans="1:16">
      <c r="A1270" t="s">
        <v>4479</v>
      </c>
      <c r="B1270">
        <v>66</v>
      </c>
      <c r="C1270">
        <v>1</v>
      </c>
      <c r="D1270" t="s">
        <v>3397</v>
      </c>
      <c r="E1270" t="s">
        <v>4482</v>
      </c>
      <c r="F1270" t="s">
        <v>3420</v>
      </c>
      <c r="G1270">
        <v>16301</v>
      </c>
      <c r="H1270" t="s">
        <v>3390</v>
      </c>
      <c r="I1270" t="s">
        <v>3391</v>
      </c>
      <c r="J1270" t="s">
        <v>3392</v>
      </c>
      <c r="K1270" t="s">
        <v>3305</v>
      </c>
      <c r="L1270" t="s">
        <v>6778</v>
      </c>
      <c r="M1270" t="s">
        <v>6779</v>
      </c>
      <c r="N1270" t="s">
        <v>6792</v>
      </c>
      <c r="O1270">
        <v>1</v>
      </c>
      <c r="P1270" t="str">
        <f>+BARRAS[[#This Row],[Barra]]&amp;"_"&amp;BARRAS[[#This Row],[Nivel de tensión]]</f>
        <v>R.NEGRO_66</v>
      </c>
    </row>
    <row r="1271" spans="1:16">
      <c r="A1271" t="s">
        <v>4483</v>
      </c>
      <c r="B1271">
        <v>220</v>
      </c>
      <c r="C1271">
        <v>2259</v>
      </c>
      <c r="D1271" t="s">
        <v>4484</v>
      </c>
      <c r="E1271" t="s">
        <v>4485</v>
      </c>
      <c r="F1271" t="s">
        <v>4486</v>
      </c>
      <c r="G1271">
        <v>16301</v>
      </c>
      <c r="H1271" t="s">
        <v>3405</v>
      </c>
      <c r="I1271" t="s">
        <v>3391</v>
      </c>
      <c r="J1271" t="s">
        <v>3392</v>
      </c>
      <c r="K1271" t="s">
        <v>6315</v>
      </c>
      <c r="L1271" t="s">
        <v>6778</v>
      </c>
      <c r="M1271" t="s">
        <v>6779</v>
      </c>
      <c r="N1271" t="s">
        <v>6792</v>
      </c>
      <c r="O1271">
        <v>1</v>
      </c>
      <c r="P1271" t="str">
        <f>+BARRAS[[#This Row],[Barra]]&amp;"_"&amp;BARRAS[[#This Row],[Nivel de tensión]]</f>
        <v>R.TOMIC_220</v>
      </c>
    </row>
    <row r="1272" spans="1:16">
      <c r="A1272" t="s">
        <v>3498</v>
      </c>
      <c r="B1272">
        <v>110</v>
      </c>
      <c r="C1272">
        <v>1</v>
      </c>
      <c r="D1272" t="s">
        <v>3397</v>
      </c>
      <c r="E1272" t="s">
        <v>3499</v>
      </c>
      <c r="F1272" t="s">
        <v>3420</v>
      </c>
      <c r="G1272">
        <v>16301</v>
      </c>
      <c r="H1272" t="s">
        <v>3418</v>
      </c>
      <c r="I1272" t="s">
        <v>3391</v>
      </c>
      <c r="J1272" t="s">
        <v>3392</v>
      </c>
      <c r="K1272" t="s">
        <v>3302</v>
      </c>
      <c r="L1272" t="s">
        <v>6778</v>
      </c>
      <c r="M1272" t="s">
        <v>6779</v>
      </c>
      <c r="N1272" t="s">
        <v>6792</v>
      </c>
      <c r="O1272">
        <v>1</v>
      </c>
      <c r="P1272" t="str">
        <f>+BARRAS[[#This Row],[Barra]]&amp;"_"&amp;BARRAS[[#This Row],[Nivel de tensión]]</f>
        <v>RACONCAGUA_110</v>
      </c>
    </row>
    <row r="1273" spans="1:16">
      <c r="A1273" t="s">
        <v>3498</v>
      </c>
      <c r="B1273">
        <v>220</v>
      </c>
      <c r="C1273">
        <v>1</v>
      </c>
      <c r="D1273" t="s">
        <v>3397</v>
      </c>
      <c r="E1273" t="s">
        <v>4487</v>
      </c>
      <c r="F1273" t="s">
        <v>3420</v>
      </c>
      <c r="G1273">
        <v>16301</v>
      </c>
      <c r="H1273" t="s">
        <v>3418</v>
      </c>
      <c r="I1273" t="s">
        <v>3391</v>
      </c>
      <c r="J1273" t="s">
        <v>3392</v>
      </c>
      <c r="K1273" t="s">
        <v>3302</v>
      </c>
      <c r="L1273" t="s">
        <v>6778</v>
      </c>
      <c r="M1273" t="s">
        <v>6779</v>
      </c>
      <c r="N1273" t="s">
        <v>6792</v>
      </c>
      <c r="O1273">
        <v>1</v>
      </c>
      <c r="P1273" t="str">
        <f>+BARRAS[[#This Row],[Barra]]&amp;"_"&amp;BARRAS[[#This Row],[Nivel de tensión]]</f>
        <v>RACONCAGUA_220</v>
      </c>
    </row>
    <row r="1274" spans="1:16">
      <c r="A1274" t="s">
        <v>1187</v>
      </c>
      <c r="B1274">
        <v>220</v>
      </c>
      <c r="C1274">
        <v>1</v>
      </c>
      <c r="D1274" t="s">
        <v>3397</v>
      </c>
      <c r="E1274" t="s">
        <v>4488</v>
      </c>
      <c r="F1274" t="s">
        <v>3420</v>
      </c>
      <c r="G1274">
        <v>16301</v>
      </c>
      <c r="H1274" t="s">
        <v>3409</v>
      </c>
      <c r="I1274" t="s">
        <v>3391</v>
      </c>
      <c r="J1274" t="s">
        <v>3392</v>
      </c>
      <c r="K1274" t="s">
        <v>6315</v>
      </c>
      <c r="L1274" t="s">
        <v>6778</v>
      </c>
      <c r="M1274" t="s">
        <v>6779</v>
      </c>
      <c r="N1274" t="s">
        <v>6792</v>
      </c>
      <c r="O1274">
        <v>1</v>
      </c>
      <c r="P1274" t="str">
        <f>+BARRAS[[#This Row],[Barra]]&amp;"_"&amp;BARRAS[[#This Row],[Nivel de tensión]]</f>
        <v>RAHUE_220</v>
      </c>
    </row>
    <row r="1275" spans="1:16">
      <c r="A1275" t="s">
        <v>4489</v>
      </c>
      <c r="B1275">
        <v>13</v>
      </c>
      <c r="C1275">
        <v>1</v>
      </c>
      <c r="D1275" t="s">
        <v>3397</v>
      </c>
      <c r="E1275" t="s">
        <v>3419</v>
      </c>
      <c r="F1275" t="s">
        <v>3420</v>
      </c>
      <c r="G1275">
        <v>16301</v>
      </c>
      <c r="H1275" t="s">
        <v>3405</v>
      </c>
      <c r="I1275" t="s">
        <v>3391</v>
      </c>
      <c r="J1275" t="s">
        <v>3392</v>
      </c>
      <c r="K1275" t="s">
        <v>6315</v>
      </c>
      <c r="L1275" t="s">
        <v>6778</v>
      </c>
      <c r="M1275" t="s">
        <v>6779</v>
      </c>
      <c r="N1275" t="s">
        <v>6792</v>
      </c>
      <c r="O1275">
        <v>1</v>
      </c>
      <c r="P1275" t="str">
        <f>+BARRAS[[#This Row],[Barra]]&amp;"_"&amp;BARRAS[[#This Row],[Nivel de tensión]]</f>
        <v>RALCO_13</v>
      </c>
    </row>
    <row r="1276" spans="1:16">
      <c r="A1276" t="s">
        <v>4489</v>
      </c>
      <c r="B1276">
        <v>220</v>
      </c>
      <c r="C1276">
        <v>1</v>
      </c>
      <c r="D1276" t="s">
        <v>3397</v>
      </c>
      <c r="E1276" t="s">
        <v>4490</v>
      </c>
      <c r="F1276" t="s">
        <v>3420</v>
      </c>
      <c r="G1276">
        <v>16301</v>
      </c>
      <c r="H1276" t="s">
        <v>3405</v>
      </c>
      <c r="I1276" t="s">
        <v>3391</v>
      </c>
      <c r="J1276" t="s">
        <v>3392</v>
      </c>
      <c r="K1276" t="s">
        <v>6315</v>
      </c>
      <c r="L1276" t="s">
        <v>6778</v>
      </c>
      <c r="M1276" t="s">
        <v>6779</v>
      </c>
      <c r="N1276" t="s">
        <v>6792</v>
      </c>
      <c r="O1276">
        <v>1</v>
      </c>
      <c r="P1276" t="str">
        <f>+BARRAS[[#This Row],[Barra]]&amp;"_"&amp;BARRAS[[#This Row],[Nivel de tensión]]</f>
        <v>RALCO_220</v>
      </c>
    </row>
    <row r="1277" spans="1:16">
      <c r="A1277" t="s">
        <v>4491</v>
      </c>
      <c r="B1277">
        <v>154</v>
      </c>
      <c r="C1277">
        <v>1245</v>
      </c>
      <c r="D1277" t="s">
        <v>4492</v>
      </c>
      <c r="E1277" t="s">
        <v>4493</v>
      </c>
      <c r="F1277" t="s">
        <v>4494</v>
      </c>
      <c r="G1277">
        <v>16301</v>
      </c>
      <c r="H1277" t="s">
        <v>3414</v>
      </c>
      <c r="I1277" t="s">
        <v>3391</v>
      </c>
      <c r="J1277" t="s">
        <v>3392</v>
      </c>
      <c r="K1277" t="s">
        <v>3304</v>
      </c>
      <c r="L1277" t="s">
        <v>6778</v>
      </c>
      <c r="M1277" t="s">
        <v>6779</v>
      </c>
      <c r="N1277" t="s">
        <v>6792</v>
      </c>
      <c r="O1277">
        <v>1</v>
      </c>
      <c r="P1277" t="str">
        <f>+BARRAS[[#This Row],[Barra]]&amp;"_"&amp;BARRAS[[#This Row],[Nivel de tensión]]</f>
        <v>RANCAGUA_154</v>
      </c>
    </row>
    <row r="1278" spans="1:16">
      <c r="A1278" t="s">
        <v>4495</v>
      </c>
      <c r="B1278">
        <v>66</v>
      </c>
      <c r="C1278">
        <v>1</v>
      </c>
      <c r="D1278" t="s">
        <v>3397</v>
      </c>
      <c r="E1278" t="s">
        <v>4496</v>
      </c>
      <c r="F1278" t="s">
        <v>3420</v>
      </c>
      <c r="G1278">
        <v>16301</v>
      </c>
      <c r="H1278" t="s">
        <v>3414</v>
      </c>
      <c r="I1278" t="s">
        <v>3391</v>
      </c>
      <c r="J1278" t="s">
        <v>3392</v>
      </c>
      <c r="K1278" t="s">
        <v>3304</v>
      </c>
      <c r="L1278" t="s">
        <v>6778</v>
      </c>
      <c r="M1278" t="s">
        <v>6779</v>
      </c>
      <c r="N1278" t="s">
        <v>6792</v>
      </c>
      <c r="O1278">
        <v>1</v>
      </c>
      <c r="P1278" t="str">
        <f>+BARRAS[[#This Row],[Barra]]&amp;"_"&amp;BARRAS[[#This Row],[Nivel de tensión]]</f>
        <v>RANCAGUA1_66</v>
      </c>
    </row>
    <row r="1279" spans="1:16">
      <c r="A1279" t="s">
        <v>4497</v>
      </c>
      <c r="B1279">
        <v>66</v>
      </c>
      <c r="C1279">
        <v>1</v>
      </c>
      <c r="D1279" t="s">
        <v>3397</v>
      </c>
      <c r="E1279" t="s">
        <v>4498</v>
      </c>
      <c r="F1279" t="s">
        <v>3420</v>
      </c>
      <c r="G1279">
        <v>16301</v>
      </c>
      <c r="H1279" t="s">
        <v>3414</v>
      </c>
      <c r="I1279" t="s">
        <v>3391</v>
      </c>
      <c r="J1279" t="s">
        <v>3392</v>
      </c>
      <c r="K1279" t="s">
        <v>3304</v>
      </c>
      <c r="L1279" t="s">
        <v>6778</v>
      </c>
      <c r="M1279" t="s">
        <v>6779</v>
      </c>
      <c r="N1279" t="s">
        <v>6792</v>
      </c>
      <c r="O1279">
        <v>1</v>
      </c>
      <c r="P1279" t="str">
        <f>+BARRAS[[#This Row],[Barra]]&amp;"_"&amp;BARRAS[[#This Row],[Nivel de tensión]]</f>
        <v>RANCAGUA2_66</v>
      </c>
    </row>
    <row r="1280" spans="1:16">
      <c r="A1280" t="s">
        <v>1194</v>
      </c>
      <c r="B1280">
        <v>13</v>
      </c>
      <c r="C1280">
        <v>633</v>
      </c>
      <c r="D1280" t="s">
        <v>4499</v>
      </c>
      <c r="E1280" t="s">
        <v>4500</v>
      </c>
      <c r="F1280" t="s">
        <v>4501</v>
      </c>
      <c r="G1280">
        <v>16301</v>
      </c>
      <c r="H1280" t="s">
        <v>3414</v>
      </c>
      <c r="I1280" t="s">
        <v>3391</v>
      </c>
      <c r="J1280" t="s">
        <v>3392</v>
      </c>
      <c r="K1280" t="s">
        <v>3304</v>
      </c>
      <c r="L1280" t="s">
        <v>6778</v>
      </c>
      <c r="M1280" t="s">
        <v>6779</v>
      </c>
      <c r="N1280" t="s">
        <v>6792</v>
      </c>
      <c r="O1280">
        <v>1</v>
      </c>
      <c r="P1280" t="str">
        <f>+BARRAS[[#This Row],[Barra]]&amp;"_"&amp;BARRAS[[#This Row],[Nivel de tensión]]</f>
        <v>RANGUILI_13</v>
      </c>
    </row>
    <row r="1281" spans="1:16">
      <c r="A1281" t="s">
        <v>1194</v>
      </c>
      <c r="B1281">
        <v>66</v>
      </c>
      <c r="C1281">
        <v>1</v>
      </c>
      <c r="D1281" t="s">
        <v>3397</v>
      </c>
      <c r="E1281" t="s">
        <v>4502</v>
      </c>
      <c r="F1281" t="s">
        <v>3420</v>
      </c>
      <c r="G1281">
        <v>16301</v>
      </c>
      <c r="H1281" t="s">
        <v>3414</v>
      </c>
      <c r="I1281" t="s">
        <v>3391</v>
      </c>
      <c r="J1281" t="s">
        <v>3392</v>
      </c>
      <c r="K1281" t="s">
        <v>3304</v>
      </c>
      <c r="L1281" t="s">
        <v>6778</v>
      </c>
      <c r="M1281" t="s">
        <v>6779</v>
      </c>
      <c r="N1281" t="s">
        <v>6792</v>
      </c>
      <c r="O1281">
        <v>1</v>
      </c>
      <c r="P1281" t="str">
        <f>+BARRAS[[#This Row],[Barra]]&amp;"_"&amp;BARRAS[[#This Row],[Nivel de tensión]]</f>
        <v>RANGUILI_66</v>
      </c>
    </row>
    <row r="1282" spans="1:16">
      <c r="A1282" t="s">
        <v>1197</v>
      </c>
      <c r="B1282">
        <v>66</v>
      </c>
      <c r="C1282">
        <v>1</v>
      </c>
      <c r="D1282" t="s">
        <v>3397</v>
      </c>
      <c r="E1282" t="s">
        <v>4503</v>
      </c>
      <c r="F1282" t="s">
        <v>3420</v>
      </c>
      <c r="G1282">
        <v>16301</v>
      </c>
      <c r="H1282" t="s">
        <v>3414</v>
      </c>
      <c r="I1282" t="s">
        <v>3391</v>
      </c>
      <c r="J1282" t="s">
        <v>3392</v>
      </c>
      <c r="K1282" t="s">
        <v>3304</v>
      </c>
      <c r="L1282" t="s">
        <v>6778</v>
      </c>
      <c r="M1282" t="s">
        <v>6779</v>
      </c>
      <c r="N1282" t="s">
        <v>6792</v>
      </c>
      <c r="O1282">
        <v>1</v>
      </c>
      <c r="P1282" t="str">
        <f>+BARRAS[[#This Row],[Barra]]&amp;"_"&amp;BARRAS[[#This Row],[Nivel de tensión]]</f>
        <v>RAPEL_66</v>
      </c>
    </row>
    <row r="1283" spans="1:16">
      <c r="A1283" t="s">
        <v>1197</v>
      </c>
      <c r="B1283">
        <v>220</v>
      </c>
      <c r="C1283">
        <v>1</v>
      </c>
      <c r="D1283" t="s">
        <v>3397</v>
      </c>
      <c r="E1283" t="s">
        <v>4504</v>
      </c>
      <c r="F1283" t="s">
        <v>3420</v>
      </c>
      <c r="G1283">
        <v>16301</v>
      </c>
      <c r="H1283" t="s">
        <v>3396</v>
      </c>
      <c r="I1283" t="s">
        <v>3391</v>
      </c>
      <c r="J1283" t="s">
        <v>3392</v>
      </c>
      <c r="K1283" t="s">
        <v>6315</v>
      </c>
      <c r="L1283" t="s">
        <v>6778</v>
      </c>
      <c r="M1283" t="s">
        <v>6779</v>
      </c>
      <c r="N1283" t="s">
        <v>6792</v>
      </c>
      <c r="O1283">
        <v>1</v>
      </c>
      <c r="P1283" t="str">
        <f>+BARRAS[[#This Row],[Barra]]&amp;"_"&amp;BARRAS[[#This Row],[Nivel de tensión]]</f>
        <v>RAPEL_220</v>
      </c>
    </row>
    <row r="1284" spans="1:16">
      <c r="A1284" t="s">
        <v>1200</v>
      </c>
      <c r="B1284">
        <v>13</v>
      </c>
      <c r="C1284">
        <v>120</v>
      </c>
      <c r="D1284" t="s">
        <v>4505</v>
      </c>
      <c r="E1284" t="s">
        <v>4506</v>
      </c>
      <c r="F1284" t="s">
        <v>4507</v>
      </c>
      <c r="G1284">
        <v>16301</v>
      </c>
      <c r="H1284" t="s">
        <v>3414</v>
      </c>
      <c r="I1284" t="s">
        <v>3391</v>
      </c>
      <c r="J1284" t="s">
        <v>3392</v>
      </c>
      <c r="K1284" t="s">
        <v>3304</v>
      </c>
      <c r="L1284" t="s">
        <v>6778</v>
      </c>
      <c r="M1284" t="s">
        <v>6779</v>
      </c>
      <c r="N1284" t="s">
        <v>6792</v>
      </c>
      <c r="O1284">
        <v>1</v>
      </c>
      <c r="P1284" t="str">
        <f>+BARRAS[[#This Row],[Barra]]&amp;"_"&amp;BARRAS[[#This Row],[Nivel de tensión]]</f>
        <v>RAUQUEN_13</v>
      </c>
    </row>
    <row r="1285" spans="1:16">
      <c r="A1285" t="s">
        <v>1200</v>
      </c>
      <c r="B1285">
        <v>66</v>
      </c>
      <c r="C1285">
        <v>1</v>
      </c>
      <c r="D1285" t="s">
        <v>3397</v>
      </c>
      <c r="E1285" t="s">
        <v>4508</v>
      </c>
      <c r="F1285" t="s">
        <v>3420</v>
      </c>
      <c r="G1285">
        <v>16301</v>
      </c>
      <c r="H1285" t="s">
        <v>3414</v>
      </c>
      <c r="I1285" t="s">
        <v>3391</v>
      </c>
      <c r="J1285" t="s">
        <v>3392</v>
      </c>
      <c r="K1285" t="s">
        <v>3304</v>
      </c>
      <c r="L1285" t="s">
        <v>6778</v>
      </c>
      <c r="M1285" t="s">
        <v>6779</v>
      </c>
      <c r="N1285" t="s">
        <v>6792</v>
      </c>
      <c r="O1285">
        <v>1</v>
      </c>
      <c r="P1285" t="str">
        <f>+BARRAS[[#This Row],[Barra]]&amp;"_"&amp;BARRAS[[#This Row],[Nivel de tensión]]</f>
        <v>RAUQUEN_66</v>
      </c>
    </row>
    <row r="1286" spans="1:16">
      <c r="A1286" t="s">
        <v>4509</v>
      </c>
      <c r="B1286">
        <v>13</v>
      </c>
      <c r="C1286">
        <v>1056</v>
      </c>
      <c r="D1286" t="s">
        <v>4510</v>
      </c>
      <c r="E1286" t="s">
        <v>4511</v>
      </c>
      <c r="F1286" t="s">
        <v>4512</v>
      </c>
      <c r="G1286">
        <v>16301</v>
      </c>
      <c r="H1286" t="s">
        <v>3414</v>
      </c>
      <c r="I1286" t="s">
        <v>3391</v>
      </c>
      <c r="J1286" t="s">
        <v>3392</v>
      </c>
      <c r="K1286" t="s">
        <v>3304</v>
      </c>
      <c r="L1286" t="s">
        <v>6778</v>
      </c>
      <c r="M1286" t="s">
        <v>6779</v>
      </c>
      <c r="N1286" t="s">
        <v>6792</v>
      </c>
      <c r="O1286">
        <v>1</v>
      </c>
      <c r="P1286" t="str">
        <f>+BARRAS[[#This Row],[Barra]]&amp;"_"&amp;BARRAS[[#This Row],[Nivel de tensión]]</f>
        <v>RECINTO_13</v>
      </c>
    </row>
    <row r="1287" spans="1:16">
      <c r="A1287" t="s">
        <v>4509</v>
      </c>
      <c r="B1287">
        <v>23</v>
      </c>
      <c r="C1287">
        <v>1056</v>
      </c>
      <c r="D1287" t="s">
        <v>4513</v>
      </c>
      <c r="E1287" t="s">
        <v>4511</v>
      </c>
      <c r="F1287" t="s">
        <v>4512</v>
      </c>
      <c r="G1287">
        <v>16106</v>
      </c>
      <c r="H1287" t="s">
        <v>3414</v>
      </c>
      <c r="I1287" t="s">
        <v>3391</v>
      </c>
      <c r="J1287" t="s">
        <v>4514</v>
      </c>
      <c r="K1287" t="s">
        <v>3304</v>
      </c>
      <c r="L1287" t="s">
        <v>6778</v>
      </c>
      <c r="M1287" t="s">
        <v>6779</v>
      </c>
      <c r="N1287" t="s">
        <v>6792</v>
      </c>
      <c r="O1287">
        <v>1</v>
      </c>
      <c r="P1287" t="str">
        <f>+BARRAS[[#This Row],[Barra]]&amp;"_"&amp;BARRAS[[#This Row],[Nivel de tensión]]</f>
        <v>RECINTO_23</v>
      </c>
    </row>
    <row r="1288" spans="1:16">
      <c r="A1288" t="s">
        <v>4509</v>
      </c>
      <c r="B1288">
        <v>33</v>
      </c>
      <c r="C1288">
        <v>1</v>
      </c>
      <c r="D1288" t="s">
        <v>3397</v>
      </c>
      <c r="E1288" t="s">
        <v>4515</v>
      </c>
      <c r="F1288" t="s">
        <v>3420</v>
      </c>
      <c r="G1288">
        <v>16301</v>
      </c>
      <c r="H1288" t="s">
        <v>3414</v>
      </c>
      <c r="I1288" t="s">
        <v>3391</v>
      </c>
      <c r="J1288" t="s">
        <v>3392</v>
      </c>
      <c r="K1288" t="s">
        <v>3304</v>
      </c>
      <c r="L1288" t="s">
        <v>6778</v>
      </c>
      <c r="M1288" t="s">
        <v>6779</v>
      </c>
      <c r="N1288" t="s">
        <v>6792</v>
      </c>
      <c r="O1288">
        <v>1</v>
      </c>
      <c r="P1288" t="str">
        <f>+BARRAS[[#This Row],[Barra]]&amp;"_"&amp;BARRAS[[#This Row],[Nivel de tensión]]</f>
        <v>RECINTO_33</v>
      </c>
    </row>
    <row r="1289" spans="1:16">
      <c r="A1289" t="s">
        <v>4516</v>
      </c>
      <c r="B1289">
        <v>13</v>
      </c>
      <c r="C1289">
        <v>890</v>
      </c>
      <c r="D1289" t="s">
        <v>4517</v>
      </c>
      <c r="E1289" t="s">
        <v>4518</v>
      </c>
      <c r="F1289" t="s">
        <v>4519</v>
      </c>
      <c r="G1289">
        <v>16301</v>
      </c>
      <c r="H1289" t="s">
        <v>3469</v>
      </c>
      <c r="I1289" t="s">
        <v>3391</v>
      </c>
      <c r="J1289" t="s">
        <v>3392</v>
      </c>
      <c r="K1289" t="s">
        <v>3303</v>
      </c>
      <c r="L1289" t="s">
        <v>6778</v>
      </c>
      <c r="M1289" t="s">
        <v>6779</v>
      </c>
      <c r="N1289" t="s">
        <v>6792</v>
      </c>
      <c r="O1289">
        <v>1</v>
      </c>
      <c r="P1289" t="str">
        <f>+BARRAS[[#This Row],[Barra]]&amp;"_"&amp;BARRAS[[#This Row],[Nivel de tensión]]</f>
        <v>RECOLETA_13</v>
      </c>
    </row>
    <row r="1290" spans="1:16">
      <c r="A1290" t="s">
        <v>4516</v>
      </c>
      <c r="B1290">
        <v>110</v>
      </c>
      <c r="C1290">
        <v>1</v>
      </c>
      <c r="D1290" t="s">
        <v>3397</v>
      </c>
      <c r="E1290" t="s">
        <v>4520</v>
      </c>
      <c r="F1290" t="s">
        <v>3420</v>
      </c>
      <c r="G1290">
        <v>16301</v>
      </c>
      <c r="H1290" t="s">
        <v>3469</v>
      </c>
      <c r="I1290" t="s">
        <v>3391</v>
      </c>
      <c r="J1290" t="s">
        <v>3392</v>
      </c>
      <c r="K1290" t="s">
        <v>3303</v>
      </c>
      <c r="L1290" t="s">
        <v>6778</v>
      </c>
      <c r="M1290" t="s">
        <v>6779</v>
      </c>
      <c r="N1290" t="s">
        <v>6792</v>
      </c>
      <c r="O1290">
        <v>1</v>
      </c>
      <c r="P1290" t="str">
        <f>+BARRAS[[#This Row],[Barra]]&amp;"_"&amp;BARRAS[[#This Row],[Nivel de tensión]]</f>
        <v>RECOLETA_110</v>
      </c>
    </row>
    <row r="1291" spans="1:16">
      <c r="A1291" t="s">
        <v>4521</v>
      </c>
      <c r="B1291">
        <v>66</v>
      </c>
      <c r="C1291">
        <v>1</v>
      </c>
      <c r="D1291" t="s">
        <v>3397</v>
      </c>
      <c r="E1291" t="s">
        <v>4522</v>
      </c>
      <c r="F1291" t="s">
        <v>3420</v>
      </c>
      <c r="G1291">
        <v>16301</v>
      </c>
      <c r="H1291" t="s">
        <v>3390</v>
      </c>
      <c r="I1291" t="s">
        <v>3391</v>
      </c>
      <c r="J1291" t="s">
        <v>3392</v>
      </c>
      <c r="K1291" t="s">
        <v>3305</v>
      </c>
      <c r="L1291" t="s">
        <v>6778</v>
      </c>
      <c r="M1291" t="s">
        <v>6779</v>
      </c>
      <c r="N1291" t="s">
        <v>6792</v>
      </c>
      <c r="O1291">
        <v>1</v>
      </c>
      <c r="P1291" t="str">
        <f>+BARRAS[[#This Row],[Barra]]&amp;"_"&amp;BARRAS[[#This Row],[Nivel de tensión]]</f>
        <v>REMEHUE_66</v>
      </c>
    </row>
    <row r="1292" spans="1:16">
      <c r="A1292" t="s">
        <v>4523</v>
      </c>
      <c r="B1292">
        <v>13</v>
      </c>
      <c r="C1292">
        <v>1031</v>
      </c>
      <c r="D1292" t="s">
        <v>4524</v>
      </c>
      <c r="E1292" t="s">
        <v>4525</v>
      </c>
      <c r="F1292" t="s">
        <v>4526</v>
      </c>
      <c r="G1292">
        <v>16301</v>
      </c>
      <c r="H1292" t="s">
        <v>3418</v>
      </c>
      <c r="I1292" t="s">
        <v>3391</v>
      </c>
      <c r="J1292" t="s">
        <v>3392</v>
      </c>
      <c r="K1292" t="s">
        <v>3302</v>
      </c>
      <c r="L1292" t="s">
        <v>6778</v>
      </c>
      <c r="M1292" t="s">
        <v>6779</v>
      </c>
      <c r="N1292" t="s">
        <v>6792</v>
      </c>
      <c r="O1292">
        <v>1</v>
      </c>
      <c r="P1292" t="str">
        <f>+BARRAS[[#This Row],[Barra]]&amp;"_"&amp;BARRAS[[#This Row],[Nivel de tensión]]</f>
        <v>RENACA_13</v>
      </c>
    </row>
    <row r="1293" spans="1:16">
      <c r="A1293" t="s">
        <v>4523</v>
      </c>
      <c r="B1293">
        <v>110</v>
      </c>
      <c r="C1293">
        <v>1</v>
      </c>
      <c r="D1293" t="s">
        <v>3397</v>
      </c>
      <c r="E1293" t="s">
        <v>4527</v>
      </c>
      <c r="F1293" t="s">
        <v>3420</v>
      </c>
      <c r="G1293">
        <v>16301</v>
      </c>
      <c r="H1293" t="s">
        <v>3418</v>
      </c>
      <c r="I1293" t="s">
        <v>3391</v>
      </c>
      <c r="J1293" t="s">
        <v>3392</v>
      </c>
      <c r="K1293" t="s">
        <v>3302</v>
      </c>
      <c r="L1293" t="s">
        <v>6778</v>
      </c>
      <c r="M1293" t="s">
        <v>6779</v>
      </c>
      <c r="N1293" t="s">
        <v>6792</v>
      </c>
      <c r="O1293">
        <v>1</v>
      </c>
      <c r="P1293" t="str">
        <f>+BARRAS[[#This Row],[Barra]]&amp;"_"&amp;BARRAS[[#This Row],[Nivel de tensión]]</f>
        <v>RENACA_110</v>
      </c>
    </row>
    <row r="1294" spans="1:16">
      <c r="A1294" t="s">
        <v>4528</v>
      </c>
      <c r="B1294">
        <v>66</v>
      </c>
      <c r="C1294">
        <v>1159</v>
      </c>
      <c r="D1294" t="s">
        <v>4529</v>
      </c>
      <c r="E1294" t="s">
        <v>4530</v>
      </c>
      <c r="F1294" t="s">
        <v>4531</v>
      </c>
      <c r="G1294">
        <v>16301</v>
      </c>
      <c r="H1294" t="s">
        <v>3414</v>
      </c>
      <c r="I1294" t="s">
        <v>3391</v>
      </c>
      <c r="J1294" t="s">
        <v>3392</v>
      </c>
      <c r="K1294" t="s">
        <v>3304</v>
      </c>
      <c r="L1294" t="s">
        <v>6778</v>
      </c>
      <c r="M1294" t="s">
        <v>6779</v>
      </c>
      <c r="N1294" t="s">
        <v>6792</v>
      </c>
      <c r="O1294">
        <v>1</v>
      </c>
      <c r="P1294" t="str">
        <f>+BARRAS[[#This Row],[Barra]]&amp;"_"&amp;BARRAS[[#This Row],[Nivel de tensión]]</f>
        <v>RENAICO_66</v>
      </c>
    </row>
    <row r="1295" spans="1:16">
      <c r="A1295" t="s">
        <v>4532</v>
      </c>
      <c r="B1295">
        <v>110</v>
      </c>
      <c r="C1295">
        <v>895</v>
      </c>
      <c r="D1295" t="s">
        <v>4533</v>
      </c>
      <c r="E1295" t="s">
        <v>4534</v>
      </c>
      <c r="F1295" t="s">
        <v>4535</v>
      </c>
      <c r="G1295">
        <v>16301</v>
      </c>
      <c r="H1295" t="s">
        <v>3469</v>
      </c>
      <c r="I1295" t="s">
        <v>3391</v>
      </c>
      <c r="J1295" t="s">
        <v>3392</v>
      </c>
      <c r="K1295" t="s">
        <v>3303</v>
      </c>
      <c r="L1295" t="s">
        <v>6778</v>
      </c>
      <c r="M1295" t="s">
        <v>6779</v>
      </c>
      <c r="N1295" t="s">
        <v>6792</v>
      </c>
      <c r="O1295">
        <v>1</v>
      </c>
      <c r="P1295" t="str">
        <f>+BARRAS[[#This Row],[Barra]]&amp;"_"&amp;BARRAS[[#This Row],[Nivel de tensión]]</f>
        <v>RENCA_110</v>
      </c>
    </row>
    <row r="1296" spans="1:16">
      <c r="A1296" t="s">
        <v>5743</v>
      </c>
      <c r="B1296">
        <v>110</v>
      </c>
      <c r="C1296">
        <v>1</v>
      </c>
      <c r="D1296" t="s">
        <v>3397</v>
      </c>
      <c r="E1296" t="s">
        <v>5747</v>
      </c>
      <c r="F1296" t="s">
        <v>3420</v>
      </c>
      <c r="G1296">
        <v>16301</v>
      </c>
      <c r="H1296" t="s">
        <v>3469</v>
      </c>
      <c r="I1296" t="s">
        <v>3391</v>
      </c>
      <c r="J1296" t="s">
        <v>3392</v>
      </c>
      <c r="K1296" t="s">
        <v>3303</v>
      </c>
      <c r="L1296" t="s">
        <v>6778</v>
      </c>
      <c r="M1296" t="s">
        <v>6779</v>
      </c>
      <c r="N1296" t="s">
        <v>6792</v>
      </c>
      <c r="O1296">
        <v>1</v>
      </c>
      <c r="P1296" t="str">
        <f>+BARRAS[[#This Row],[Barra]]&amp;"_"&amp;BARRAS[[#This Row],[Nivel de tensión]]</f>
        <v>APOQUINDO_110</v>
      </c>
    </row>
    <row r="1297" spans="1:16">
      <c r="A1297" t="s">
        <v>6525</v>
      </c>
      <c r="B1297">
        <v>33</v>
      </c>
      <c r="D1297" t="s">
        <v>3680</v>
      </c>
      <c r="E1297" t="s">
        <v>3925</v>
      </c>
      <c r="F1297" t="s">
        <v>6526</v>
      </c>
      <c r="G1297">
        <v>2104</v>
      </c>
      <c r="H1297" t="s">
        <v>3405</v>
      </c>
      <c r="I1297" t="s">
        <v>3683</v>
      </c>
      <c r="J1297" t="s">
        <v>6527</v>
      </c>
      <c r="K1297" t="s">
        <v>6315</v>
      </c>
      <c r="L1297" t="s">
        <v>6778</v>
      </c>
      <c r="M1297" t="s">
        <v>6779</v>
      </c>
      <c r="N1297" t="s">
        <v>6792</v>
      </c>
      <c r="O1297">
        <v>1</v>
      </c>
      <c r="P1297" t="str">
        <f>+BARRAS[[#This Row],[Barra]]&amp;"_"&amp;BARRAS[[#This Row],[Nivel de tensión]]</f>
        <v>ARENA_33</v>
      </c>
    </row>
    <row r="1298" spans="1:16">
      <c r="A1298" t="s">
        <v>6525</v>
      </c>
      <c r="B1298">
        <v>220</v>
      </c>
      <c r="D1298" t="s">
        <v>3680</v>
      </c>
      <c r="E1298" t="s">
        <v>3925</v>
      </c>
      <c r="F1298" t="s">
        <v>6526</v>
      </c>
      <c r="G1298">
        <v>2104</v>
      </c>
      <c r="H1298" t="s">
        <v>3405</v>
      </c>
      <c r="I1298" t="s">
        <v>3683</v>
      </c>
      <c r="J1298" t="s">
        <v>6527</v>
      </c>
      <c r="K1298" t="s">
        <v>6315</v>
      </c>
      <c r="L1298" t="s">
        <v>6778</v>
      </c>
      <c r="M1298" t="s">
        <v>6779</v>
      </c>
      <c r="N1298" t="s">
        <v>6792</v>
      </c>
      <c r="O1298">
        <v>1</v>
      </c>
      <c r="P1298" t="str">
        <f>+BARRAS[[#This Row],[Barra]]&amp;"_"&amp;BARRAS[[#This Row],[Nivel de tensión]]</f>
        <v>ARENA_220</v>
      </c>
    </row>
    <row r="1299" spans="1:16">
      <c r="A1299" t="s">
        <v>5748</v>
      </c>
      <c r="B1299">
        <v>13</v>
      </c>
      <c r="C1299">
        <v>1896</v>
      </c>
      <c r="D1299" t="s">
        <v>5749</v>
      </c>
      <c r="E1299" t="s">
        <v>5750</v>
      </c>
      <c r="F1299" t="s">
        <v>3484</v>
      </c>
      <c r="G1299">
        <v>16301</v>
      </c>
      <c r="H1299" t="s">
        <v>3443</v>
      </c>
      <c r="I1299" t="s">
        <v>3391</v>
      </c>
      <c r="J1299" t="s">
        <v>3392</v>
      </c>
      <c r="K1299" t="s">
        <v>3300</v>
      </c>
      <c r="L1299" t="s">
        <v>6778</v>
      </c>
      <c r="M1299" t="s">
        <v>6779</v>
      </c>
      <c r="N1299" t="s">
        <v>6792</v>
      </c>
      <c r="O1299">
        <v>1</v>
      </c>
      <c r="P1299" t="str">
        <f>+BARRAS[[#This Row],[Barra]]&amp;"_"&amp;BARRAS[[#This Row],[Nivel de tensión]]</f>
        <v>ARICA_13</v>
      </c>
    </row>
    <row r="1300" spans="1:16">
      <c r="A1300" t="s">
        <v>5748</v>
      </c>
      <c r="B1300">
        <v>66</v>
      </c>
      <c r="C1300">
        <v>1897</v>
      </c>
      <c r="D1300" t="s">
        <v>5751</v>
      </c>
      <c r="E1300" t="s">
        <v>5752</v>
      </c>
      <c r="F1300" t="s">
        <v>5753</v>
      </c>
      <c r="G1300">
        <v>16301</v>
      </c>
      <c r="H1300" t="s">
        <v>3443</v>
      </c>
      <c r="I1300" t="s">
        <v>3391</v>
      </c>
      <c r="J1300" t="s">
        <v>3392</v>
      </c>
      <c r="K1300" t="s">
        <v>3300</v>
      </c>
      <c r="L1300" t="s">
        <v>6778</v>
      </c>
      <c r="M1300" t="s">
        <v>6779</v>
      </c>
      <c r="N1300" t="s">
        <v>6792</v>
      </c>
      <c r="O1300">
        <v>1</v>
      </c>
      <c r="P1300" t="str">
        <f>+BARRAS[[#This Row],[Barra]]&amp;"_"&amp;BARRAS[[#This Row],[Nivel de tensión]]</f>
        <v>ARICA_66</v>
      </c>
    </row>
    <row r="1301" spans="1:16">
      <c r="A1301" t="s">
        <v>5748</v>
      </c>
      <c r="B1301">
        <v>110</v>
      </c>
      <c r="C1301">
        <v>1893</v>
      </c>
      <c r="D1301" t="s">
        <v>5754</v>
      </c>
      <c r="E1301" t="s">
        <v>5755</v>
      </c>
      <c r="F1301" t="s">
        <v>5753</v>
      </c>
      <c r="G1301">
        <v>16301</v>
      </c>
      <c r="H1301" t="s">
        <v>3443</v>
      </c>
      <c r="I1301" t="s">
        <v>3391</v>
      </c>
      <c r="J1301" t="s">
        <v>3392</v>
      </c>
      <c r="K1301" t="s">
        <v>3300</v>
      </c>
      <c r="L1301" t="s">
        <v>6778</v>
      </c>
      <c r="M1301" t="s">
        <v>6779</v>
      </c>
      <c r="N1301" t="s">
        <v>6792</v>
      </c>
      <c r="O1301">
        <v>1</v>
      </c>
      <c r="P1301" t="str">
        <f>+BARRAS[[#This Row],[Barra]]&amp;"_"&amp;BARRAS[[#This Row],[Nivel de tensión]]</f>
        <v>ARICA_110</v>
      </c>
    </row>
    <row r="1302" spans="1:16">
      <c r="A1302" t="s">
        <v>93</v>
      </c>
      <c r="B1302">
        <v>23</v>
      </c>
      <c r="C1302">
        <v>2738</v>
      </c>
      <c r="D1302" t="s">
        <v>3397</v>
      </c>
      <c r="E1302" t="s">
        <v>3398</v>
      </c>
      <c r="F1302" t="s">
        <v>3399</v>
      </c>
      <c r="G1302">
        <v>16301</v>
      </c>
      <c r="H1302" t="s">
        <v>3400</v>
      </c>
      <c r="I1302" t="s">
        <v>3391</v>
      </c>
      <c r="J1302" t="s">
        <v>3392</v>
      </c>
      <c r="K1302" t="s">
        <v>3301</v>
      </c>
      <c r="L1302" t="s">
        <v>6778</v>
      </c>
      <c r="M1302" t="s">
        <v>6779</v>
      </c>
      <c r="N1302" t="s">
        <v>6792</v>
      </c>
      <c r="O1302">
        <v>1</v>
      </c>
      <c r="P1302" t="str">
        <f>+BARRAS[[#This Row],[Barra]]&amp;"_"&amp;BARRAS[[#This Row],[Nivel de tensión]]</f>
        <v>ARMAZONES_23</v>
      </c>
    </row>
    <row r="1303" spans="1:16">
      <c r="A1303" t="s">
        <v>93</v>
      </c>
      <c r="B1303">
        <v>66</v>
      </c>
      <c r="C1303">
        <v>1</v>
      </c>
      <c r="D1303" t="s">
        <v>3397</v>
      </c>
      <c r="E1303" t="s">
        <v>3419</v>
      </c>
      <c r="F1303" t="s">
        <v>3420</v>
      </c>
      <c r="G1303">
        <v>16301</v>
      </c>
      <c r="H1303" t="s">
        <v>3400</v>
      </c>
      <c r="I1303" t="s">
        <v>3391</v>
      </c>
      <c r="J1303" t="s">
        <v>3392</v>
      </c>
      <c r="K1303" t="s">
        <v>3301</v>
      </c>
      <c r="L1303" t="s">
        <v>6778</v>
      </c>
      <c r="M1303" t="s">
        <v>6779</v>
      </c>
      <c r="N1303" t="s">
        <v>6792</v>
      </c>
      <c r="O1303">
        <v>1</v>
      </c>
      <c r="P1303" t="str">
        <f>+BARRAS[[#This Row],[Barra]]&amp;"_"&amp;BARRAS[[#This Row],[Nivel de tensión]]</f>
        <v>ARMAZONES_66</v>
      </c>
    </row>
    <row r="1304" spans="1:16">
      <c r="A1304" t="s">
        <v>5756</v>
      </c>
      <c r="B1304">
        <v>66</v>
      </c>
      <c r="C1304">
        <v>1</v>
      </c>
      <c r="D1304" t="s">
        <v>3397</v>
      </c>
      <c r="E1304" t="s">
        <v>3419</v>
      </c>
      <c r="F1304" t="s">
        <v>3420</v>
      </c>
      <c r="G1304">
        <v>16301</v>
      </c>
      <c r="H1304" t="s">
        <v>3405</v>
      </c>
      <c r="I1304" t="s">
        <v>3391</v>
      </c>
      <c r="J1304" t="s">
        <v>3392</v>
      </c>
      <c r="K1304" t="s">
        <v>6315</v>
      </c>
      <c r="L1304" t="s">
        <v>6778</v>
      </c>
      <c r="M1304" t="s">
        <v>6779</v>
      </c>
      <c r="N1304" t="s">
        <v>6792</v>
      </c>
      <c r="O1304">
        <v>1</v>
      </c>
      <c r="P1304" t="str">
        <f>+BARRAS[[#This Row],[Barra]]&amp;"_"&amp;BARRAS[[#This Row],[Nivel de tensión]]</f>
        <v>ARMERILLO_66</v>
      </c>
    </row>
    <row r="1305" spans="1:16">
      <c r="A1305" t="s">
        <v>5756</v>
      </c>
      <c r="B1305">
        <v>220</v>
      </c>
      <c r="C1305">
        <v>1</v>
      </c>
      <c r="D1305" t="s">
        <v>3397</v>
      </c>
      <c r="E1305" t="s">
        <v>5757</v>
      </c>
      <c r="F1305" t="s">
        <v>3420</v>
      </c>
      <c r="G1305">
        <v>16301</v>
      </c>
      <c r="H1305" t="s">
        <v>3405</v>
      </c>
      <c r="I1305" t="s">
        <v>3391</v>
      </c>
      <c r="J1305" t="s">
        <v>3392</v>
      </c>
      <c r="K1305" t="s">
        <v>6315</v>
      </c>
      <c r="L1305" t="s">
        <v>6778</v>
      </c>
      <c r="M1305" t="s">
        <v>6779</v>
      </c>
      <c r="N1305" t="s">
        <v>6792</v>
      </c>
      <c r="O1305">
        <v>1</v>
      </c>
      <c r="P1305" t="str">
        <f>+BARRAS[[#This Row],[Barra]]&amp;"_"&amp;BARRAS[[#This Row],[Nivel de tensión]]</f>
        <v>ARMERILLO_220</v>
      </c>
    </row>
    <row r="1306" spans="1:16">
      <c r="A1306" t="s">
        <v>5758</v>
      </c>
      <c r="B1306">
        <v>154</v>
      </c>
      <c r="C1306">
        <v>1</v>
      </c>
      <c r="D1306" t="s">
        <v>3397</v>
      </c>
      <c r="E1306" t="s">
        <v>5759</v>
      </c>
      <c r="F1306" t="s">
        <v>3420</v>
      </c>
      <c r="G1306">
        <v>16301</v>
      </c>
      <c r="H1306" t="s">
        <v>3405</v>
      </c>
      <c r="I1306" t="s">
        <v>3391</v>
      </c>
      <c r="J1306" t="s">
        <v>3392</v>
      </c>
      <c r="K1306" t="s">
        <v>6315</v>
      </c>
      <c r="L1306" t="s">
        <v>6778</v>
      </c>
      <c r="M1306" t="s">
        <v>6779</v>
      </c>
      <c r="N1306" t="s">
        <v>6792</v>
      </c>
      <c r="O1306">
        <v>1</v>
      </c>
      <c r="P1306" t="str">
        <f>+BARRAS[[#This Row],[Barra]]&amp;"_"&amp;BARRAS[[#This Row],[Nivel de tensión]]</f>
        <v>ARR.PETROQ._154</v>
      </c>
    </row>
    <row r="1307" spans="1:16">
      <c r="A1307" t="s">
        <v>5760</v>
      </c>
      <c r="B1307">
        <v>220</v>
      </c>
      <c r="C1307">
        <v>1</v>
      </c>
      <c r="D1307" t="s">
        <v>3397</v>
      </c>
      <c r="E1307" t="s">
        <v>5761</v>
      </c>
      <c r="F1307" t="s">
        <v>3420</v>
      </c>
      <c r="G1307">
        <v>16301</v>
      </c>
      <c r="H1307" t="s">
        <v>3405</v>
      </c>
      <c r="I1307" t="s">
        <v>3391</v>
      </c>
      <c r="J1307" t="s">
        <v>3392</v>
      </c>
      <c r="K1307" t="s">
        <v>6315</v>
      </c>
      <c r="L1307" t="s">
        <v>6778</v>
      </c>
      <c r="M1307" t="s">
        <v>6779</v>
      </c>
      <c r="N1307" t="s">
        <v>6792</v>
      </c>
      <c r="O1307">
        <v>1</v>
      </c>
      <c r="P1307" t="str">
        <f>+BARRAS[[#This Row],[Barra]]&amp;"_"&amp;BARRAS[[#This Row],[Nivel de tensión]]</f>
        <v>ARRIERO_220</v>
      </c>
    </row>
    <row r="1308" spans="1:16">
      <c r="A1308" t="s">
        <v>100</v>
      </c>
      <c r="B1308">
        <v>23</v>
      </c>
      <c r="C1308">
        <v>1902</v>
      </c>
      <c r="D1308" t="s">
        <v>5762</v>
      </c>
      <c r="E1308" t="s">
        <v>5763</v>
      </c>
      <c r="F1308" t="s">
        <v>5764</v>
      </c>
      <c r="G1308">
        <v>16301</v>
      </c>
      <c r="H1308" t="s">
        <v>3405</v>
      </c>
      <c r="I1308" t="s">
        <v>3391</v>
      </c>
      <c r="J1308" t="s">
        <v>3392</v>
      </c>
      <c r="K1308" t="s">
        <v>6315</v>
      </c>
      <c r="L1308" t="s">
        <v>6778</v>
      </c>
      <c r="M1308" t="s">
        <v>6779</v>
      </c>
      <c r="N1308" t="s">
        <v>6792</v>
      </c>
      <c r="O1308">
        <v>1</v>
      </c>
      <c r="P1308" t="str">
        <f>+BARRAS[[#This Row],[Barra]]&amp;"_"&amp;BARRAS[[#This Row],[Nivel de tensión]]</f>
        <v>ATACAMA_23</v>
      </c>
    </row>
    <row r="1309" spans="1:16">
      <c r="A1309" t="s">
        <v>100</v>
      </c>
      <c r="B1309">
        <v>220</v>
      </c>
      <c r="C1309">
        <v>1899</v>
      </c>
      <c r="D1309" t="s">
        <v>5765</v>
      </c>
      <c r="E1309" t="s">
        <v>5766</v>
      </c>
      <c r="F1309" t="s">
        <v>5764</v>
      </c>
      <c r="G1309">
        <v>16301</v>
      </c>
      <c r="H1309" t="s">
        <v>3405</v>
      </c>
      <c r="I1309" t="s">
        <v>3391</v>
      </c>
      <c r="J1309" t="s">
        <v>3392</v>
      </c>
      <c r="K1309" t="s">
        <v>6315</v>
      </c>
      <c r="L1309" t="s">
        <v>6778</v>
      </c>
      <c r="M1309" t="s">
        <v>6779</v>
      </c>
      <c r="N1309" t="s">
        <v>6792</v>
      </c>
      <c r="O1309">
        <v>1</v>
      </c>
      <c r="P1309" t="str">
        <f>+BARRAS[[#This Row],[Barra]]&amp;"_"&amp;BARRAS[[#This Row],[Nivel de tensión]]</f>
        <v>ATACAMA_220</v>
      </c>
    </row>
    <row r="1310" spans="1:16">
      <c r="A1310" t="s">
        <v>5767</v>
      </c>
      <c r="B1310">
        <v>220</v>
      </c>
      <c r="C1310">
        <v>1</v>
      </c>
      <c r="D1310" t="s">
        <v>3397</v>
      </c>
      <c r="E1310" t="s">
        <v>3419</v>
      </c>
      <c r="F1310" t="s">
        <v>3420</v>
      </c>
      <c r="G1310">
        <v>16301</v>
      </c>
      <c r="H1310" t="s">
        <v>3409</v>
      </c>
      <c r="I1310" t="s">
        <v>3391</v>
      </c>
      <c r="J1310" t="s">
        <v>3392</v>
      </c>
      <c r="K1310" t="s">
        <v>6315</v>
      </c>
      <c r="L1310" t="s">
        <v>6778</v>
      </c>
      <c r="M1310" t="s">
        <v>6779</v>
      </c>
      <c r="N1310" t="s">
        <v>6792</v>
      </c>
      <c r="O1310">
        <v>1</v>
      </c>
      <c r="P1310" t="str">
        <f>+BARRAS[[#This Row],[Barra]]&amp;"_"&amp;BARRAS[[#This Row],[Nivel de tensión]]</f>
        <v>AURORA_220</v>
      </c>
    </row>
    <row r="1311" spans="1:16">
      <c r="A1311" t="s">
        <v>5768</v>
      </c>
      <c r="B1311">
        <v>23</v>
      </c>
      <c r="C1311">
        <v>1413</v>
      </c>
      <c r="D1311" t="s">
        <v>5769</v>
      </c>
      <c r="E1311" t="s">
        <v>5770</v>
      </c>
      <c r="F1311" t="s">
        <v>5771</v>
      </c>
      <c r="G1311">
        <v>16301</v>
      </c>
      <c r="H1311" t="s">
        <v>3390</v>
      </c>
      <c r="I1311" t="s">
        <v>3391</v>
      </c>
      <c r="J1311" t="s">
        <v>3392</v>
      </c>
      <c r="K1311" t="s">
        <v>3305</v>
      </c>
      <c r="L1311" t="s">
        <v>6778</v>
      </c>
      <c r="M1311" t="s">
        <v>6779</v>
      </c>
      <c r="N1311" t="s">
        <v>6792</v>
      </c>
      <c r="O1311">
        <v>1</v>
      </c>
      <c r="P1311" t="str">
        <f>+BARRAS[[#This Row],[Barra]]&amp;"_"&amp;BARRAS[[#This Row],[Nivel de tensión]]</f>
        <v>B.BLANCO_23</v>
      </c>
    </row>
    <row r="1312" spans="1:16">
      <c r="A1312" t="s">
        <v>5768</v>
      </c>
      <c r="B1312">
        <v>66</v>
      </c>
      <c r="C1312">
        <v>1</v>
      </c>
      <c r="D1312" t="s">
        <v>3397</v>
      </c>
      <c r="E1312" t="s">
        <v>5772</v>
      </c>
      <c r="F1312" t="s">
        <v>3420</v>
      </c>
      <c r="G1312">
        <v>16301</v>
      </c>
      <c r="H1312" t="s">
        <v>3390</v>
      </c>
      <c r="I1312" t="s">
        <v>3391</v>
      </c>
      <c r="J1312" t="s">
        <v>3392</v>
      </c>
      <c r="K1312" t="s">
        <v>3305</v>
      </c>
      <c r="L1312" t="s">
        <v>6778</v>
      </c>
      <c r="M1312" t="s">
        <v>6779</v>
      </c>
      <c r="N1312" t="s">
        <v>6792</v>
      </c>
      <c r="O1312">
        <v>1</v>
      </c>
      <c r="P1312" t="str">
        <f>+BARRAS[[#This Row],[Barra]]&amp;"_"&amp;BARRAS[[#This Row],[Nivel de tensión]]</f>
        <v>B.BLANCO_66</v>
      </c>
    </row>
    <row r="1313" spans="1:16">
      <c r="A1313" t="s">
        <v>5773</v>
      </c>
      <c r="B1313">
        <v>13</v>
      </c>
      <c r="C1313">
        <v>1080</v>
      </c>
      <c r="D1313" t="s">
        <v>5774</v>
      </c>
      <c r="E1313" t="s">
        <v>5775</v>
      </c>
      <c r="F1313" t="s">
        <v>5776</v>
      </c>
      <c r="G1313">
        <v>16301</v>
      </c>
      <c r="H1313" t="s">
        <v>3418</v>
      </c>
      <c r="I1313" t="s">
        <v>3391</v>
      </c>
      <c r="J1313" t="s">
        <v>3392</v>
      </c>
      <c r="K1313" t="s">
        <v>3302</v>
      </c>
      <c r="L1313" t="s">
        <v>6778</v>
      </c>
      <c r="M1313" t="s">
        <v>6779</v>
      </c>
      <c r="N1313" t="s">
        <v>6792</v>
      </c>
      <c r="O1313">
        <v>1</v>
      </c>
      <c r="P1313" t="str">
        <f>+BARRAS[[#This Row],[Barra]]&amp;"_"&amp;BARRAS[[#This Row],[Nivel de tensión]]</f>
        <v>BALANDRAS_13</v>
      </c>
    </row>
    <row r="1314" spans="1:16">
      <c r="A1314" t="s">
        <v>5773</v>
      </c>
      <c r="B1314">
        <v>66</v>
      </c>
      <c r="C1314">
        <v>1</v>
      </c>
      <c r="D1314" t="s">
        <v>3397</v>
      </c>
      <c r="E1314" t="s">
        <v>5777</v>
      </c>
      <c r="F1314" t="s">
        <v>3420</v>
      </c>
      <c r="G1314">
        <v>16301</v>
      </c>
      <c r="H1314" t="s">
        <v>3418</v>
      </c>
      <c r="I1314" t="s">
        <v>3391</v>
      </c>
      <c r="J1314" t="s">
        <v>3392</v>
      </c>
      <c r="K1314" t="s">
        <v>3302</v>
      </c>
      <c r="L1314" t="s">
        <v>6778</v>
      </c>
      <c r="M1314" t="s">
        <v>6779</v>
      </c>
      <c r="N1314" t="s">
        <v>6792</v>
      </c>
      <c r="O1314">
        <v>1</v>
      </c>
      <c r="P1314" t="str">
        <f>+BARRAS[[#This Row],[Barra]]&amp;"_"&amp;BARRAS[[#This Row],[Nivel de tensión]]</f>
        <v>BALANDRAS_66</v>
      </c>
    </row>
    <row r="1315" spans="1:16">
      <c r="A1315" t="s">
        <v>108</v>
      </c>
      <c r="B1315">
        <v>13</v>
      </c>
      <c r="C1315">
        <v>677</v>
      </c>
      <c r="D1315" t="s">
        <v>5778</v>
      </c>
      <c r="E1315" t="s">
        <v>5779</v>
      </c>
      <c r="F1315" t="s">
        <v>5780</v>
      </c>
      <c r="G1315">
        <v>16301</v>
      </c>
      <c r="H1315" t="s">
        <v>3469</v>
      </c>
      <c r="I1315" t="s">
        <v>3391</v>
      </c>
      <c r="J1315" t="s">
        <v>3392</v>
      </c>
      <c r="K1315" t="s">
        <v>3303</v>
      </c>
      <c r="L1315" t="s">
        <v>6778</v>
      </c>
      <c r="M1315" t="s">
        <v>6779</v>
      </c>
      <c r="N1315" t="s">
        <v>6792</v>
      </c>
      <c r="O1315">
        <v>1</v>
      </c>
      <c r="P1315" t="str">
        <f>+BARRAS[[#This Row],[Barra]]&amp;"_"&amp;BARRAS[[#This Row],[Nivel de tensión]]</f>
        <v>BATUCO_13</v>
      </c>
    </row>
    <row r="1316" spans="1:16">
      <c r="A1316" t="s">
        <v>108</v>
      </c>
      <c r="B1316">
        <v>110</v>
      </c>
      <c r="C1316">
        <v>1</v>
      </c>
      <c r="D1316" t="s">
        <v>3397</v>
      </c>
      <c r="E1316" t="s">
        <v>5781</v>
      </c>
      <c r="F1316" t="s">
        <v>3420</v>
      </c>
      <c r="G1316">
        <v>16301</v>
      </c>
      <c r="H1316" t="s">
        <v>3469</v>
      </c>
      <c r="I1316" t="s">
        <v>3391</v>
      </c>
      <c r="J1316" t="s">
        <v>3392</v>
      </c>
      <c r="K1316" t="s">
        <v>3303</v>
      </c>
      <c r="L1316" t="s">
        <v>6778</v>
      </c>
      <c r="M1316" t="s">
        <v>6779</v>
      </c>
      <c r="N1316" t="s">
        <v>6792</v>
      </c>
      <c r="O1316">
        <v>1</v>
      </c>
      <c r="P1316" t="str">
        <f>+BARRAS[[#This Row],[Barra]]&amp;"_"&amp;BARRAS[[#This Row],[Nivel de tensión]]</f>
        <v>BATUCO_110</v>
      </c>
    </row>
    <row r="1317" spans="1:16">
      <c r="A1317" t="s">
        <v>5782</v>
      </c>
      <c r="B1317">
        <v>66</v>
      </c>
      <c r="C1317">
        <v>1</v>
      </c>
      <c r="D1317" t="s">
        <v>3397</v>
      </c>
      <c r="E1317" t="s">
        <v>3419</v>
      </c>
      <c r="F1317" t="s">
        <v>3420</v>
      </c>
      <c r="G1317">
        <v>16301</v>
      </c>
      <c r="H1317" t="s">
        <v>3414</v>
      </c>
      <c r="I1317" t="s">
        <v>3391</v>
      </c>
      <c r="J1317" t="s">
        <v>3392</v>
      </c>
      <c r="K1317" t="s">
        <v>3304</v>
      </c>
      <c r="L1317" t="s">
        <v>6778</v>
      </c>
      <c r="M1317" t="s">
        <v>6779</v>
      </c>
      <c r="N1317" t="s">
        <v>6792</v>
      </c>
      <c r="O1317">
        <v>1</v>
      </c>
      <c r="P1317" t="str">
        <f>+BARRAS[[#This Row],[Barra]]&amp;"_"&amp;BARRAS[[#This Row],[Nivel de tensión]]</f>
        <v>BELLAVISTA_66</v>
      </c>
    </row>
    <row r="1318" spans="1:16">
      <c r="A1318" t="s">
        <v>5783</v>
      </c>
      <c r="B1318">
        <v>13</v>
      </c>
      <c r="C1318">
        <v>1186</v>
      </c>
      <c r="D1318" t="s">
        <v>5784</v>
      </c>
      <c r="E1318" t="s">
        <v>5785</v>
      </c>
      <c r="F1318" t="s">
        <v>5786</v>
      </c>
      <c r="G1318">
        <v>16301</v>
      </c>
      <c r="H1318" t="s">
        <v>3469</v>
      </c>
      <c r="I1318" t="s">
        <v>3391</v>
      </c>
      <c r="J1318" t="s">
        <v>3392</v>
      </c>
      <c r="K1318" t="s">
        <v>3303</v>
      </c>
      <c r="L1318" t="s">
        <v>6778</v>
      </c>
      <c r="M1318" t="s">
        <v>6779</v>
      </c>
      <c r="N1318" t="s">
        <v>6792</v>
      </c>
      <c r="O1318">
        <v>1</v>
      </c>
      <c r="P1318" t="str">
        <f>+BARRAS[[#This Row],[Barra]]&amp;"_"&amp;BARRAS[[#This Row],[Nivel de tensión]]</f>
        <v>BICENTENARIO_13</v>
      </c>
    </row>
    <row r="1319" spans="1:16">
      <c r="A1319" t="s">
        <v>5783</v>
      </c>
      <c r="B1319">
        <v>110</v>
      </c>
      <c r="C1319">
        <v>1</v>
      </c>
      <c r="D1319" t="s">
        <v>3397</v>
      </c>
      <c r="E1319" t="s">
        <v>5787</v>
      </c>
      <c r="F1319" t="s">
        <v>3420</v>
      </c>
      <c r="G1319">
        <v>16301</v>
      </c>
      <c r="H1319" t="s">
        <v>3469</v>
      </c>
      <c r="I1319" t="s">
        <v>3391</v>
      </c>
      <c r="J1319" t="s">
        <v>3392</v>
      </c>
      <c r="K1319" t="s">
        <v>3303</v>
      </c>
      <c r="L1319" t="s">
        <v>6778</v>
      </c>
      <c r="M1319" t="s">
        <v>6779</v>
      </c>
      <c r="N1319" t="s">
        <v>6792</v>
      </c>
      <c r="O1319">
        <v>1</v>
      </c>
      <c r="P1319" t="str">
        <f>+BARRAS[[#This Row],[Barra]]&amp;"_"&amp;BARRAS[[#This Row],[Nivel de tensión]]</f>
        <v>BICENTENARIO_110</v>
      </c>
    </row>
    <row r="1320" spans="1:16">
      <c r="A1320" t="s">
        <v>5788</v>
      </c>
      <c r="B1320">
        <v>12</v>
      </c>
      <c r="C1320">
        <v>3572</v>
      </c>
      <c r="D1320" t="s">
        <v>3397</v>
      </c>
      <c r="E1320" t="s">
        <v>5789</v>
      </c>
      <c r="F1320" t="s">
        <v>5790</v>
      </c>
      <c r="G1320">
        <v>16301</v>
      </c>
      <c r="H1320" t="s">
        <v>3469</v>
      </c>
      <c r="I1320" t="s">
        <v>3391</v>
      </c>
      <c r="J1320" t="s">
        <v>3392</v>
      </c>
      <c r="K1320" t="s">
        <v>3303</v>
      </c>
      <c r="L1320" t="s">
        <v>6778</v>
      </c>
      <c r="M1320" t="s">
        <v>6779</v>
      </c>
      <c r="N1320" t="s">
        <v>6792</v>
      </c>
      <c r="O1320">
        <v>1</v>
      </c>
      <c r="P1320" t="str">
        <f>+BARRAS[[#This Row],[Barra]]&amp;"_"&amp;BARRAS[[#This Row],[Nivel de tensión]]</f>
        <v>BJOSDMNA_12</v>
      </c>
    </row>
    <row r="1321" spans="1:16">
      <c r="A1321" t="s">
        <v>5788</v>
      </c>
      <c r="B1321">
        <v>110</v>
      </c>
      <c r="C1321">
        <v>1</v>
      </c>
      <c r="D1321" t="s">
        <v>3397</v>
      </c>
      <c r="E1321" t="s">
        <v>5791</v>
      </c>
      <c r="F1321" t="s">
        <v>3420</v>
      </c>
      <c r="G1321">
        <v>16301</v>
      </c>
      <c r="H1321" t="s">
        <v>3469</v>
      </c>
      <c r="I1321" t="s">
        <v>3391</v>
      </c>
      <c r="J1321" t="s">
        <v>3392</v>
      </c>
      <c r="K1321" t="s">
        <v>3303</v>
      </c>
      <c r="L1321" t="s">
        <v>6778</v>
      </c>
      <c r="M1321" t="s">
        <v>6779</v>
      </c>
      <c r="N1321" t="s">
        <v>6792</v>
      </c>
      <c r="O1321">
        <v>1</v>
      </c>
      <c r="P1321" t="str">
        <f>+BARRAS[[#This Row],[Barra]]&amp;"_"&amp;BARRAS[[#This Row],[Nivel de tensión]]</f>
        <v>BJOSDMNA_110</v>
      </c>
    </row>
    <row r="1322" spans="1:16">
      <c r="A1322" t="s">
        <v>5792</v>
      </c>
      <c r="B1322">
        <v>66</v>
      </c>
      <c r="C1322">
        <v>1</v>
      </c>
      <c r="D1322" t="s">
        <v>3397</v>
      </c>
      <c r="E1322" t="s">
        <v>5793</v>
      </c>
      <c r="F1322" t="s">
        <v>3420</v>
      </c>
      <c r="G1322">
        <v>16301</v>
      </c>
      <c r="H1322" t="s">
        <v>3405</v>
      </c>
      <c r="I1322" t="s">
        <v>3391</v>
      </c>
      <c r="J1322" t="s">
        <v>3392</v>
      </c>
      <c r="K1322" t="s">
        <v>6315</v>
      </c>
      <c r="L1322" t="s">
        <v>6778</v>
      </c>
      <c r="M1322" t="s">
        <v>6779</v>
      </c>
      <c r="N1322" t="s">
        <v>6792</v>
      </c>
      <c r="O1322">
        <v>1</v>
      </c>
      <c r="P1322" t="str">
        <f>+BARRAS[[#This Row],[Barra]]&amp;"_"&amp;BARRAS[[#This Row],[Nivel de tensión]]</f>
        <v>BOCAMINA_66</v>
      </c>
    </row>
    <row r="1323" spans="1:16">
      <c r="A1323" t="s">
        <v>5792</v>
      </c>
      <c r="B1323">
        <v>154</v>
      </c>
      <c r="C1323">
        <v>1</v>
      </c>
      <c r="D1323" t="s">
        <v>3397</v>
      </c>
      <c r="E1323" t="s">
        <v>5794</v>
      </c>
      <c r="F1323" t="s">
        <v>3420</v>
      </c>
      <c r="G1323">
        <v>16301</v>
      </c>
      <c r="H1323" t="s">
        <v>3405</v>
      </c>
      <c r="I1323" t="s">
        <v>3391</v>
      </c>
      <c r="J1323" t="s">
        <v>3392</v>
      </c>
      <c r="K1323" t="s">
        <v>6315</v>
      </c>
      <c r="L1323" t="s">
        <v>6778</v>
      </c>
      <c r="M1323" t="s">
        <v>6779</v>
      </c>
      <c r="N1323" t="s">
        <v>6792</v>
      </c>
      <c r="O1323">
        <v>1</v>
      </c>
      <c r="P1323" t="str">
        <f>+BARRAS[[#This Row],[Barra]]&amp;"_"&amp;BARRAS[[#This Row],[Nivel de tensión]]</f>
        <v>BOCAMINA_154</v>
      </c>
    </row>
    <row r="1324" spans="1:16">
      <c r="A1324" t="s">
        <v>5795</v>
      </c>
      <c r="B1324">
        <v>220</v>
      </c>
      <c r="C1324">
        <v>1</v>
      </c>
      <c r="D1324" t="s">
        <v>3397</v>
      </c>
      <c r="E1324" t="s">
        <v>5796</v>
      </c>
      <c r="F1324" t="s">
        <v>3420</v>
      </c>
      <c r="G1324">
        <v>16301</v>
      </c>
      <c r="H1324" t="s">
        <v>3405</v>
      </c>
      <c r="I1324" t="s">
        <v>3391</v>
      </c>
      <c r="J1324" t="s">
        <v>3392</v>
      </c>
      <c r="K1324" t="s">
        <v>6315</v>
      </c>
      <c r="L1324" t="s">
        <v>6778</v>
      </c>
      <c r="M1324" t="s">
        <v>6779</v>
      </c>
      <c r="N1324" t="s">
        <v>6792</v>
      </c>
      <c r="O1324">
        <v>1</v>
      </c>
      <c r="P1324" t="str">
        <f>+BARRAS[[#This Row],[Barra]]&amp;"_"&amp;BARRAS[[#This Row],[Nivel de tensión]]</f>
        <v>BOCAMINA_II_220</v>
      </c>
    </row>
    <row r="1325" spans="1:16">
      <c r="A1325" t="s">
        <v>118</v>
      </c>
      <c r="B1325">
        <v>13</v>
      </c>
      <c r="C1325">
        <v>557</v>
      </c>
      <c r="D1325" t="s">
        <v>5797</v>
      </c>
      <c r="E1325" t="s">
        <v>5798</v>
      </c>
      <c r="F1325" t="s">
        <v>5799</v>
      </c>
      <c r="G1325">
        <v>16301</v>
      </c>
      <c r="H1325" t="s">
        <v>3414</v>
      </c>
      <c r="I1325" t="s">
        <v>3391</v>
      </c>
      <c r="J1325" t="s">
        <v>3392</v>
      </c>
      <c r="K1325" t="s">
        <v>3304</v>
      </c>
      <c r="L1325" t="s">
        <v>6778</v>
      </c>
      <c r="M1325" t="s">
        <v>6779</v>
      </c>
      <c r="N1325" t="s">
        <v>6792</v>
      </c>
      <c r="O1325">
        <v>1</v>
      </c>
      <c r="P1325" t="str">
        <f>+BARRAS[[#This Row],[Barra]]&amp;"_"&amp;BARRAS[[#This Row],[Nivel de tensión]]</f>
        <v>BOLLENAR_13</v>
      </c>
    </row>
    <row r="1326" spans="1:16">
      <c r="A1326" t="s">
        <v>118</v>
      </c>
      <c r="B1326">
        <v>110</v>
      </c>
      <c r="C1326">
        <v>1</v>
      </c>
      <c r="D1326" t="s">
        <v>3397</v>
      </c>
      <c r="E1326" t="s">
        <v>5800</v>
      </c>
      <c r="F1326" t="s">
        <v>3420</v>
      </c>
      <c r="G1326">
        <v>16301</v>
      </c>
      <c r="H1326" t="s">
        <v>3414</v>
      </c>
      <c r="I1326" t="s">
        <v>3391</v>
      </c>
      <c r="J1326" t="s">
        <v>3392</v>
      </c>
      <c r="K1326" t="s">
        <v>3304</v>
      </c>
      <c r="L1326" t="s">
        <v>6778</v>
      </c>
      <c r="M1326" t="s">
        <v>6779</v>
      </c>
      <c r="N1326" t="s">
        <v>6792</v>
      </c>
      <c r="O1326">
        <v>1</v>
      </c>
      <c r="P1326" t="str">
        <f>+BARRAS[[#This Row],[Barra]]&amp;"_"&amp;BARRAS[[#This Row],[Nivel de tensión]]</f>
        <v>BOLLENAR_110</v>
      </c>
    </row>
    <row r="1327" spans="1:16">
      <c r="A1327" t="s">
        <v>5801</v>
      </c>
      <c r="B1327">
        <v>4</v>
      </c>
      <c r="C1327">
        <v>2335</v>
      </c>
      <c r="D1327" t="s">
        <v>3402</v>
      </c>
      <c r="E1327" t="s">
        <v>5802</v>
      </c>
      <c r="F1327" t="s">
        <v>5803</v>
      </c>
      <c r="G1327">
        <v>16301</v>
      </c>
      <c r="H1327" t="s">
        <v>3405</v>
      </c>
      <c r="I1327" t="s">
        <v>3391</v>
      </c>
      <c r="J1327" t="s">
        <v>3392</v>
      </c>
      <c r="K1327" t="s">
        <v>6315</v>
      </c>
      <c r="L1327" t="s">
        <v>6778</v>
      </c>
      <c r="M1327" t="s">
        <v>6779</v>
      </c>
      <c r="N1327" t="s">
        <v>6792</v>
      </c>
      <c r="O1327">
        <v>1</v>
      </c>
      <c r="P1327" t="str">
        <f>+BARRAS[[#This Row],[Barra]]&amp;"_"&amp;BARRAS[[#This Row],[Nivel de tensión]]</f>
        <v>BOMBEO2_4</v>
      </c>
    </row>
    <row r="1328" spans="1:16">
      <c r="A1328" t="s">
        <v>5801</v>
      </c>
      <c r="B1328">
        <v>220</v>
      </c>
      <c r="C1328">
        <v>1</v>
      </c>
      <c r="D1328" t="s">
        <v>3397</v>
      </c>
      <c r="E1328" t="s">
        <v>5804</v>
      </c>
      <c r="F1328" t="s">
        <v>3420</v>
      </c>
      <c r="G1328">
        <v>16301</v>
      </c>
      <c r="H1328" t="s">
        <v>3405</v>
      </c>
      <c r="I1328" t="s">
        <v>3391</v>
      </c>
      <c r="J1328" t="s">
        <v>3392</v>
      </c>
      <c r="K1328" t="s">
        <v>6315</v>
      </c>
      <c r="L1328" t="s">
        <v>6778</v>
      </c>
      <c r="M1328" t="s">
        <v>6779</v>
      </c>
      <c r="N1328" t="s">
        <v>6792</v>
      </c>
      <c r="O1328">
        <v>1</v>
      </c>
      <c r="P1328" t="str">
        <f>+BARRAS[[#This Row],[Barra]]&amp;"_"&amp;BARRAS[[#This Row],[Nivel de tensión]]</f>
        <v>BOMBEO2_220</v>
      </c>
    </row>
    <row r="1329" spans="1:16">
      <c r="A1329" t="s">
        <v>3401</v>
      </c>
      <c r="B1329">
        <v>4</v>
      </c>
      <c r="C1329">
        <v>2337</v>
      </c>
      <c r="D1329" t="s">
        <v>3402</v>
      </c>
      <c r="E1329" t="s">
        <v>3403</v>
      </c>
      <c r="F1329" t="s">
        <v>3404</v>
      </c>
      <c r="G1329">
        <v>16301</v>
      </c>
      <c r="H1329" t="s">
        <v>3405</v>
      </c>
      <c r="I1329" t="s">
        <v>3391</v>
      </c>
      <c r="J1329" t="s">
        <v>3392</v>
      </c>
      <c r="K1329" t="s">
        <v>6315</v>
      </c>
      <c r="L1329" t="s">
        <v>6778</v>
      </c>
      <c r="M1329" t="s">
        <v>6779</v>
      </c>
      <c r="N1329" t="s">
        <v>6792</v>
      </c>
      <c r="O1329">
        <v>1</v>
      </c>
      <c r="P1329" t="str">
        <f>+BARRAS[[#This Row],[Barra]]&amp;"_"&amp;BARRAS[[#This Row],[Nivel de tensión]]</f>
        <v>BOMBEO3_4</v>
      </c>
    </row>
    <row r="1330" spans="1:16">
      <c r="A1330" t="s">
        <v>3401</v>
      </c>
      <c r="B1330">
        <v>220</v>
      </c>
      <c r="C1330">
        <v>1</v>
      </c>
      <c r="D1330" t="s">
        <v>3397</v>
      </c>
      <c r="E1330" t="s">
        <v>5805</v>
      </c>
      <c r="F1330" t="s">
        <v>3420</v>
      </c>
      <c r="G1330">
        <v>16301</v>
      </c>
      <c r="H1330" t="s">
        <v>3405</v>
      </c>
      <c r="I1330" t="s">
        <v>3391</v>
      </c>
      <c r="J1330" t="s">
        <v>3392</v>
      </c>
      <c r="K1330" t="s">
        <v>6315</v>
      </c>
      <c r="L1330" t="s">
        <v>6778</v>
      </c>
      <c r="M1330" t="s">
        <v>6779</v>
      </c>
      <c r="N1330" t="s">
        <v>6792</v>
      </c>
      <c r="O1330">
        <v>1</v>
      </c>
      <c r="P1330" t="str">
        <f>+BARRAS[[#This Row],[Barra]]&amp;"_"&amp;BARRAS[[#This Row],[Nivel de tensión]]</f>
        <v>BOMBEO3_220</v>
      </c>
    </row>
    <row r="1331" spans="1:16">
      <c r="A1331" t="s">
        <v>5806</v>
      </c>
      <c r="B1331">
        <v>4</v>
      </c>
      <c r="C1331">
        <v>2339</v>
      </c>
      <c r="D1331" t="s">
        <v>3402</v>
      </c>
      <c r="E1331" t="s">
        <v>5807</v>
      </c>
      <c r="F1331" t="s">
        <v>5808</v>
      </c>
      <c r="G1331">
        <v>16301</v>
      </c>
      <c r="H1331" t="s">
        <v>3405</v>
      </c>
      <c r="I1331" t="s">
        <v>3391</v>
      </c>
      <c r="J1331" t="s">
        <v>3392</v>
      </c>
      <c r="K1331" t="s">
        <v>6315</v>
      </c>
      <c r="L1331" t="s">
        <v>6778</v>
      </c>
      <c r="M1331" t="s">
        <v>6779</v>
      </c>
      <c r="N1331" t="s">
        <v>6792</v>
      </c>
      <c r="O1331">
        <v>1</v>
      </c>
      <c r="P1331" t="str">
        <f>+BARRAS[[#This Row],[Barra]]&amp;"_"&amp;BARRAS[[#This Row],[Nivel de tensión]]</f>
        <v>BOMBEO4_4</v>
      </c>
    </row>
    <row r="1332" spans="1:16">
      <c r="A1332" t="s">
        <v>5806</v>
      </c>
      <c r="B1332">
        <v>220</v>
      </c>
      <c r="C1332">
        <v>1</v>
      </c>
      <c r="D1332" t="s">
        <v>3397</v>
      </c>
      <c r="E1332" t="s">
        <v>5809</v>
      </c>
      <c r="F1332" t="s">
        <v>3420</v>
      </c>
      <c r="G1332">
        <v>16301</v>
      </c>
      <c r="H1332" t="s">
        <v>3405</v>
      </c>
      <c r="I1332" t="s">
        <v>3391</v>
      </c>
      <c r="J1332" t="s">
        <v>3392</v>
      </c>
      <c r="K1332" t="s">
        <v>6315</v>
      </c>
      <c r="L1332" t="s">
        <v>6778</v>
      </c>
      <c r="M1332" t="s">
        <v>6779</v>
      </c>
      <c r="N1332" t="s">
        <v>6792</v>
      </c>
      <c r="O1332">
        <v>1</v>
      </c>
      <c r="P1332" t="str">
        <f>+BARRAS[[#This Row],[Barra]]&amp;"_"&amp;BARRAS[[#This Row],[Nivel de tensión]]</f>
        <v>BOMBEO4_220</v>
      </c>
    </row>
    <row r="1333" spans="1:16">
      <c r="A1333" t="s">
        <v>5810</v>
      </c>
      <c r="B1333">
        <v>12</v>
      </c>
      <c r="C1333">
        <v>1725</v>
      </c>
      <c r="D1333" t="s">
        <v>5811</v>
      </c>
      <c r="E1333" t="s">
        <v>5812</v>
      </c>
      <c r="F1333" t="s">
        <v>5813</v>
      </c>
      <c r="G1333">
        <v>16301</v>
      </c>
      <c r="H1333" t="s">
        <v>3418</v>
      </c>
      <c r="I1333" t="s">
        <v>3391</v>
      </c>
      <c r="J1333" t="s">
        <v>3392</v>
      </c>
      <c r="K1333" t="s">
        <v>3302</v>
      </c>
      <c r="L1333" t="s">
        <v>6778</v>
      </c>
      <c r="M1333" t="s">
        <v>6779</v>
      </c>
      <c r="N1333" t="s">
        <v>6792</v>
      </c>
      <c r="O1333">
        <v>1</v>
      </c>
      <c r="P1333" t="str">
        <f>+BARRAS[[#This Row],[Barra]]&amp;"_"&amp;BARRAS[[#This Row],[Nivel de tensión]]</f>
        <v>BOSQUEMAR_12</v>
      </c>
    </row>
    <row r="1334" spans="1:16">
      <c r="A1334" t="s">
        <v>5810</v>
      </c>
      <c r="B1334">
        <v>110</v>
      </c>
      <c r="C1334">
        <v>1</v>
      </c>
      <c r="D1334" t="s">
        <v>3397</v>
      </c>
      <c r="E1334" t="s">
        <v>5814</v>
      </c>
      <c r="F1334" t="s">
        <v>3420</v>
      </c>
      <c r="G1334">
        <v>16301</v>
      </c>
      <c r="H1334" t="s">
        <v>3418</v>
      </c>
      <c r="I1334" t="s">
        <v>3391</v>
      </c>
      <c r="J1334" t="s">
        <v>3392</v>
      </c>
      <c r="K1334" t="s">
        <v>3302</v>
      </c>
      <c r="L1334" t="s">
        <v>6778</v>
      </c>
      <c r="M1334" t="s">
        <v>6779</v>
      </c>
      <c r="N1334" t="s">
        <v>6792</v>
      </c>
      <c r="O1334">
        <v>1</v>
      </c>
      <c r="P1334" t="str">
        <f>+BARRAS[[#This Row],[Barra]]&amp;"_"&amp;BARRAS[[#This Row],[Nivel de tensión]]</f>
        <v>BOSQUEMAR_110</v>
      </c>
    </row>
    <row r="1335" spans="1:16">
      <c r="A1335" t="s">
        <v>5815</v>
      </c>
      <c r="B1335">
        <v>13</v>
      </c>
      <c r="C1335">
        <v>684</v>
      </c>
      <c r="D1335" t="s">
        <v>5816</v>
      </c>
      <c r="E1335" t="s">
        <v>5817</v>
      </c>
      <c r="F1335" t="s">
        <v>5818</v>
      </c>
      <c r="G1335">
        <v>16301</v>
      </c>
      <c r="H1335" t="s">
        <v>3469</v>
      </c>
      <c r="I1335" t="s">
        <v>3391</v>
      </c>
      <c r="J1335" t="s">
        <v>3392</v>
      </c>
      <c r="K1335" t="s">
        <v>3303</v>
      </c>
      <c r="L1335" t="s">
        <v>6778</v>
      </c>
      <c r="M1335" t="s">
        <v>6779</v>
      </c>
      <c r="N1335" t="s">
        <v>6792</v>
      </c>
      <c r="O1335">
        <v>1</v>
      </c>
      <c r="P1335" t="str">
        <f>+BARRAS[[#This Row],[Barra]]&amp;"_"&amp;BARRAS[[#This Row],[Nivel de tensión]]</f>
        <v>BRASIL_13</v>
      </c>
    </row>
    <row r="1336" spans="1:16">
      <c r="A1336" t="s">
        <v>5815</v>
      </c>
      <c r="B1336">
        <v>110</v>
      </c>
      <c r="C1336">
        <v>1</v>
      </c>
      <c r="D1336" t="s">
        <v>3397</v>
      </c>
      <c r="E1336" t="s">
        <v>5819</v>
      </c>
      <c r="F1336" t="s">
        <v>3420</v>
      </c>
      <c r="G1336">
        <v>16301</v>
      </c>
      <c r="H1336" t="s">
        <v>3469</v>
      </c>
      <c r="I1336" t="s">
        <v>3391</v>
      </c>
      <c r="J1336" t="s">
        <v>3392</v>
      </c>
      <c r="K1336" t="s">
        <v>3303</v>
      </c>
      <c r="L1336" t="s">
        <v>6778</v>
      </c>
      <c r="M1336" t="s">
        <v>6779</v>
      </c>
      <c r="N1336" t="s">
        <v>6792</v>
      </c>
      <c r="O1336">
        <v>1</v>
      </c>
      <c r="P1336" t="str">
        <f>+BARRAS[[#This Row],[Barra]]&amp;"_"&amp;BARRAS[[#This Row],[Nivel de tensión]]</f>
        <v>BRASIL_110</v>
      </c>
    </row>
    <row r="1337" spans="1:16">
      <c r="A1337" t="s">
        <v>5820</v>
      </c>
      <c r="B1337">
        <v>66</v>
      </c>
      <c r="C1337">
        <v>61</v>
      </c>
      <c r="D1337" t="s">
        <v>5821</v>
      </c>
      <c r="E1337" t="s">
        <v>5822</v>
      </c>
      <c r="F1337" t="s">
        <v>5823</v>
      </c>
      <c r="G1337">
        <v>16301</v>
      </c>
      <c r="H1337" t="s">
        <v>3405</v>
      </c>
      <c r="I1337" t="s">
        <v>3391</v>
      </c>
      <c r="J1337" t="s">
        <v>3392</v>
      </c>
      <c r="K1337" t="s">
        <v>6315</v>
      </c>
      <c r="L1337" t="s">
        <v>6778</v>
      </c>
      <c r="M1337" t="s">
        <v>6779</v>
      </c>
      <c r="N1337" t="s">
        <v>6792</v>
      </c>
      <c r="O1337">
        <v>1</v>
      </c>
      <c r="P1337" t="str">
        <f>+BARRAS[[#This Row],[Barra]]&amp;"_"&amp;BARRAS[[#This Row],[Nivel de tensión]]</f>
        <v>BUCALEMU_66</v>
      </c>
    </row>
    <row r="1338" spans="1:16">
      <c r="A1338" t="s">
        <v>132</v>
      </c>
      <c r="B1338">
        <v>13</v>
      </c>
      <c r="C1338">
        <v>693</v>
      </c>
      <c r="D1338" t="s">
        <v>5824</v>
      </c>
      <c r="E1338" t="s">
        <v>5825</v>
      </c>
      <c r="F1338" t="s">
        <v>5826</v>
      </c>
      <c r="G1338">
        <v>16301</v>
      </c>
      <c r="H1338" t="s">
        <v>3414</v>
      </c>
      <c r="I1338" t="s">
        <v>3391</v>
      </c>
      <c r="J1338" t="s">
        <v>3392</v>
      </c>
      <c r="K1338" t="s">
        <v>3304</v>
      </c>
      <c r="L1338" t="s">
        <v>6778</v>
      </c>
      <c r="M1338" t="s">
        <v>6779</v>
      </c>
      <c r="N1338" t="s">
        <v>6792</v>
      </c>
      <c r="O1338">
        <v>1</v>
      </c>
      <c r="P1338" t="str">
        <f>+BARRAS[[#This Row],[Barra]]&amp;"_"&amp;BARRAS[[#This Row],[Nivel de tensión]]</f>
        <v>BUIN_13</v>
      </c>
    </row>
    <row r="1339" spans="1:16">
      <c r="A1339" t="s">
        <v>132</v>
      </c>
      <c r="B1339">
        <v>66</v>
      </c>
      <c r="C1339">
        <v>1</v>
      </c>
      <c r="D1339" t="s">
        <v>3397</v>
      </c>
      <c r="E1339" t="s">
        <v>5827</v>
      </c>
      <c r="F1339" t="s">
        <v>3420</v>
      </c>
      <c r="G1339">
        <v>16301</v>
      </c>
      <c r="H1339" t="s">
        <v>3414</v>
      </c>
      <c r="I1339" t="s">
        <v>3391</v>
      </c>
      <c r="J1339" t="s">
        <v>3392</v>
      </c>
      <c r="K1339" t="s">
        <v>3304</v>
      </c>
      <c r="L1339" t="s">
        <v>6778</v>
      </c>
      <c r="M1339" t="s">
        <v>6779</v>
      </c>
      <c r="N1339" t="s">
        <v>6792</v>
      </c>
      <c r="O1339">
        <v>1</v>
      </c>
      <c r="P1339" t="str">
        <f>+BARRAS[[#This Row],[Barra]]&amp;"_"&amp;BARRAS[[#This Row],[Nivel de tensión]]</f>
        <v>BUIN_66</v>
      </c>
    </row>
    <row r="1340" spans="1:16">
      <c r="A1340" t="s">
        <v>132</v>
      </c>
      <c r="B1340">
        <v>110</v>
      </c>
      <c r="C1340">
        <v>1</v>
      </c>
      <c r="D1340" t="s">
        <v>3397</v>
      </c>
      <c r="E1340" t="s">
        <v>5828</v>
      </c>
      <c r="F1340" t="s">
        <v>3420</v>
      </c>
      <c r="G1340">
        <v>16301</v>
      </c>
      <c r="H1340" t="s">
        <v>3469</v>
      </c>
      <c r="I1340" t="s">
        <v>3391</v>
      </c>
      <c r="J1340" t="s">
        <v>3392</v>
      </c>
      <c r="K1340" t="s">
        <v>3303</v>
      </c>
      <c r="L1340" t="s">
        <v>6778</v>
      </c>
      <c r="M1340" t="s">
        <v>6779</v>
      </c>
      <c r="N1340" t="s">
        <v>6792</v>
      </c>
      <c r="O1340">
        <v>1</v>
      </c>
      <c r="P1340" t="str">
        <f>+BARRAS[[#This Row],[Barra]]&amp;"_"&amp;BARRAS[[#This Row],[Nivel de tensión]]</f>
        <v>BUIN_110</v>
      </c>
    </row>
    <row r="1341" spans="1:16">
      <c r="A1341" t="s">
        <v>132</v>
      </c>
      <c r="B1341">
        <v>220</v>
      </c>
      <c r="C1341">
        <v>1</v>
      </c>
      <c r="D1341" t="s">
        <v>3397</v>
      </c>
      <c r="E1341" t="s">
        <v>5829</v>
      </c>
      <c r="F1341" t="s">
        <v>3420</v>
      </c>
      <c r="G1341">
        <v>16301</v>
      </c>
      <c r="H1341" t="s">
        <v>3701</v>
      </c>
      <c r="I1341" t="s">
        <v>3391</v>
      </c>
      <c r="J1341" t="s">
        <v>3392</v>
      </c>
      <c r="K1341" t="s">
        <v>6315</v>
      </c>
      <c r="L1341" t="s">
        <v>6778</v>
      </c>
      <c r="M1341" t="s">
        <v>6779</v>
      </c>
      <c r="N1341" t="s">
        <v>6792</v>
      </c>
      <c r="O1341">
        <v>1</v>
      </c>
      <c r="P1341" t="str">
        <f>+BARRAS[[#This Row],[Barra]]&amp;"_"&amp;BARRAS[[#This Row],[Nivel de tensión]]</f>
        <v>BUIN_220</v>
      </c>
    </row>
    <row r="1342" spans="1:16">
      <c r="A1342" t="s">
        <v>137</v>
      </c>
      <c r="B1342">
        <v>23</v>
      </c>
      <c r="C1342">
        <v>1</v>
      </c>
      <c r="D1342" t="s">
        <v>3397</v>
      </c>
      <c r="E1342" t="s">
        <v>3419</v>
      </c>
      <c r="F1342" t="s">
        <v>3420</v>
      </c>
      <c r="G1342">
        <v>16301</v>
      </c>
      <c r="H1342" t="s">
        <v>3405</v>
      </c>
      <c r="I1342" t="s">
        <v>3391</v>
      </c>
      <c r="J1342" t="s">
        <v>3392</v>
      </c>
      <c r="K1342" t="s">
        <v>6315</v>
      </c>
      <c r="L1342" t="s">
        <v>6778</v>
      </c>
      <c r="M1342" t="s">
        <v>6779</v>
      </c>
      <c r="N1342" t="s">
        <v>6792</v>
      </c>
      <c r="O1342">
        <v>1</v>
      </c>
      <c r="P1342" t="str">
        <f>+BARRAS[[#This Row],[Barra]]&amp;"_"&amp;BARRAS[[#This Row],[Nivel de tensión]]</f>
        <v>C.A_RENAICO_23</v>
      </c>
    </row>
    <row r="1343" spans="1:16">
      <c r="A1343" t="s">
        <v>5830</v>
      </c>
      <c r="B1343">
        <v>66</v>
      </c>
      <c r="C1343">
        <v>1142</v>
      </c>
      <c r="D1343" t="s">
        <v>5831</v>
      </c>
      <c r="E1343" t="s">
        <v>5832</v>
      </c>
      <c r="F1343" t="s">
        <v>5833</v>
      </c>
      <c r="G1343">
        <v>16301</v>
      </c>
      <c r="H1343" t="s">
        <v>3405</v>
      </c>
      <c r="I1343" t="s">
        <v>3391</v>
      </c>
      <c r="J1343" t="s">
        <v>3392</v>
      </c>
      <c r="K1343" t="s">
        <v>6315</v>
      </c>
      <c r="L1343" t="s">
        <v>6778</v>
      </c>
      <c r="M1343" t="s">
        <v>6779</v>
      </c>
      <c r="N1343" t="s">
        <v>6792</v>
      </c>
      <c r="O1343">
        <v>1</v>
      </c>
      <c r="P1343" t="str">
        <f>+BARRAS[[#This Row],[Barra]]&amp;"_"&amp;BARRAS[[#This Row],[Nivel de tensión]]</f>
        <v>C.BIOBIO_66</v>
      </c>
    </row>
    <row r="1344" spans="1:16">
      <c r="A1344" t="s">
        <v>5834</v>
      </c>
      <c r="B1344">
        <v>62</v>
      </c>
      <c r="C1344">
        <v>1</v>
      </c>
      <c r="D1344" t="s">
        <v>3397</v>
      </c>
      <c r="E1344" t="s">
        <v>5835</v>
      </c>
      <c r="F1344" t="s">
        <v>3420</v>
      </c>
      <c r="G1344">
        <v>16301</v>
      </c>
      <c r="H1344" t="s">
        <v>3405</v>
      </c>
      <c r="I1344" t="s">
        <v>3391</v>
      </c>
      <c r="J1344" t="s">
        <v>3392</v>
      </c>
      <c r="K1344" t="s">
        <v>6315</v>
      </c>
      <c r="L1344" t="s">
        <v>6778</v>
      </c>
      <c r="M1344" t="s">
        <v>6779</v>
      </c>
      <c r="N1344" t="s">
        <v>6792</v>
      </c>
      <c r="O1344">
        <v>1</v>
      </c>
      <c r="P1344" t="str">
        <f>+BARRAS[[#This Row],[Barra]]&amp;"_"&amp;BARRAS[[#This Row],[Nivel de tensión]]</f>
        <v>C.CALERA1_62</v>
      </c>
    </row>
    <row r="1345" spans="1:16">
      <c r="A1345" t="s">
        <v>5834</v>
      </c>
      <c r="B1345">
        <v>110</v>
      </c>
      <c r="C1345">
        <v>1</v>
      </c>
      <c r="D1345" t="s">
        <v>5217</v>
      </c>
      <c r="E1345" t="s">
        <v>5836</v>
      </c>
      <c r="F1345" t="s">
        <v>3420</v>
      </c>
      <c r="G1345">
        <v>16301</v>
      </c>
      <c r="H1345" t="s">
        <v>3418</v>
      </c>
      <c r="I1345" t="s">
        <v>3391</v>
      </c>
      <c r="J1345" t="s">
        <v>3392</v>
      </c>
      <c r="K1345" t="s">
        <v>3302</v>
      </c>
      <c r="L1345" t="s">
        <v>6778</v>
      </c>
      <c r="M1345" t="s">
        <v>6779</v>
      </c>
      <c r="N1345" t="s">
        <v>6792</v>
      </c>
      <c r="O1345">
        <v>1</v>
      </c>
      <c r="P1345" t="str">
        <f>+BARRAS[[#This Row],[Barra]]&amp;"_"&amp;BARRAS[[#This Row],[Nivel de tensión]]</f>
        <v>C.CALERA1_110</v>
      </c>
    </row>
    <row r="1346" spans="1:16">
      <c r="A1346" t="s">
        <v>142</v>
      </c>
      <c r="B1346">
        <v>110</v>
      </c>
      <c r="C1346">
        <v>1</v>
      </c>
      <c r="D1346" t="s">
        <v>3397</v>
      </c>
      <c r="E1346" t="s">
        <v>5837</v>
      </c>
      <c r="F1346" t="s">
        <v>3420</v>
      </c>
      <c r="G1346">
        <v>16301</v>
      </c>
      <c r="H1346" t="s">
        <v>3469</v>
      </c>
      <c r="I1346" t="s">
        <v>3391</v>
      </c>
      <c r="J1346" t="s">
        <v>3392</v>
      </c>
      <c r="K1346" t="s">
        <v>3303</v>
      </c>
      <c r="L1346" t="s">
        <v>6778</v>
      </c>
      <c r="M1346" t="s">
        <v>6779</v>
      </c>
      <c r="N1346" t="s">
        <v>6792</v>
      </c>
      <c r="O1346">
        <v>1</v>
      </c>
      <c r="P1346" t="str">
        <f>+BARRAS[[#This Row],[Barra]]&amp;"_"&amp;BARRAS[[#This Row],[Nivel de tensión]]</f>
        <v>C.CHENA_110</v>
      </c>
    </row>
    <row r="1347" spans="1:16">
      <c r="A1347" t="s">
        <v>174</v>
      </c>
      <c r="B1347">
        <v>13</v>
      </c>
      <c r="C1347">
        <v>535</v>
      </c>
      <c r="D1347" t="s">
        <v>5890</v>
      </c>
      <c r="E1347" t="s">
        <v>5891</v>
      </c>
      <c r="F1347" t="s">
        <v>5892</v>
      </c>
      <c r="G1347">
        <v>16301</v>
      </c>
      <c r="H1347" t="s">
        <v>3400</v>
      </c>
      <c r="I1347" t="s">
        <v>3391</v>
      </c>
      <c r="J1347" t="s">
        <v>3392</v>
      </c>
      <c r="K1347" t="s">
        <v>3301</v>
      </c>
      <c r="L1347" t="s">
        <v>6778</v>
      </c>
      <c r="M1347" t="s">
        <v>6779</v>
      </c>
      <c r="N1347" t="s">
        <v>6792</v>
      </c>
      <c r="O1347">
        <v>1</v>
      </c>
      <c r="P1347" t="str">
        <f>+BARRAS[[#This Row],[Barra]]&amp;"_"&amp;BARRAS[[#This Row],[Nivel de tensión]]</f>
        <v>CALDERA_13</v>
      </c>
    </row>
    <row r="1348" spans="1:16">
      <c r="A1348" t="s">
        <v>174</v>
      </c>
      <c r="B1348">
        <v>110</v>
      </c>
      <c r="C1348">
        <v>536</v>
      </c>
      <c r="D1348" t="s">
        <v>3397</v>
      </c>
      <c r="E1348" t="s">
        <v>5893</v>
      </c>
      <c r="F1348" t="s">
        <v>5892</v>
      </c>
      <c r="G1348">
        <v>16301</v>
      </c>
      <c r="H1348" t="s">
        <v>3400</v>
      </c>
      <c r="I1348" t="s">
        <v>3391</v>
      </c>
      <c r="J1348" t="s">
        <v>3392</v>
      </c>
      <c r="K1348" t="s">
        <v>3301</v>
      </c>
      <c r="L1348" t="s">
        <v>6778</v>
      </c>
      <c r="M1348" t="s">
        <v>6779</v>
      </c>
      <c r="N1348" t="s">
        <v>6792</v>
      </c>
      <c r="O1348">
        <v>1</v>
      </c>
      <c r="P1348" t="str">
        <f>+BARRAS[[#This Row],[Barra]]&amp;"_"&amp;BARRAS[[#This Row],[Nivel de tensión]]</f>
        <v>CALDERA_110</v>
      </c>
    </row>
    <row r="1349" spans="1:16">
      <c r="A1349" t="s">
        <v>5894</v>
      </c>
      <c r="B1349">
        <v>62</v>
      </c>
      <c r="C1349">
        <v>77</v>
      </c>
      <c r="D1349" t="s">
        <v>5895</v>
      </c>
      <c r="E1349" t="s">
        <v>5896</v>
      </c>
      <c r="F1349" t="s">
        <v>5897</v>
      </c>
      <c r="G1349">
        <v>16301</v>
      </c>
      <c r="H1349" t="s">
        <v>3405</v>
      </c>
      <c r="I1349" t="s">
        <v>3391</v>
      </c>
      <c r="J1349" t="s">
        <v>3392</v>
      </c>
      <c r="K1349" t="s">
        <v>6315</v>
      </c>
      <c r="L1349" t="s">
        <v>6778</v>
      </c>
      <c r="M1349" t="s">
        <v>6779</v>
      </c>
      <c r="N1349" t="s">
        <v>6792</v>
      </c>
      <c r="O1349">
        <v>1</v>
      </c>
      <c r="P1349" t="str">
        <f>+BARRAS[[#This Row],[Barra]]&amp;"_"&amp;BARRAS[[#This Row],[Nivel de tensión]]</f>
        <v>CALERA.C_62</v>
      </c>
    </row>
    <row r="1350" spans="1:16">
      <c r="A1350" t="s">
        <v>5898</v>
      </c>
      <c r="B1350">
        <v>13</v>
      </c>
      <c r="C1350">
        <v>695</v>
      </c>
      <c r="D1350" t="s">
        <v>5899</v>
      </c>
      <c r="E1350" t="s">
        <v>5900</v>
      </c>
      <c r="F1350" t="s">
        <v>5901</v>
      </c>
      <c r="G1350">
        <v>16301</v>
      </c>
      <c r="H1350" t="s">
        <v>3418</v>
      </c>
      <c r="I1350" t="s">
        <v>3391</v>
      </c>
      <c r="J1350" t="s">
        <v>3392</v>
      </c>
      <c r="K1350" t="s">
        <v>3302</v>
      </c>
      <c r="L1350" t="s">
        <v>6778</v>
      </c>
      <c r="M1350" t="s">
        <v>6779</v>
      </c>
      <c r="N1350" t="s">
        <v>6792</v>
      </c>
      <c r="O1350">
        <v>1</v>
      </c>
      <c r="P1350" t="str">
        <f>+BARRAS[[#This Row],[Barra]]&amp;"_"&amp;BARRAS[[#This Row],[Nivel de tensión]]</f>
        <v>CALEU_13</v>
      </c>
    </row>
    <row r="1351" spans="1:16">
      <c r="A1351" t="s">
        <v>5898</v>
      </c>
      <c r="B1351">
        <v>44</v>
      </c>
      <c r="C1351">
        <v>1</v>
      </c>
      <c r="D1351" t="s">
        <v>3397</v>
      </c>
      <c r="E1351" t="s">
        <v>5902</v>
      </c>
      <c r="F1351" t="s">
        <v>3420</v>
      </c>
      <c r="G1351">
        <v>16301</v>
      </c>
      <c r="H1351" t="s">
        <v>3418</v>
      </c>
      <c r="I1351" t="s">
        <v>3391</v>
      </c>
      <c r="J1351" t="s">
        <v>3392</v>
      </c>
      <c r="K1351" t="s">
        <v>3302</v>
      </c>
      <c r="L1351" t="s">
        <v>6778</v>
      </c>
      <c r="M1351" t="s">
        <v>6779</v>
      </c>
      <c r="N1351" t="s">
        <v>6792</v>
      </c>
      <c r="O1351">
        <v>1</v>
      </c>
      <c r="P1351" t="str">
        <f>+BARRAS[[#This Row],[Barra]]&amp;"_"&amp;BARRAS[[#This Row],[Nivel de tensión]]</f>
        <v>CALEU_44</v>
      </c>
    </row>
    <row r="1352" spans="1:16">
      <c r="A1352" t="s">
        <v>5903</v>
      </c>
      <c r="B1352">
        <v>23</v>
      </c>
      <c r="C1352">
        <v>1</v>
      </c>
      <c r="D1352" t="s">
        <v>3397</v>
      </c>
      <c r="E1352" t="s">
        <v>3419</v>
      </c>
      <c r="F1352" t="s">
        <v>3420</v>
      </c>
      <c r="G1352">
        <v>16301</v>
      </c>
      <c r="H1352" t="s">
        <v>3405</v>
      </c>
      <c r="I1352" t="s">
        <v>3391</v>
      </c>
      <c r="J1352" t="s">
        <v>3392</v>
      </c>
      <c r="K1352" t="s">
        <v>6315</v>
      </c>
      <c r="L1352" t="s">
        <v>6778</v>
      </c>
      <c r="M1352" t="s">
        <v>6779</v>
      </c>
      <c r="N1352" t="s">
        <v>6792</v>
      </c>
      <c r="O1352">
        <v>1</v>
      </c>
      <c r="P1352" t="str">
        <f>+BARRAS[[#This Row],[Barra]]&amp;"_"&amp;BARRAS[[#This Row],[Nivel de tensión]]</f>
        <v>CALLAO_23</v>
      </c>
    </row>
    <row r="1353" spans="1:16">
      <c r="A1353" t="s">
        <v>5904</v>
      </c>
      <c r="B1353">
        <v>220</v>
      </c>
      <c r="C1353">
        <v>1</v>
      </c>
      <c r="D1353" t="s">
        <v>3397</v>
      </c>
      <c r="E1353" t="s">
        <v>3419</v>
      </c>
      <c r="F1353" t="s">
        <v>3419</v>
      </c>
      <c r="G1353">
        <v>8301</v>
      </c>
      <c r="H1353" t="s">
        <v>3405</v>
      </c>
      <c r="I1353" t="s">
        <v>3391</v>
      </c>
      <c r="J1353" t="s">
        <v>3392</v>
      </c>
      <c r="K1353" t="s">
        <v>6315</v>
      </c>
      <c r="L1353" t="s">
        <v>6778</v>
      </c>
      <c r="M1353" t="s">
        <v>6779</v>
      </c>
      <c r="N1353" t="s">
        <v>6792</v>
      </c>
      <c r="O1353">
        <v>1</v>
      </c>
      <c r="P1353" t="str">
        <f>+BARRAS[[#This Row],[Barra]]&amp;"_"&amp;BARRAS[[#This Row],[Nivel de tensión]]</f>
        <v>CAMPO_LINDO_220</v>
      </c>
    </row>
    <row r="1354" spans="1:16">
      <c r="A1354" t="s">
        <v>5905</v>
      </c>
      <c r="B1354">
        <v>33</v>
      </c>
      <c r="C1354">
        <v>3511</v>
      </c>
      <c r="D1354" t="s">
        <v>3397</v>
      </c>
      <c r="E1354" t="s">
        <v>3419</v>
      </c>
      <c r="F1354" t="s">
        <v>5906</v>
      </c>
      <c r="G1354">
        <v>8301</v>
      </c>
      <c r="H1354" t="s">
        <v>3405</v>
      </c>
      <c r="I1354" t="s">
        <v>3391</v>
      </c>
      <c r="J1354" t="s">
        <v>5907</v>
      </c>
      <c r="K1354" t="s">
        <v>6315</v>
      </c>
      <c r="L1354" t="s">
        <v>6778</v>
      </c>
      <c r="M1354" t="s">
        <v>6779</v>
      </c>
      <c r="N1354" t="s">
        <v>6792</v>
      </c>
      <c r="O1354">
        <v>1</v>
      </c>
      <c r="P1354" t="str">
        <f>+BARRAS[[#This Row],[Barra]]&amp;"_"&amp;BARRAS[[#This Row],[Nivel de tensión]]</f>
        <v>CAMPO_LINDO1_33</v>
      </c>
    </row>
    <row r="1355" spans="1:16">
      <c r="A1355" t="s">
        <v>5908</v>
      </c>
      <c r="B1355">
        <v>33</v>
      </c>
      <c r="C1355">
        <v>1</v>
      </c>
      <c r="D1355" t="s">
        <v>3397</v>
      </c>
      <c r="E1355" t="s">
        <v>3419</v>
      </c>
      <c r="F1355" t="s">
        <v>3419</v>
      </c>
      <c r="G1355">
        <v>8301</v>
      </c>
      <c r="H1355" t="s">
        <v>3405</v>
      </c>
      <c r="I1355" t="s">
        <v>3391</v>
      </c>
      <c r="J1355" t="s">
        <v>3392</v>
      </c>
      <c r="K1355" t="s">
        <v>6315</v>
      </c>
      <c r="L1355" t="s">
        <v>6778</v>
      </c>
      <c r="M1355" t="s">
        <v>6779</v>
      </c>
      <c r="N1355" t="s">
        <v>6792</v>
      </c>
      <c r="O1355">
        <v>1</v>
      </c>
      <c r="P1355" t="str">
        <f>+BARRAS[[#This Row],[Barra]]&amp;"_"&amp;BARRAS[[#This Row],[Nivel de tensión]]</f>
        <v>CAMPO_LINDO2_33</v>
      </c>
    </row>
    <row r="1356" spans="1:16">
      <c r="A1356" t="s">
        <v>5909</v>
      </c>
      <c r="B1356">
        <v>110</v>
      </c>
      <c r="C1356">
        <v>1</v>
      </c>
      <c r="D1356" t="s">
        <v>3397</v>
      </c>
      <c r="E1356" t="s">
        <v>3419</v>
      </c>
      <c r="F1356" t="s">
        <v>3420</v>
      </c>
      <c r="G1356">
        <v>16301</v>
      </c>
      <c r="H1356" t="s">
        <v>3405</v>
      </c>
      <c r="I1356" t="s">
        <v>3391</v>
      </c>
      <c r="J1356" t="s">
        <v>3392</v>
      </c>
      <c r="K1356" t="s">
        <v>6315</v>
      </c>
      <c r="L1356" t="s">
        <v>6778</v>
      </c>
      <c r="M1356" t="s">
        <v>6779</v>
      </c>
      <c r="N1356" t="s">
        <v>6792</v>
      </c>
      <c r="O1356">
        <v>1</v>
      </c>
      <c r="P1356" t="str">
        <f>+BARRAS[[#This Row],[Barra]]&amp;"_"&amp;BARRAS[[#This Row],[Nivel de tensión]]</f>
        <v>CANAL_MELADO_110</v>
      </c>
    </row>
    <row r="1357" spans="1:16">
      <c r="A1357" t="s">
        <v>5909</v>
      </c>
      <c r="B1357">
        <v>220</v>
      </c>
      <c r="C1357">
        <v>1</v>
      </c>
      <c r="D1357" t="s">
        <v>3397</v>
      </c>
      <c r="E1357" t="s">
        <v>5910</v>
      </c>
      <c r="F1357" t="s">
        <v>3420</v>
      </c>
      <c r="G1357">
        <v>16301</v>
      </c>
      <c r="H1357" t="s">
        <v>3405</v>
      </c>
      <c r="I1357" t="s">
        <v>3391</v>
      </c>
      <c r="J1357" t="s">
        <v>3392</v>
      </c>
      <c r="K1357" t="s">
        <v>6315</v>
      </c>
      <c r="L1357" t="s">
        <v>6778</v>
      </c>
      <c r="M1357" t="s">
        <v>6779</v>
      </c>
      <c r="N1357" t="s">
        <v>6792</v>
      </c>
      <c r="O1357">
        <v>1</v>
      </c>
      <c r="P1357" t="str">
        <f>+BARRAS[[#This Row],[Barra]]&amp;"_"&amp;BARRAS[[#This Row],[Nivel de tensión]]</f>
        <v>CANAL_MELADO_220</v>
      </c>
    </row>
    <row r="1358" spans="1:16">
      <c r="A1358" t="s">
        <v>6506</v>
      </c>
      <c r="B1358">
        <v>66</v>
      </c>
      <c r="C1358">
        <v>3952</v>
      </c>
      <c r="D1358" t="s">
        <v>6507</v>
      </c>
      <c r="E1358" t="s">
        <v>6508</v>
      </c>
      <c r="F1358" t="s">
        <v>6509</v>
      </c>
      <c r="G1358">
        <v>9201</v>
      </c>
      <c r="H1358" t="s">
        <v>3414</v>
      </c>
      <c r="I1358" t="s">
        <v>3391</v>
      </c>
      <c r="J1358" t="s">
        <v>6510</v>
      </c>
      <c r="K1358" t="s">
        <v>3304</v>
      </c>
      <c r="L1358" t="s">
        <v>6778</v>
      </c>
      <c r="M1358" t="s">
        <v>6779</v>
      </c>
      <c r="N1358" t="s">
        <v>6792</v>
      </c>
      <c r="O1358">
        <v>1</v>
      </c>
      <c r="P1358" t="str">
        <f>+BARRAS[[#This Row],[Barra]]&amp;"_"&amp;BARRAS[[#This Row],[Nivel de tensión]]</f>
        <v>CANCURA_66</v>
      </c>
    </row>
    <row r="1359" spans="1:16">
      <c r="A1359" t="s">
        <v>182</v>
      </c>
      <c r="B1359">
        <v>220</v>
      </c>
      <c r="C1359">
        <v>1</v>
      </c>
      <c r="D1359" t="s">
        <v>3397</v>
      </c>
      <c r="E1359" t="s">
        <v>5911</v>
      </c>
      <c r="F1359" t="s">
        <v>3420</v>
      </c>
      <c r="G1359">
        <v>16301</v>
      </c>
      <c r="H1359" t="s">
        <v>3405</v>
      </c>
      <c r="I1359" t="s">
        <v>3391</v>
      </c>
      <c r="J1359" t="s">
        <v>3392</v>
      </c>
      <c r="K1359" t="s">
        <v>6315</v>
      </c>
      <c r="L1359" t="s">
        <v>6778</v>
      </c>
      <c r="M1359" t="s">
        <v>6779</v>
      </c>
      <c r="N1359" t="s">
        <v>6792</v>
      </c>
      <c r="O1359">
        <v>1</v>
      </c>
      <c r="P1359" t="str">
        <f>+BARRAS[[#This Row],[Barra]]&amp;"_"&amp;BARRAS[[#This Row],[Nivel de tensión]]</f>
        <v>CANDELARIA_220</v>
      </c>
    </row>
    <row r="1360" spans="1:16">
      <c r="A1360" t="s">
        <v>3410</v>
      </c>
      <c r="B1360">
        <v>23</v>
      </c>
      <c r="C1360">
        <v>1339</v>
      </c>
      <c r="D1360" t="s">
        <v>3411</v>
      </c>
      <c r="E1360" t="s">
        <v>3412</v>
      </c>
      <c r="F1360" t="s">
        <v>3413</v>
      </c>
      <c r="G1360">
        <v>16301</v>
      </c>
      <c r="H1360" t="s">
        <v>3414</v>
      </c>
      <c r="I1360" t="s">
        <v>3391</v>
      </c>
      <c r="J1360" t="s">
        <v>3392</v>
      </c>
      <c r="K1360" t="s">
        <v>3304</v>
      </c>
      <c r="L1360" t="s">
        <v>6778</v>
      </c>
      <c r="M1360" t="s">
        <v>6779</v>
      </c>
      <c r="N1360" t="s">
        <v>6792</v>
      </c>
      <c r="O1360">
        <v>1</v>
      </c>
      <c r="P1360" t="str">
        <f>+BARRAS[[#This Row],[Barra]]&amp;"_"&amp;BARRAS[[#This Row],[Nivel de tensión]]</f>
        <v>CANETE_23</v>
      </c>
    </row>
    <row r="1361" spans="1:16">
      <c r="A1361" t="s">
        <v>3410</v>
      </c>
      <c r="B1361">
        <v>66</v>
      </c>
      <c r="C1361">
        <v>1</v>
      </c>
      <c r="D1361" t="s">
        <v>3397</v>
      </c>
      <c r="E1361" t="s">
        <v>5912</v>
      </c>
      <c r="F1361" t="s">
        <v>3420</v>
      </c>
      <c r="G1361">
        <v>16301</v>
      </c>
      <c r="H1361" t="s">
        <v>3414</v>
      </c>
      <c r="I1361" t="s">
        <v>3391</v>
      </c>
      <c r="J1361" t="s">
        <v>3392</v>
      </c>
      <c r="K1361" t="s">
        <v>3304</v>
      </c>
      <c r="L1361" t="s">
        <v>6778</v>
      </c>
      <c r="M1361" t="s">
        <v>6779</v>
      </c>
      <c r="N1361" t="s">
        <v>6792</v>
      </c>
      <c r="O1361">
        <v>1</v>
      </c>
      <c r="P1361" t="str">
        <f>+BARRAS[[#This Row],[Barra]]&amp;"_"&amp;BARRAS[[#This Row],[Nivel de tensión]]</f>
        <v>CANETE_66</v>
      </c>
    </row>
    <row r="1362" spans="1:16">
      <c r="A1362" t="s">
        <v>5913</v>
      </c>
      <c r="B1362">
        <v>110</v>
      </c>
      <c r="C1362">
        <v>3969</v>
      </c>
      <c r="D1362" t="s">
        <v>3397</v>
      </c>
      <c r="E1362" t="s">
        <v>3419</v>
      </c>
      <c r="F1362" t="s">
        <v>3419</v>
      </c>
      <c r="G1362">
        <v>16301</v>
      </c>
      <c r="H1362" t="s">
        <v>3469</v>
      </c>
      <c r="I1362" t="s">
        <v>3391</v>
      </c>
      <c r="J1362" t="s">
        <v>5914</v>
      </c>
      <c r="K1362" t="s">
        <v>6315</v>
      </c>
      <c r="L1362" t="s">
        <v>6778</v>
      </c>
      <c r="M1362" t="s">
        <v>6779</v>
      </c>
      <c r="N1362" t="s">
        <v>6792</v>
      </c>
      <c r="O1362">
        <v>1</v>
      </c>
      <c r="P1362" t="str">
        <f>+BARRAS[[#This Row],[Barra]]&amp;"_"&amp;BARRAS[[#This Row],[Nivel de tensión]]</f>
        <v>CANTERAS_110</v>
      </c>
    </row>
    <row r="1363" spans="1:16">
      <c r="A1363" t="s">
        <v>5915</v>
      </c>
      <c r="B1363">
        <v>13</v>
      </c>
      <c r="C1363">
        <v>1</v>
      </c>
      <c r="D1363" t="s">
        <v>3397</v>
      </c>
      <c r="E1363" t="s">
        <v>3419</v>
      </c>
      <c r="F1363" t="s">
        <v>3420</v>
      </c>
      <c r="G1363">
        <v>16301</v>
      </c>
      <c r="H1363" t="s">
        <v>3405</v>
      </c>
      <c r="I1363" t="s">
        <v>3391</v>
      </c>
      <c r="J1363" t="s">
        <v>3392</v>
      </c>
      <c r="K1363" t="s">
        <v>6315</v>
      </c>
      <c r="L1363" t="s">
        <v>6778</v>
      </c>
      <c r="M1363" t="s">
        <v>6779</v>
      </c>
      <c r="N1363" t="s">
        <v>6792</v>
      </c>
      <c r="O1363">
        <v>1</v>
      </c>
      <c r="P1363" t="str">
        <f>+BARRAS[[#This Row],[Barra]]&amp;"_"&amp;BARRAS[[#This Row],[Nivel de tensión]]</f>
        <v>CANUTILLAR_13</v>
      </c>
    </row>
    <row r="1364" spans="1:16">
      <c r="A1364" t="s">
        <v>5915</v>
      </c>
      <c r="B1364">
        <v>220</v>
      </c>
      <c r="C1364">
        <v>1</v>
      </c>
      <c r="D1364" t="s">
        <v>3397</v>
      </c>
      <c r="E1364" t="s">
        <v>5916</v>
      </c>
      <c r="F1364" t="s">
        <v>3420</v>
      </c>
      <c r="G1364">
        <v>16301</v>
      </c>
      <c r="H1364" t="s">
        <v>3405</v>
      </c>
      <c r="I1364" t="s">
        <v>3391</v>
      </c>
      <c r="J1364" t="s">
        <v>3392</v>
      </c>
      <c r="K1364" t="s">
        <v>6315</v>
      </c>
      <c r="L1364" t="s">
        <v>6778</v>
      </c>
      <c r="M1364" t="s">
        <v>6779</v>
      </c>
      <c r="N1364" t="s">
        <v>6792</v>
      </c>
      <c r="O1364">
        <v>1</v>
      </c>
      <c r="P1364" t="str">
        <f>+BARRAS[[#This Row],[Barra]]&amp;"_"&amp;BARRAS[[#This Row],[Nivel de tensión]]</f>
        <v>CANUTILLAR_220</v>
      </c>
    </row>
    <row r="1365" spans="1:16">
      <c r="A1365" t="s">
        <v>5917</v>
      </c>
      <c r="B1365">
        <v>110</v>
      </c>
      <c r="C1365">
        <v>1</v>
      </c>
      <c r="D1365" t="s">
        <v>3397</v>
      </c>
      <c r="E1365" t="s">
        <v>5918</v>
      </c>
      <c r="F1365" t="s">
        <v>3420</v>
      </c>
      <c r="G1365">
        <v>16301</v>
      </c>
      <c r="H1365" t="s">
        <v>3443</v>
      </c>
      <c r="I1365" t="s">
        <v>3391</v>
      </c>
      <c r="J1365" t="s">
        <v>3392</v>
      </c>
      <c r="K1365" t="s">
        <v>3300</v>
      </c>
      <c r="L1365" t="s">
        <v>6778</v>
      </c>
      <c r="M1365" t="s">
        <v>6779</v>
      </c>
      <c r="N1365" t="s">
        <v>6792</v>
      </c>
      <c r="O1365">
        <v>1</v>
      </c>
      <c r="P1365" t="str">
        <f>+BARRAS[[#This Row],[Barra]]&amp;"_"&amp;BARRAS[[#This Row],[Nivel de tensión]]</f>
        <v>CAPRICORNIO_110</v>
      </c>
    </row>
    <row r="1366" spans="1:16">
      <c r="A1366" t="s">
        <v>5917</v>
      </c>
      <c r="B1366">
        <v>220</v>
      </c>
      <c r="C1366">
        <v>1</v>
      </c>
      <c r="D1366" t="s">
        <v>3397</v>
      </c>
      <c r="E1366" t="s">
        <v>3644</v>
      </c>
      <c r="F1366" t="s">
        <v>3420</v>
      </c>
      <c r="G1366">
        <v>16301</v>
      </c>
      <c r="H1366" t="s">
        <v>3443</v>
      </c>
      <c r="I1366" t="s">
        <v>3391</v>
      </c>
      <c r="J1366" t="s">
        <v>3392</v>
      </c>
      <c r="K1366" t="s">
        <v>3300</v>
      </c>
      <c r="L1366" t="s">
        <v>6778</v>
      </c>
      <c r="M1366" t="s">
        <v>6779</v>
      </c>
      <c r="N1366" t="s">
        <v>6792</v>
      </c>
      <c r="O1366">
        <v>1</v>
      </c>
      <c r="P1366" t="str">
        <f>+BARRAS[[#This Row],[Barra]]&amp;"_"&amp;BARRAS[[#This Row],[Nivel de tensión]]</f>
        <v>CAPRICORNIO_220</v>
      </c>
    </row>
    <row r="1367" spans="1:16">
      <c r="A1367" t="s">
        <v>5919</v>
      </c>
      <c r="B1367">
        <v>66</v>
      </c>
      <c r="C1367">
        <v>1</v>
      </c>
      <c r="D1367" t="s">
        <v>3397</v>
      </c>
      <c r="E1367" t="s">
        <v>5920</v>
      </c>
      <c r="F1367" t="s">
        <v>3420</v>
      </c>
      <c r="G1367">
        <v>16301</v>
      </c>
      <c r="H1367" t="s">
        <v>3405</v>
      </c>
      <c r="I1367" t="s">
        <v>3391</v>
      </c>
      <c r="J1367" t="s">
        <v>3392</v>
      </c>
      <c r="K1367" t="s">
        <v>6315</v>
      </c>
      <c r="L1367" t="s">
        <v>6778</v>
      </c>
      <c r="M1367" t="s">
        <v>6779</v>
      </c>
      <c r="N1367" t="s">
        <v>6792</v>
      </c>
      <c r="O1367">
        <v>1</v>
      </c>
      <c r="P1367" t="str">
        <f>+BARRAS[[#This Row],[Barra]]&amp;"_"&amp;BARRAS[[#This Row],[Nivel de tensión]]</f>
        <v>CAPULLO_66</v>
      </c>
    </row>
    <row r="1368" spans="1:16">
      <c r="A1368" t="s">
        <v>191</v>
      </c>
      <c r="B1368">
        <v>13</v>
      </c>
      <c r="C1368">
        <v>145</v>
      </c>
      <c r="D1368" t="s">
        <v>5921</v>
      </c>
      <c r="E1368" t="s">
        <v>5922</v>
      </c>
      <c r="F1368" t="s">
        <v>5923</v>
      </c>
      <c r="G1368">
        <v>16301</v>
      </c>
      <c r="H1368" t="s">
        <v>3414</v>
      </c>
      <c r="I1368" t="s">
        <v>3391</v>
      </c>
      <c r="J1368" t="s">
        <v>3392</v>
      </c>
      <c r="K1368" t="s">
        <v>3304</v>
      </c>
      <c r="L1368" t="s">
        <v>6778</v>
      </c>
      <c r="M1368" t="s">
        <v>6779</v>
      </c>
      <c r="N1368" t="s">
        <v>6792</v>
      </c>
      <c r="O1368">
        <v>1</v>
      </c>
      <c r="P1368" t="str">
        <f>+BARRAS[[#This Row],[Barra]]&amp;"_"&amp;BARRAS[[#This Row],[Nivel de tensión]]</f>
        <v>CARAMPANGUE_13</v>
      </c>
    </row>
    <row r="1369" spans="1:16">
      <c r="A1369" t="s">
        <v>191</v>
      </c>
      <c r="B1369">
        <v>23</v>
      </c>
      <c r="C1369">
        <v>1</v>
      </c>
      <c r="D1369" t="s">
        <v>3397</v>
      </c>
      <c r="E1369" t="s">
        <v>5924</v>
      </c>
      <c r="F1369" t="s">
        <v>3420</v>
      </c>
      <c r="G1369">
        <v>16301</v>
      </c>
      <c r="H1369" t="s">
        <v>3414</v>
      </c>
      <c r="I1369" t="s">
        <v>3391</v>
      </c>
      <c r="J1369" t="s">
        <v>3392</v>
      </c>
      <c r="K1369" t="s">
        <v>3304</v>
      </c>
      <c r="L1369" t="s">
        <v>6778</v>
      </c>
      <c r="M1369" t="s">
        <v>6779</v>
      </c>
      <c r="N1369" t="s">
        <v>6792</v>
      </c>
      <c r="O1369">
        <v>1</v>
      </c>
      <c r="P1369" t="str">
        <f>+BARRAS[[#This Row],[Barra]]&amp;"_"&amp;BARRAS[[#This Row],[Nivel de tensión]]</f>
        <v>CARAMPANGUE_23</v>
      </c>
    </row>
    <row r="1370" spans="1:16">
      <c r="A1370" t="s">
        <v>191</v>
      </c>
      <c r="B1370">
        <v>66</v>
      </c>
      <c r="C1370">
        <v>1</v>
      </c>
      <c r="D1370" t="s">
        <v>3397</v>
      </c>
      <c r="E1370" t="s">
        <v>5925</v>
      </c>
      <c r="F1370" t="s">
        <v>3420</v>
      </c>
      <c r="G1370">
        <v>16301</v>
      </c>
      <c r="H1370" t="s">
        <v>3414</v>
      </c>
      <c r="I1370" t="s">
        <v>3391</v>
      </c>
      <c r="J1370" t="s">
        <v>3392</v>
      </c>
      <c r="K1370" t="s">
        <v>3304</v>
      </c>
      <c r="L1370" t="s">
        <v>6778</v>
      </c>
      <c r="M1370" t="s">
        <v>6779</v>
      </c>
      <c r="N1370" t="s">
        <v>6792</v>
      </c>
      <c r="O1370">
        <v>1</v>
      </c>
      <c r="P1370" t="str">
        <f>+BARRAS[[#This Row],[Barra]]&amp;"_"&amp;BARRAS[[#This Row],[Nivel de tensión]]</f>
        <v>CARAMPANGUE_66</v>
      </c>
    </row>
    <row r="1371" spans="1:16">
      <c r="A1371" t="s">
        <v>5926</v>
      </c>
      <c r="B1371">
        <v>23</v>
      </c>
      <c r="C1371">
        <v>1</v>
      </c>
      <c r="D1371" t="s">
        <v>3397</v>
      </c>
      <c r="E1371" t="s">
        <v>3419</v>
      </c>
      <c r="F1371" t="s">
        <v>5927</v>
      </c>
      <c r="G1371">
        <v>6203</v>
      </c>
      <c r="H1371" t="s">
        <v>3405</v>
      </c>
      <c r="I1371" t="s">
        <v>3391</v>
      </c>
      <c r="J1371" t="s">
        <v>5928</v>
      </c>
      <c r="K1371" t="s">
        <v>6315</v>
      </c>
      <c r="L1371" t="s">
        <v>6778</v>
      </c>
      <c r="M1371" t="s">
        <v>6779</v>
      </c>
      <c r="N1371" t="s">
        <v>6792</v>
      </c>
      <c r="O1371">
        <v>1</v>
      </c>
      <c r="P1371" t="str">
        <f>+BARRAS[[#This Row],[Barra]]&amp;"_"&amp;BARRAS[[#This Row],[Nivel de tensión]]</f>
        <v>CARDONAL_23</v>
      </c>
    </row>
    <row r="1372" spans="1:16">
      <c r="A1372" t="s">
        <v>5926</v>
      </c>
      <c r="B1372">
        <v>110</v>
      </c>
      <c r="C1372">
        <v>1</v>
      </c>
      <c r="D1372" t="s">
        <v>3397</v>
      </c>
      <c r="E1372" t="s">
        <v>3419</v>
      </c>
      <c r="F1372" t="s">
        <v>4240</v>
      </c>
      <c r="G1372">
        <v>16301</v>
      </c>
      <c r="H1372" t="s">
        <v>3405</v>
      </c>
      <c r="I1372" t="s">
        <v>3391</v>
      </c>
      <c r="J1372" t="s">
        <v>3392</v>
      </c>
      <c r="K1372" t="s">
        <v>6315</v>
      </c>
      <c r="L1372" t="s">
        <v>6778</v>
      </c>
      <c r="M1372" t="s">
        <v>6779</v>
      </c>
      <c r="N1372" t="s">
        <v>6792</v>
      </c>
      <c r="O1372">
        <v>1</v>
      </c>
      <c r="P1372" t="str">
        <f>+BARRAS[[#This Row],[Barra]]&amp;"_"&amp;BARRAS[[#This Row],[Nivel de tensión]]</f>
        <v>CARDONAL_110</v>
      </c>
    </row>
    <row r="1373" spans="1:16">
      <c r="A1373" t="s">
        <v>5963</v>
      </c>
      <c r="B1373">
        <v>100</v>
      </c>
      <c r="C1373">
        <v>1862</v>
      </c>
      <c r="D1373" t="s">
        <v>5964</v>
      </c>
      <c r="E1373" t="s">
        <v>5965</v>
      </c>
      <c r="F1373" t="s">
        <v>5966</v>
      </c>
      <c r="G1373">
        <v>16301</v>
      </c>
      <c r="H1373" t="s">
        <v>3396</v>
      </c>
      <c r="I1373" t="s">
        <v>3391</v>
      </c>
      <c r="J1373" t="s">
        <v>3392</v>
      </c>
      <c r="K1373" t="s">
        <v>6315</v>
      </c>
      <c r="L1373" t="s">
        <v>6778</v>
      </c>
      <c r="M1373" t="s">
        <v>6779</v>
      </c>
      <c r="N1373" t="s">
        <v>6792</v>
      </c>
      <c r="O1373">
        <v>1</v>
      </c>
      <c r="P1373" t="str">
        <f>+BARRAS[[#This Row],[Barra]]&amp;"_"&amp;BARRAS[[#This Row],[Nivel de tensión]]</f>
        <v>A_100</v>
      </c>
    </row>
    <row r="1374" spans="1:16">
      <c r="A1374" t="s">
        <v>5967</v>
      </c>
      <c r="B1374">
        <v>13</v>
      </c>
      <c r="C1374">
        <v>141</v>
      </c>
      <c r="D1374" t="s">
        <v>5968</v>
      </c>
      <c r="E1374" t="s">
        <v>5969</v>
      </c>
      <c r="F1374" t="s">
        <v>5970</v>
      </c>
      <c r="G1374">
        <v>16301</v>
      </c>
      <c r="H1374" t="s">
        <v>3414</v>
      </c>
      <c r="I1374" t="s">
        <v>3391</v>
      </c>
      <c r="J1374" t="s">
        <v>3392</v>
      </c>
      <c r="K1374" t="s">
        <v>3304</v>
      </c>
      <c r="L1374" t="s">
        <v>6778</v>
      </c>
      <c r="M1374" t="s">
        <v>6779</v>
      </c>
      <c r="N1374" t="s">
        <v>6792</v>
      </c>
      <c r="O1374">
        <v>1</v>
      </c>
      <c r="P1374" t="str">
        <f>+BARRAS[[#This Row],[Barra]]&amp;"_"&amp;BARRAS[[#This Row],[Nivel de tensión]]</f>
        <v>A.BLANCAS_13</v>
      </c>
    </row>
    <row r="1375" spans="1:16">
      <c r="A1375" t="s">
        <v>5967</v>
      </c>
      <c r="B1375">
        <v>66</v>
      </c>
      <c r="C1375">
        <v>1</v>
      </c>
      <c r="D1375" t="s">
        <v>3397</v>
      </c>
      <c r="E1375" t="s">
        <v>5971</v>
      </c>
      <c r="F1375" t="s">
        <v>3420</v>
      </c>
      <c r="G1375">
        <v>16301</v>
      </c>
      <c r="H1375" t="s">
        <v>3414</v>
      </c>
      <c r="I1375" t="s">
        <v>3391</v>
      </c>
      <c r="J1375" t="s">
        <v>3392</v>
      </c>
      <c r="K1375" t="s">
        <v>3304</v>
      </c>
      <c r="L1375" t="s">
        <v>6778</v>
      </c>
      <c r="M1375" t="s">
        <v>6779</v>
      </c>
      <c r="N1375" t="s">
        <v>6792</v>
      </c>
      <c r="O1375">
        <v>1</v>
      </c>
      <c r="P1375" t="str">
        <f>+BARRAS[[#This Row],[Barra]]&amp;"_"&amp;BARRAS[[#This Row],[Nivel de tensión]]</f>
        <v>A.BLANCAS_66</v>
      </c>
    </row>
    <row r="1376" spans="1:16">
      <c r="A1376" t="s">
        <v>5972</v>
      </c>
      <c r="B1376">
        <v>66</v>
      </c>
      <c r="C1376">
        <v>1</v>
      </c>
      <c r="D1376" t="s">
        <v>3397</v>
      </c>
      <c r="E1376" t="s">
        <v>3419</v>
      </c>
      <c r="F1376" t="s">
        <v>3420</v>
      </c>
      <c r="G1376">
        <v>16301</v>
      </c>
      <c r="H1376" t="s">
        <v>3405</v>
      </c>
      <c r="I1376" t="s">
        <v>3391</v>
      </c>
      <c r="J1376" t="s">
        <v>3392</v>
      </c>
      <c r="K1376" t="s">
        <v>6315</v>
      </c>
      <c r="L1376" t="s">
        <v>6778</v>
      </c>
      <c r="M1376" t="s">
        <v>6779</v>
      </c>
      <c r="N1376" t="s">
        <v>6792</v>
      </c>
      <c r="O1376">
        <v>1</v>
      </c>
      <c r="P1376" t="str">
        <f>+BARRAS[[#This Row],[Barra]]&amp;"_"&amp;BARRAS[[#This Row],[Nivel de tensión]]</f>
        <v>A.CLARAS_66</v>
      </c>
    </row>
    <row r="1377" spans="1:16">
      <c r="A1377" t="s">
        <v>5973</v>
      </c>
      <c r="B1377">
        <v>66</v>
      </c>
      <c r="C1377">
        <v>1</v>
      </c>
      <c r="D1377" t="s">
        <v>3397</v>
      </c>
      <c r="E1377" t="s">
        <v>5974</v>
      </c>
      <c r="F1377" t="s">
        <v>3420</v>
      </c>
      <c r="G1377">
        <v>16301</v>
      </c>
      <c r="H1377" t="s">
        <v>3414</v>
      </c>
      <c r="I1377" t="s">
        <v>3391</v>
      </c>
      <c r="J1377" t="s">
        <v>3392</v>
      </c>
      <c r="K1377" t="s">
        <v>3304</v>
      </c>
      <c r="L1377" t="s">
        <v>6778</v>
      </c>
      <c r="M1377" t="s">
        <v>6779</v>
      </c>
      <c r="N1377" t="s">
        <v>6792</v>
      </c>
      <c r="O1377">
        <v>1</v>
      </c>
      <c r="P1377" t="str">
        <f>+BARRAS[[#This Row],[Barra]]&amp;"_"&amp;BARRAS[[#This Row],[Nivel de tensión]]</f>
        <v>A.DERIBERA_66</v>
      </c>
    </row>
    <row r="1378" spans="1:16">
      <c r="A1378" t="s">
        <v>5973</v>
      </c>
      <c r="B1378">
        <v>154</v>
      </c>
      <c r="C1378">
        <v>1</v>
      </c>
      <c r="D1378" t="s">
        <v>3397</v>
      </c>
      <c r="E1378" t="s">
        <v>5975</v>
      </c>
      <c r="F1378" t="s">
        <v>3420</v>
      </c>
      <c r="G1378">
        <v>16301</v>
      </c>
      <c r="H1378" t="s">
        <v>3414</v>
      </c>
      <c r="I1378" t="s">
        <v>3391</v>
      </c>
      <c r="J1378" t="s">
        <v>3392</v>
      </c>
      <c r="K1378" t="s">
        <v>3304</v>
      </c>
      <c r="L1378" t="s">
        <v>6778</v>
      </c>
      <c r="M1378" t="s">
        <v>6779</v>
      </c>
      <c r="N1378" t="s">
        <v>6792</v>
      </c>
      <c r="O1378">
        <v>1</v>
      </c>
      <c r="P1378" t="str">
        <f>+BARRAS[[#This Row],[Barra]]&amp;"_"&amp;BARRAS[[#This Row],[Nivel de tensión]]</f>
        <v>A.DERIBERA_154</v>
      </c>
    </row>
    <row r="1379" spans="1:16">
      <c r="A1379" t="s">
        <v>5976</v>
      </c>
      <c r="B1379">
        <v>13</v>
      </c>
      <c r="C1379">
        <v>1870</v>
      </c>
      <c r="D1379" t="s">
        <v>5977</v>
      </c>
      <c r="E1379" t="s">
        <v>5978</v>
      </c>
      <c r="F1379" t="s">
        <v>5979</v>
      </c>
      <c r="G1379">
        <v>16301</v>
      </c>
      <c r="H1379" t="s">
        <v>3443</v>
      </c>
      <c r="I1379" t="s">
        <v>3391</v>
      </c>
      <c r="J1379" t="s">
        <v>3392</v>
      </c>
      <c r="K1379" t="s">
        <v>3300</v>
      </c>
      <c r="L1379" t="s">
        <v>6778</v>
      </c>
      <c r="M1379" t="s">
        <v>6779</v>
      </c>
      <c r="N1379" t="s">
        <v>6792</v>
      </c>
      <c r="O1379">
        <v>1</v>
      </c>
      <c r="P1379" t="str">
        <f>+BARRAS[[#This Row],[Barra]]&amp;"_"&amp;BARRAS[[#This Row],[Nivel de tensión]]</f>
        <v>A.HOSPICIO_13</v>
      </c>
    </row>
    <row r="1380" spans="1:16">
      <c r="A1380" t="s">
        <v>5976</v>
      </c>
      <c r="B1380">
        <v>110</v>
      </c>
      <c r="C1380">
        <v>1869</v>
      </c>
      <c r="D1380" t="s">
        <v>5980</v>
      </c>
      <c r="E1380" t="s">
        <v>5981</v>
      </c>
      <c r="F1380" t="s">
        <v>5979</v>
      </c>
      <c r="G1380">
        <v>16301</v>
      </c>
      <c r="H1380" t="s">
        <v>3443</v>
      </c>
      <c r="I1380" t="s">
        <v>3391</v>
      </c>
      <c r="J1380" t="s">
        <v>3392</v>
      </c>
      <c r="K1380" t="s">
        <v>3300</v>
      </c>
      <c r="L1380" t="s">
        <v>6778</v>
      </c>
      <c r="M1380" t="s">
        <v>6779</v>
      </c>
      <c r="N1380" t="s">
        <v>6792</v>
      </c>
      <c r="O1380">
        <v>1</v>
      </c>
      <c r="P1380" t="str">
        <f>+BARRAS[[#This Row],[Barra]]&amp;"_"&amp;BARRAS[[#This Row],[Nivel de tensión]]</f>
        <v>A.HOSPICIO_110</v>
      </c>
    </row>
    <row r="1381" spans="1:16">
      <c r="A1381" t="s">
        <v>9</v>
      </c>
      <c r="B1381">
        <v>66</v>
      </c>
      <c r="C1381">
        <v>459</v>
      </c>
      <c r="D1381" t="s">
        <v>5982</v>
      </c>
      <c r="E1381" t="s">
        <v>5983</v>
      </c>
      <c r="F1381" t="s">
        <v>5984</v>
      </c>
      <c r="G1381">
        <v>16301</v>
      </c>
      <c r="H1381" t="s">
        <v>3414</v>
      </c>
      <c r="I1381" t="s">
        <v>3391</v>
      </c>
      <c r="J1381" t="s">
        <v>3392</v>
      </c>
      <c r="K1381" t="s">
        <v>3304</v>
      </c>
      <c r="L1381" t="s">
        <v>6778</v>
      </c>
      <c r="M1381" t="s">
        <v>6779</v>
      </c>
      <c r="N1381" t="s">
        <v>6792</v>
      </c>
      <c r="O1381">
        <v>1</v>
      </c>
      <c r="P1381" t="str">
        <f>+BARRAS[[#This Row],[Barra]]&amp;"_"&amp;BARRAS[[#This Row],[Nivel de tensión]]</f>
        <v>A.JAHUEL_66</v>
      </c>
    </row>
    <row r="1382" spans="1:16">
      <c r="A1382" t="s">
        <v>9</v>
      </c>
      <c r="B1382">
        <v>110</v>
      </c>
      <c r="C1382">
        <v>1</v>
      </c>
      <c r="D1382" t="s">
        <v>3397</v>
      </c>
      <c r="E1382" t="s">
        <v>5985</v>
      </c>
      <c r="F1382" t="s">
        <v>3420</v>
      </c>
      <c r="G1382">
        <v>16301</v>
      </c>
      <c r="H1382" t="s">
        <v>3469</v>
      </c>
      <c r="I1382" t="s">
        <v>3391</v>
      </c>
      <c r="J1382" t="s">
        <v>3392</v>
      </c>
      <c r="K1382" t="s">
        <v>3303</v>
      </c>
      <c r="L1382" t="s">
        <v>6778</v>
      </c>
      <c r="M1382" t="s">
        <v>6779</v>
      </c>
      <c r="N1382" t="s">
        <v>6792</v>
      </c>
      <c r="O1382">
        <v>1</v>
      </c>
      <c r="P1382" t="str">
        <f>+BARRAS[[#This Row],[Barra]]&amp;"_"&amp;BARRAS[[#This Row],[Nivel de tensión]]</f>
        <v>A.JAHUEL_110</v>
      </c>
    </row>
    <row r="1383" spans="1:16">
      <c r="A1383" t="s">
        <v>9</v>
      </c>
      <c r="B1383">
        <v>154</v>
      </c>
      <c r="C1383">
        <v>1</v>
      </c>
      <c r="D1383" t="s">
        <v>3397</v>
      </c>
      <c r="E1383" t="s">
        <v>5986</v>
      </c>
      <c r="F1383" t="s">
        <v>3420</v>
      </c>
      <c r="G1383">
        <v>16301</v>
      </c>
      <c r="H1383" t="s">
        <v>3414</v>
      </c>
      <c r="I1383" t="s">
        <v>3391</v>
      </c>
      <c r="J1383" t="s">
        <v>3392</v>
      </c>
      <c r="K1383" t="s">
        <v>3304</v>
      </c>
      <c r="L1383" t="s">
        <v>6778</v>
      </c>
      <c r="M1383" t="s">
        <v>6779</v>
      </c>
      <c r="N1383" t="s">
        <v>6792</v>
      </c>
      <c r="O1383">
        <v>1</v>
      </c>
      <c r="P1383" t="str">
        <f>+BARRAS[[#This Row],[Barra]]&amp;"_"&amp;BARRAS[[#This Row],[Nivel de tensión]]</f>
        <v>A.JAHUEL_154</v>
      </c>
    </row>
    <row r="1384" spans="1:16">
      <c r="A1384" t="s">
        <v>9</v>
      </c>
      <c r="B1384">
        <v>220</v>
      </c>
      <c r="C1384">
        <v>457</v>
      </c>
      <c r="D1384" t="s">
        <v>5987</v>
      </c>
      <c r="E1384" t="s">
        <v>5988</v>
      </c>
      <c r="F1384" t="s">
        <v>5984</v>
      </c>
      <c r="G1384">
        <v>16301</v>
      </c>
      <c r="H1384" t="s">
        <v>3409</v>
      </c>
      <c r="I1384" t="s">
        <v>3391</v>
      </c>
      <c r="J1384" t="s">
        <v>3392</v>
      </c>
      <c r="K1384" t="s">
        <v>6315</v>
      </c>
      <c r="L1384" t="s">
        <v>6778</v>
      </c>
      <c r="M1384" t="s">
        <v>6779</v>
      </c>
      <c r="N1384" t="s">
        <v>6792</v>
      </c>
      <c r="O1384">
        <v>1</v>
      </c>
      <c r="P1384" t="str">
        <f>+BARRAS[[#This Row],[Barra]]&amp;"_"&amp;BARRAS[[#This Row],[Nivel de tensión]]</f>
        <v>A.JAHUEL_220</v>
      </c>
    </row>
    <row r="1385" spans="1:16">
      <c r="A1385" t="s">
        <v>14</v>
      </c>
      <c r="B1385">
        <v>110</v>
      </c>
      <c r="C1385">
        <v>1</v>
      </c>
      <c r="D1385" t="s">
        <v>3397</v>
      </c>
      <c r="E1385" t="s">
        <v>5989</v>
      </c>
      <c r="F1385" t="s">
        <v>3420</v>
      </c>
      <c r="G1385">
        <v>16301</v>
      </c>
      <c r="H1385" t="s">
        <v>3414</v>
      </c>
      <c r="I1385" t="s">
        <v>3391</v>
      </c>
      <c r="J1385" t="s">
        <v>3392</v>
      </c>
      <c r="K1385" t="s">
        <v>3304</v>
      </c>
      <c r="L1385" t="s">
        <v>6778</v>
      </c>
      <c r="M1385" t="s">
        <v>6779</v>
      </c>
      <c r="N1385" t="s">
        <v>6792</v>
      </c>
      <c r="O1385">
        <v>1</v>
      </c>
      <c r="P1385" t="str">
        <f>+BARRAS[[#This Row],[Barra]]&amp;"_"&amp;BARRAS[[#This Row],[Nivel de tensión]]</f>
        <v>A.MELIP_110</v>
      </c>
    </row>
    <row r="1386" spans="1:16">
      <c r="A1386" t="s">
        <v>14</v>
      </c>
      <c r="B1386">
        <v>220</v>
      </c>
      <c r="C1386">
        <v>1</v>
      </c>
      <c r="D1386" t="s">
        <v>3397</v>
      </c>
      <c r="E1386" t="s">
        <v>5990</v>
      </c>
      <c r="F1386" t="s">
        <v>3420</v>
      </c>
      <c r="G1386">
        <v>16301</v>
      </c>
      <c r="H1386" t="s">
        <v>3409</v>
      </c>
      <c r="I1386" t="s">
        <v>3391</v>
      </c>
      <c r="J1386" t="s">
        <v>3392</v>
      </c>
      <c r="K1386" t="s">
        <v>6315</v>
      </c>
      <c r="L1386" t="s">
        <v>6778</v>
      </c>
      <c r="M1386" t="s">
        <v>6779</v>
      </c>
      <c r="N1386" t="s">
        <v>6792</v>
      </c>
      <c r="O1386">
        <v>1</v>
      </c>
      <c r="P1386" t="str">
        <f>+BARRAS[[#This Row],[Barra]]&amp;"_"&amp;BARRAS[[#This Row],[Nivel de tensión]]</f>
        <v>A.MELIP_220</v>
      </c>
    </row>
    <row r="1387" spans="1:16">
      <c r="A1387" t="s">
        <v>16</v>
      </c>
      <c r="B1387">
        <v>66</v>
      </c>
      <c r="C1387">
        <v>1</v>
      </c>
      <c r="D1387" t="s">
        <v>3397</v>
      </c>
      <c r="E1387" t="s">
        <v>5991</v>
      </c>
      <c r="F1387" t="s">
        <v>3420</v>
      </c>
      <c r="G1387">
        <v>16301</v>
      </c>
      <c r="H1387" t="s">
        <v>3405</v>
      </c>
      <c r="I1387" t="s">
        <v>3391</v>
      </c>
      <c r="J1387" t="s">
        <v>3392</v>
      </c>
      <c r="K1387" t="s">
        <v>6315</v>
      </c>
      <c r="L1387" t="s">
        <v>6778</v>
      </c>
      <c r="M1387" t="s">
        <v>6779</v>
      </c>
      <c r="N1387" t="s">
        <v>6792</v>
      </c>
      <c r="O1387">
        <v>1</v>
      </c>
      <c r="P1387" t="str">
        <f>+BARRAS[[#This Row],[Barra]]&amp;"_"&amp;BARRAS[[#This Row],[Nivel de tensión]]</f>
        <v>A.NEGRAS_66</v>
      </c>
    </row>
    <row r="1388" spans="1:16">
      <c r="A1388" t="s">
        <v>5992</v>
      </c>
      <c r="B1388">
        <v>110</v>
      </c>
      <c r="C1388">
        <v>1</v>
      </c>
      <c r="D1388" t="s">
        <v>3397</v>
      </c>
      <c r="E1388" t="s">
        <v>5993</v>
      </c>
      <c r="F1388" t="s">
        <v>3420</v>
      </c>
      <c r="G1388">
        <v>16301</v>
      </c>
      <c r="H1388" t="s">
        <v>3418</v>
      </c>
      <c r="I1388" t="s">
        <v>3391</v>
      </c>
      <c r="J1388" t="s">
        <v>3392</v>
      </c>
      <c r="K1388" t="s">
        <v>3302</v>
      </c>
      <c r="L1388" t="s">
        <v>6778</v>
      </c>
      <c r="M1388" t="s">
        <v>6779</v>
      </c>
      <c r="N1388" t="s">
        <v>6792</v>
      </c>
      <c r="O1388">
        <v>1</v>
      </c>
      <c r="P1388" t="str">
        <f>+BARRAS[[#This Row],[Barra]]&amp;"_"&amp;BARRAS[[#This Row],[Nivel de tensión]]</f>
        <v>A.SANTA_110</v>
      </c>
    </row>
    <row r="1389" spans="1:16">
      <c r="A1389" t="s">
        <v>5992</v>
      </c>
      <c r="B1389">
        <v>220</v>
      </c>
      <c r="C1389">
        <v>1</v>
      </c>
      <c r="D1389" t="s">
        <v>3397</v>
      </c>
      <c r="E1389" t="s">
        <v>5994</v>
      </c>
      <c r="F1389" t="s">
        <v>3420</v>
      </c>
      <c r="G1389">
        <v>16301</v>
      </c>
      <c r="H1389" t="s">
        <v>3418</v>
      </c>
      <c r="I1389" t="s">
        <v>3391</v>
      </c>
      <c r="J1389" t="s">
        <v>3392</v>
      </c>
      <c r="K1389" t="s">
        <v>3302</v>
      </c>
      <c r="L1389" t="s">
        <v>6778</v>
      </c>
      <c r="M1389" t="s">
        <v>6779</v>
      </c>
      <c r="N1389" t="s">
        <v>6792</v>
      </c>
      <c r="O1389">
        <v>1</v>
      </c>
      <c r="P1389" t="str">
        <f>+BARRAS[[#This Row],[Barra]]&amp;"_"&amp;BARRAS[[#This Row],[Nivel de tensión]]</f>
        <v>A.SANTA_220</v>
      </c>
    </row>
    <row r="1390" spans="1:16">
      <c r="A1390" t="s">
        <v>5995</v>
      </c>
      <c r="B1390">
        <v>13</v>
      </c>
      <c r="C1390">
        <v>1</v>
      </c>
      <c r="D1390" t="s">
        <v>3397</v>
      </c>
      <c r="E1390" t="s">
        <v>3419</v>
      </c>
      <c r="F1390" t="s">
        <v>4240</v>
      </c>
      <c r="G1390">
        <v>16301</v>
      </c>
      <c r="H1390" t="s">
        <v>3701</v>
      </c>
      <c r="I1390" t="s">
        <v>3391</v>
      </c>
      <c r="J1390" t="s">
        <v>3392</v>
      </c>
      <c r="K1390" t="s">
        <v>6315</v>
      </c>
      <c r="L1390" t="s">
        <v>6778</v>
      </c>
      <c r="M1390" t="s">
        <v>6779</v>
      </c>
      <c r="N1390" t="s">
        <v>6792</v>
      </c>
      <c r="O1390">
        <v>1</v>
      </c>
      <c r="P1390" t="str">
        <f>+BARRAS[[#This Row],[Barra]]&amp;"_"&amp;BARRAS[[#This Row],[Nivel de tensión]]</f>
        <v>A_DE_CORDOVA_13</v>
      </c>
    </row>
    <row r="1391" spans="1:16">
      <c r="A1391" t="s">
        <v>5995</v>
      </c>
      <c r="B1391">
        <v>110</v>
      </c>
      <c r="C1391">
        <v>1</v>
      </c>
      <c r="D1391" t="s">
        <v>3397</v>
      </c>
      <c r="E1391" t="s">
        <v>5996</v>
      </c>
      <c r="F1391" t="s">
        <v>3420</v>
      </c>
      <c r="G1391">
        <v>16301</v>
      </c>
      <c r="H1391" t="s">
        <v>3469</v>
      </c>
      <c r="I1391" t="s">
        <v>3391</v>
      </c>
      <c r="J1391" t="s">
        <v>3392</v>
      </c>
      <c r="K1391" t="s">
        <v>3303</v>
      </c>
      <c r="L1391" t="s">
        <v>6778</v>
      </c>
      <c r="M1391" t="s">
        <v>6779</v>
      </c>
      <c r="N1391" t="s">
        <v>6792</v>
      </c>
      <c r="O1391">
        <v>1</v>
      </c>
      <c r="P1391" t="str">
        <f>+BARRAS[[#This Row],[Barra]]&amp;"_"&amp;BARRAS[[#This Row],[Nivel de tensión]]</f>
        <v>A_DE_CORDOVA_110</v>
      </c>
    </row>
    <row r="1392" spans="1:16">
      <c r="A1392" t="s">
        <v>5997</v>
      </c>
      <c r="B1392">
        <v>110</v>
      </c>
      <c r="C1392">
        <v>1</v>
      </c>
      <c r="D1392" t="s">
        <v>3397</v>
      </c>
      <c r="E1392" t="s">
        <v>5998</v>
      </c>
      <c r="F1392" t="s">
        <v>3420</v>
      </c>
      <c r="G1392">
        <v>16301</v>
      </c>
      <c r="H1392" t="s">
        <v>3418</v>
      </c>
      <c r="I1392" t="s">
        <v>3391</v>
      </c>
      <c r="J1392" t="s">
        <v>3392</v>
      </c>
      <c r="K1392" t="s">
        <v>3302</v>
      </c>
      <c r="L1392" t="s">
        <v>6778</v>
      </c>
      <c r="M1392" t="s">
        <v>6779</v>
      </c>
      <c r="N1392" t="s">
        <v>6792</v>
      </c>
      <c r="O1392">
        <v>1</v>
      </c>
      <c r="P1392" t="str">
        <f>+BARRAS[[#This Row],[Barra]]&amp;"_"&amp;BARRAS[[#This Row],[Nivel de tensión]]</f>
        <v>ACHUPALLAS_110</v>
      </c>
    </row>
    <row r="1393" spans="1:16">
      <c r="A1393" t="s">
        <v>5999</v>
      </c>
      <c r="B1393">
        <v>66</v>
      </c>
      <c r="C1393">
        <v>73</v>
      </c>
      <c r="D1393" t="s">
        <v>6000</v>
      </c>
      <c r="E1393" t="s">
        <v>6001</v>
      </c>
      <c r="F1393" t="s">
        <v>6002</v>
      </c>
      <c r="G1393">
        <v>16301</v>
      </c>
      <c r="H1393" t="s">
        <v>3405</v>
      </c>
      <c r="I1393" t="s">
        <v>3391</v>
      </c>
      <c r="J1393" t="s">
        <v>3392</v>
      </c>
      <c r="K1393" t="s">
        <v>6315</v>
      </c>
      <c r="L1393" t="s">
        <v>6778</v>
      </c>
      <c r="M1393" t="s">
        <v>6779</v>
      </c>
      <c r="N1393" t="s">
        <v>6792</v>
      </c>
      <c r="O1393">
        <v>1</v>
      </c>
      <c r="P1393" t="str">
        <f>+BARRAS[[#This Row],[Barra]]&amp;"_"&amp;BARRAS[[#This Row],[Nivel de tensión]]</f>
        <v>ACONCAGUA_66</v>
      </c>
    </row>
    <row r="1394" spans="1:16">
      <c r="A1394" t="s">
        <v>5999</v>
      </c>
      <c r="B1394">
        <v>110</v>
      </c>
      <c r="C1394">
        <v>1</v>
      </c>
      <c r="D1394" t="s">
        <v>3397</v>
      </c>
      <c r="E1394" t="s">
        <v>6003</v>
      </c>
      <c r="F1394" t="s">
        <v>3420</v>
      </c>
      <c r="G1394">
        <v>16301</v>
      </c>
      <c r="H1394" t="s">
        <v>3405</v>
      </c>
      <c r="I1394" t="s">
        <v>3391</v>
      </c>
      <c r="J1394" t="s">
        <v>3392</v>
      </c>
      <c r="K1394" t="s">
        <v>6315</v>
      </c>
      <c r="L1394" t="s">
        <v>6778</v>
      </c>
      <c r="M1394" t="s">
        <v>6779</v>
      </c>
      <c r="N1394" t="s">
        <v>6792</v>
      </c>
      <c r="O1394">
        <v>1</v>
      </c>
      <c r="P1394" t="str">
        <f>+BARRAS[[#This Row],[Barra]]&amp;"_"&amp;BARRAS[[#This Row],[Nivel de tensión]]</f>
        <v>ACONCAGUA_110</v>
      </c>
    </row>
    <row r="1395" spans="1:16">
      <c r="A1395" t="s">
        <v>6004</v>
      </c>
      <c r="B1395">
        <v>12</v>
      </c>
      <c r="C1395">
        <v>1</v>
      </c>
      <c r="D1395" t="s">
        <v>3397</v>
      </c>
      <c r="E1395" t="s">
        <v>6005</v>
      </c>
      <c r="F1395" t="s">
        <v>3420</v>
      </c>
      <c r="G1395">
        <v>16301</v>
      </c>
      <c r="H1395" t="s">
        <v>3405</v>
      </c>
      <c r="I1395" t="s">
        <v>3391</v>
      </c>
      <c r="J1395" t="s">
        <v>3392</v>
      </c>
      <c r="K1395" t="s">
        <v>6315</v>
      </c>
      <c r="L1395" t="s">
        <v>6778</v>
      </c>
      <c r="M1395" t="s">
        <v>6779</v>
      </c>
      <c r="N1395" t="s">
        <v>6792</v>
      </c>
      <c r="O1395">
        <v>1</v>
      </c>
      <c r="P1395" t="str">
        <f>+BARRAS[[#This Row],[Barra]]&amp;"_"&amp;BARRAS[[#This Row],[Nivel de tensión]]</f>
        <v>ACONCAGUA_1_12</v>
      </c>
    </row>
    <row r="1396" spans="1:16">
      <c r="A1396" t="s">
        <v>6006</v>
      </c>
      <c r="B1396">
        <v>12</v>
      </c>
      <c r="C1396">
        <v>1</v>
      </c>
      <c r="D1396" t="s">
        <v>3397</v>
      </c>
      <c r="E1396" t="s">
        <v>3419</v>
      </c>
      <c r="F1396" t="s">
        <v>3420</v>
      </c>
      <c r="G1396">
        <v>16301</v>
      </c>
      <c r="H1396" t="s">
        <v>3405</v>
      </c>
      <c r="I1396" t="s">
        <v>3391</v>
      </c>
      <c r="J1396" t="s">
        <v>3392</v>
      </c>
      <c r="K1396" t="s">
        <v>6315</v>
      </c>
      <c r="L1396" t="s">
        <v>6778</v>
      </c>
      <c r="M1396" t="s">
        <v>6779</v>
      </c>
      <c r="N1396" t="s">
        <v>6792</v>
      </c>
      <c r="O1396">
        <v>1</v>
      </c>
      <c r="P1396" t="str">
        <f>+BARRAS[[#This Row],[Barra]]&amp;"_"&amp;BARRAS[[#This Row],[Nivel de tensión]]</f>
        <v>ACONCAGUA_2_12</v>
      </c>
    </row>
    <row r="1397" spans="1:16">
      <c r="A1397" t="s">
        <v>6007</v>
      </c>
      <c r="B1397">
        <v>13</v>
      </c>
      <c r="C1397">
        <v>1866</v>
      </c>
      <c r="D1397" t="s">
        <v>6008</v>
      </c>
      <c r="E1397" t="s">
        <v>6009</v>
      </c>
      <c r="F1397" t="s">
        <v>6010</v>
      </c>
      <c r="G1397">
        <v>16301</v>
      </c>
      <c r="H1397" t="s">
        <v>3405</v>
      </c>
      <c r="I1397" t="s">
        <v>3391</v>
      </c>
      <c r="J1397" t="s">
        <v>3392</v>
      </c>
      <c r="K1397" t="s">
        <v>6315</v>
      </c>
      <c r="L1397" t="s">
        <v>6778</v>
      </c>
      <c r="M1397" t="s">
        <v>6779</v>
      </c>
      <c r="N1397" t="s">
        <v>6792</v>
      </c>
      <c r="O1397">
        <v>1</v>
      </c>
      <c r="P1397" t="str">
        <f>+BARRAS[[#This Row],[Barra]]&amp;"_"&amp;BARRAS[[#This Row],[Nivel de tensión]]</f>
        <v>AG.BLANCAS_13</v>
      </c>
    </row>
    <row r="1398" spans="1:16">
      <c r="A1398" t="s">
        <v>195</v>
      </c>
      <c r="B1398">
        <v>220</v>
      </c>
      <c r="C1398">
        <v>465</v>
      </c>
      <c r="D1398" t="s">
        <v>5931</v>
      </c>
      <c r="E1398" t="s">
        <v>5932</v>
      </c>
      <c r="F1398" t="s">
        <v>5933</v>
      </c>
      <c r="G1398">
        <v>16301</v>
      </c>
      <c r="H1398" t="s">
        <v>3400</v>
      </c>
      <c r="I1398" t="s">
        <v>3391</v>
      </c>
      <c r="J1398" t="s">
        <v>3392</v>
      </c>
      <c r="K1398" t="s">
        <v>3301</v>
      </c>
      <c r="L1398" t="s">
        <v>6778</v>
      </c>
      <c r="M1398" t="s">
        <v>6779</v>
      </c>
      <c r="N1398" t="s">
        <v>6792</v>
      </c>
      <c r="O1398">
        <v>1</v>
      </c>
      <c r="P1398" t="str">
        <f>+BARRAS[[#This Row],[Barra]]&amp;"_"&amp;BARRAS[[#This Row],[Nivel de tensión]]</f>
        <v>CARDONES_220</v>
      </c>
    </row>
    <row r="1399" spans="1:16">
      <c r="A1399" t="s">
        <v>3362</v>
      </c>
      <c r="B1399">
        <v>44</v>
      </c>
      <c r="C1399">
        <v>1</v>
      </c>
      <c r="D1399" t="s">
        <v>3397</v>
      </c>
      <c r="E1399" t="s">
        <v>5934</v>
      </c>
      <c r="F1399" t="s">
        <v>3420</v>
      </c>
      <c r="G1399">
        <v>16301</v>
      </c>
      <c r="H1399" t="s">
        <v>3405</v>
      </c>
      <c r="I1399" t="s">
        <v>3391</v>
      </c>
      <c r="J1399" t="s">
        <v>3392</v>
      </c>
      <c r="K1399" t="s">
        <v>6315</v>
      </c>
      <c r="L1399" t="s">
        <v>6778</v>
      </c>
      <c r="M1399" t="s">
        <v>6779</v>
      </c>
      <c r="N1399" t="s">
        <v>6792</v>
      </c>
      <c r="O1399">
        <v>1</v>
      </c>
      <c r="P1399" t="str">
        <f>+BARRAS[[#This Row],[Barra]]&amp;"_"&amp;BARRAS[[#This Row],[Nivel de tensión]]</f>
        <v>CARENA_44</v>
      </c>
    </row>
    <row r="1400" spans="1:16">
      <c r="A1400" t="s">
        <v>5935</v>
      </c>
      <c r="B1400">
        <v>12</v>
      </c>
      <c r="C1400">
        <v>698</v>
      </c>
      <c r="D1400" t="s">
        <v>5936</v>
      </c>
      <c r="E1400" t="s">
        <v>5937</v>
      </c>
      <c r="F1400" t="s">
        <v>5938</v>
      </c>
      <c r="G1400">
        <v>16301</v>
      </c>
      <c r="H1400" t="s">
        <v>3469</v>
      </c>
      <c r="I1400" t="s">
        <v>3391</v>
      </c>
      <c r="J1400" t="s">
        <v>3392</v>
      </c>
      <c r="K1400" t="s">
        <v>3303</v>
      </c>
      <c r="L1400" t="s">
        <v>6778</v>
      </c>
      <c r="M1400" t="s">
        <v>6779</v>
      </c>
      <c r="N1400" t="s">
        <v>6792</v>
      </c>
      <c r="O1400">
        <v>1</v>
      </c>
      <c r="P1400" t="str">
        <f>+BARRAS[[#This Row],[Barra]]&amp;"_"&amp;BARRAS[[#This Row],[Nivel de tensión]]</f>
        <v>CARRASCAL_12</v>
      </c>
    </row>
    <row r="1401" spans="1:16">
      <c r="A1401" t="s">
        <v>5935</v>
      </c>
      <c r="B1401">
        <v>110</v>
      </c>
      <c r="C1401">
        <v>1</v>
      </c>
      <c r="D1401" t="s">
        <v>3397</v>
      </c>
      <c r="E1401" t="s">
        <v>5939</v>
      </c>
      <c r="F1401" t="s">
        <v>3420</v>
      </c>
      <c r="G1401">
        <v>16301</v>
      </c>
      <c r="H1401" t="s">
        <v>3469</v>
      </c>
      <c r="I1401" t="s">
        <v>3391</v>
      </c>
      <c r="J1401" t="s">
        <v>3392</v>
      </c>
      <c r="K1401" t="s">
        <v>3303</v>
      </c>
      <c r="L1401" t="s">
        <v>6778</v>
      </c>
      <c r="M1401" t="s">
        <v>6779</v>
      </c>
      <c r="N1401" t="s">
        <v>6792</v>
      </c>
      <c r="O1401">
        <v>1</v>
      </c>
      <c r="P1401" t="str">
        <f>+BARRAS[[#This Row],[Barra]]&amp;"_"&amp;BARRAS[[#This Row],[Nivel de tensión]]</f>
        <v>CARRASCAL_110</v>
      </c>
    </row>
    <row r="1402" spans="1:16">
      <c r="A1402" t="s">
        <v>201</v>
      </c>
      <c r="B1402">
        <v>13</v>
      </c>
      <c r="C1402">
        <v>994</v>
      </c>
      <c r="D1402" t="s">
        <v>5940</v>
      </c>
      <c r="E1402" t="s">
        <v>5941</v>
      </c>
      <c r="F1402" t="s">
        <v>5942</v>
      </c>
      <c r="G1402">
        <v>16301</v>
      </c>
      <c r="H1402" t="s">
        <v>3418</v>
      </c>
      <c r="I1402" t="s">
        <v>3391</v>
      </c>
      <c r="J1402" t="s">
        <v>3392</v>
      </c>
      <c r="K1402" t="s">
        <v>3302</v>
      </c>
      <c r="L1402" t="s">
        <v>6778</v>
      </c>
      <c r="M1402" t="s">
        <v>6779</v>
      </c>
      <c r="N1402" t="s">
        <v>6792</v>
      </c>
      <c r="O1402">
        <v>1</v>
      </c>
      <c r="P1402" t="str">
        <f>+BARRAS[[#This Row],[Barra]]&amp;"_"&amp;BARRAS[[#This Row],[Nivel de tensión]]</f>
        <v>CASABLANCA_13</v>
      </c>
    </row>
    <row r="1403" spans="1:16">
      <c r="A1403" t="s">
        <v>201</v>
      </c>
      <c r="B1403">
        <v>66</v>
      </c>
      <c r="C1403">
        <v>1</v>
      </c>
      <c r="D1403" t="s">
        <v>3397</v>
      </c>
      <c r="E1403" t="s">
        <v>5943</v>
      </c>
      <c r="F1403" t="s">
        <v>3420</v>
      </c>
      <c r="G1403">
        <v>16301</v>
      </c>
      <c r="H1403" t="s">
        <v>3418</v>
      </c>
      <c r="I1403" t="s">
        <v>3391</v>
      </c>
      <c r="J1403" t="s">
        <v>3392</v>
      </c>
      <c r="K1403" t="s">
        <v>3302</v>
      </c>
      <c r="L1403" t="s">
        <v>6778</v>
      </c>
      <c r="M1403" t="s">
        <v>6779</v>
      </c>
      <c r="N1403" t="s">
        <v>6792</v>
      </c>
      <c r="O1403">
        <v>1</v>
      </c>
      <c r="P1403" t="str">
        <f>+BARRAS[[#This Row],[Barra]]&amp;"_"&amp;BARRAS[[#This Row],[Nivel de tensión]]</f>
        <v>CASABLANCA_66</v>
      </c>
    </row>
    <row r="1404" spans="1:16">
      <c r="A1404" t="s">
        <v>204</v>
      </c>
      <c r="B1404">
        <v>23</v>
      </c>
      <c r="C1404">
        <v>159</v>
      </c>
      <c r="D1404" t="s">
        <v>5944</v>
      </c>
      <c r="E1404" t="s">
        <v>5945</v>
      </c>
      <c r="F1404" t="s">
        <v>5946</v>
      </c>
      <c r="G1404">
        <v>16301</v>
      </c>
      <c r="H1404" t="s">
        <v>3400</v>
      </c>
      <c r="I1404" t="s">
        <v>3391</v>
      </c>
      <c r="J1404" t="s">
        <v>3392</v>
      </c>
      <c r="K1404" t="s">
        <v>3301</v>
      </c>
      <c r="L1404" t="s">
        <v>6778</v>
      </c>
      <c r="M1404" t="s">
        <v>6779</v>
      </c>
      <c r="N1404" t="s">
        <v>6792</v>
      </c>
      <c r="O1404">
        <v>1</v>
      </c>
      <c r="P1404" t="str">
        <f>+BARRAS[[#This Row],[Barra]]&amp;"_"&amp;BARRAS[[#This Row],[Nivel de tensión]]</f>
        <v>CASASVIEJAS_23</v>
      </c>
    </row>
    <row r="1405" spans="1:16">
      <c r="A1405" t="s">
        <v>204</v>
      </c>
      <c r="B1405">
        <v>110</v>
      </c>
      <c r="C1405">
        <v>1</v>
      </c>
      <c r="D1405" t="s">
        <v>3397</v>
      </c>
      <c r="E1405" t="s">
        <v>5947</v>
      </c>
      <c r="F1405" t="s">
        <v>3420</v>
      </c>
      <c r="G1405">
        <v>16301</v>
      </c>
      <c r="H1405" t="s">
        <v>3400</v>
      </c>
      <c r="I1405" t="s">
        <v>3391</v>
      </c>
      <c r="J1405" t="s">
        <v>3392</v>
      </c>
      <c r="K1405" t="s">
        <v>3301</v>
      </c>
      <c r="L1405" t="s">
        <v>6778</v>
      </c>
      <c r="M1405" t="s">
        <v>6779</v>
      </c>
      <c r="N1405" t="s">
        <v>6792</v>
      </c>
      <c r="O1405">
        <v>1</v>
      </c>
      <c r="P1405" t="str">
        <f>+BARRAS[[#This Row],[Barra]]&amp;"_"&amp;BARRAS[[#This Row],[Nivel de tensión]]</f>
        <v>CASASVIEJAS_110</v>
      </c>
    </row>
    <row r="1406" spans="1:16">
      <c r="A1406" t="s">
        <v>5948</v>
      </c>
      <c r="B1406">
        <v>220</v>
      </c>
      <c r="C1406">
        <v>1375</v>
      </c>
      <c r="D1406" t="s">
        <v>4570</v>
      </c>
      <c r="E1406" t="s">
        <v>3419</v>
      </c>
      <c r="F1406" t="s">
        <v>5949</v>
      </c>
      <c r="G1406">
        <v>3303</v>
      </c>
      <c r="H1406" t="s">
        <v>3405</v>
      </c>
      <c r="I1406" t="s">
        <v>3391</v>
      </c>
      <c r="J1406" t="s">
        <v>5950</v>
      </c>
      <c r="K1406" t="s">
        <v>6315</v>
      </c>
      <c r="L1406" t="s">
        <v>6778</v>
      </c>
      <c r="M1406" t="s">
        <v>6779</v>
      </c>
      <c r="N1406" t="s">
        <v>6792</v>
      </c>
      <c r="O1406">
        <v>1</v>
      </c>
      <c r="P1406" t="str">
        <f>+BARRAS[[#This Row],[Barra]]&amp;"_"&amp;BARRAS[[#This Row],[Nivel de tensión]]</f>
        <v>CASERONES_220</v>
      </c>
    </row>
    <row r="1407" spans="1:16">
      <c r="A1407" t="s">
        <v>207</v>
      </c>
      <c r="B1407">
        <v>23</v>
      </c>
      <c r="C1407">
        <v>468</v>
      </c>
      <c r="D1407" t="s">
        <v>5951</v>
      </c>
      <c r="E1407" t="s">
        <v>5952</v>
      </c>
      <c r="F1407" t="s">
        <v>5953</v>
      </c>
      <c r="G1407">
        <v>16301</v>
      </c>
      <c r="H1407" t="s">
        <v>3400</v>
      </c>
      <c r="I1407" t="s">
        <v>3391</v>
      </c>
      <c r="J1407" t="s">
        <v>3392</v>
      </c>
      <c r="K1407" t="s">
        <v>3301</v>
      </c>
      <c r="L1407" t="s">
        <v>6778</v>
      </c>
      <c r="M1407" t="s">
        <v>6779</v>
      </c>
      <c r="N1407" t="s">
        <v>6792</v>
      </c>
      <c r="O1407">
        <v>1</v>
      </c>
      <c r="P1407" t="str">
        <f>+BARRAS[[#This Row],[Barra]]&amp;"_"&amp;BARRAS[[#This Row],[Nivel de tensión]]</f>
        <v>CASTILLA_23</v>
      </c>
    </row>
    <row r="1408" spans="1:16">
      <c r="A1408" t="s">
        <v>207</v>
      </c>
      <c r="B1408">
        <v>110</v>
      </c>
      <c r="C1408">
        <v>2728</v>
      </c>
      <c r="D1408" t="s">
        <v>5954</v>
      </c>
      <c r="E1408" t="s">
        <v>5955</v>
      </c>
      <c r="F1408" t="s">
        <v>5953</v>
      </c>
      <c r="G1408">
        <v>16301</v>
      </c>
      <c r="H1408" t="s">
        <v>3396</v>
      </c>
      <c r="I1408" t="s">
        <v>3391</v>
      </c>
      <c r="J1408" t="s">
        <v>3392</v>
      </c>
      <c r="K1408" t="s">
        <v>6315</v>
      </c>
      <c r="L1408" t="s">
        <v>6778</v>
      </c>
      <c r="M1408" t="s">
        <v>6779</v>
      </c>
      <c r="N1408" t="s">
        <v>6792</v>
      </c>
      <c r="O1408">
        <v>1</v>
      </c>
      <c r="P1408" t="str">
        <f>+BARRAS[[#This Row],[Barra]]&amp;"_"&amp;BARRAS[[#This Row],[Nivel de tensión]]</f>
        <v>CASTILLA_110</v>
      </c>
    </row>
    <row r="1409" spans="1:16">
      <c r="A1409" t="s">
        <v>5956</v>
      </c>
      <c r="B1409">
        <v>23</v>
      </c>
      <c r="C1409">
        <v>401</v>
      </c>
      <c r="D1409" t="s">
        <v>5957</v>
      </c>
      <c r="E1409" t="s">
        <v>5958</v>
      </c>
      <c r="F1409" t="s">
        <v>5959</v>
      </c>
      <c r="G1409">
        <v>16301</v>
      </c>
      <c r="H1409" t="s">
        <v>3390</v>
      </c>
      <c r="I1409" t="s">
        <v>3391</v>
      </c>
      <c r="J1409" t="s">
        <v>3392</v>
      </c>
      <c r="K1409" t="s">
        <v>3305</v>
      </c>
      <c r="L1409" t="s">
        <v>6778</v>
      </c>
      <c r="M1409" t="s">
        <v>6779</v>
      </c>
      <c r="N1409" t="s">
        <v>6792</v>
      </c>
      <c r="O1409">
        <v>1</v>
      </c>
      <c r="P1409" t="str">
        <f>+BARRAS[[#This Row],[Barra]]&amp;"_"&amp;BARRAS[[#This Row],[Nivel de tensión]]</f>
        <v>CASTRO_23</v>
      </c>
    </row>
    <row r="1410" spans="1:16">
      <c r="A1410" t="s">
        <v>5956</v>
      </c>
      <c r="B1410">
        <v>110</v>
      </c>
      <c r="C1410">
        <v>1</v>
      </c>
      <c r="D1410" t="s">
        <v>3397</v>
      </c>
      <c r="E1410" t="s">
        <v>5960</v>
      </c>
      <c r="F1410" t="s">
        <v>3420</v>
      </c>
      <c r="G1410">
        <v>16301</v>
      </c>
      <c r="H1410" t="s">
        <v>3390</v>
      </c>
      <c r="I1410" t="s">
        <v>3391</v>
      </c>
      <c r="J1410" t="s">
        <v>3392</v>
      </c>
      <c r="K1410" t="s">
        <v>3305</v>
      </c>
      <c r="L1410" t="s">
        <v>6778</v>
      </c>
      <c r="M1410" t="s">
        <v>6779</v>
      </c>
      <c r="N1410" t="s">
        <v>6792</v>
      </c>
      <c r="O1410">
        <v>1</v>
      </c>
      <c r="P1410" t="str">
        <f>+BARRAS[[#This Row],[Barra]]&amp;"_"&amp;BARRAS[[#This Row],[Nivel de tensión]]</f>
        <v>CASTRO_110</v>
      </c>
    </row>
    <row r="1411" spans="1:16">
      <c r="A1411" t="s">
        <v>212</v>
      </c>
      <c r="B1411">
        <v>13</v>
      </c>
      <c r="C1411">
        <v>996</v>
      </c>
      <c r="D1411" t="s">
        <v>5961</v>
      </c>
      <c r="E1411" t="s">
        <v>5962</v>
      </c>
      <c r="F1411" t="s">
        <v>3417</v>
      </c>
      <c r="G1411">
        <v>16301</v>
      </c>
      <c r="H1411" t="s">
        <v>3418</v>
      </c>
      <c r="I1411" t="s">
        <v>3391</v>
      </c>
      <c r="J1411" t="s">
        <v>3392</v>
      </c>
      <c r="K1411" t="s">
        <v>3302</v>
      </c>
      <c r="L1411" t="s">
        <v>6778</v>
      </c>
      <c r="M1411" t="s">
        <v>6779</v>
      </c>
      <c r="N1411" t="s">
        <v>6792</v>
      </c>
      <c r="O1411">
        <v>1</v>
      </c>
      <c r="P1411" t="str">
        <f>+BARRAS[[#This Row],[Barra]]&amp;"_"&amp;BARRAS[[#This Row],[Nivel de tensión]]</f>
        <v>CATEMU_13</v>
      </c>
    </row>
    <row r="1412" spans="1:16">
      <c r="A1412" t="s">
        <v>212</v>
      </c>
      <c r="B1412">
        <v>44</v>
      </c>
      <c r="C1412">
        <v>1727</v>
      </c>
      <c r="D1412" t="s">
        <v>3415</v>
      </c>
      <c r="E1412" t="s">
        <v>3416</v>
      </c>
      <c r="F1412" t="s">
        <v>3417</v>
      </c>
      <c r="G1412">
        <v>16301</v>
      </c>
      <c r="H1412" t="s">
        <v>3418</v>
      </c>
      <c r="I1412" t="s">
        <v>3391</v>
      </c>
      <c r="J1412" t="s">
        <v>3392</v>
      </c>
      <c r="K1412" t="s">
        <v>3302</v>
      </c>
      <c r="L1412" t="s">
        <v>6778</v>
      </c>
      <c r="M1412" t="s">
        <v>6779</v>
      </c>
      <c r="N1412" t="s">
        <v>6792</v>
      </c>
      <c r="O1412">
        <v>1</v>
      </c>
      <c r="P1412" t="str">
        <f>+BARRAS[[#This Row],[Barra]]&amp;"_"&amp;BARRAS[[#This Row],[Nivel de tensión]]</f>
        <v>CATEMU_44</v>
      </c>
    </row>
    <row r="1413" spans="1:16">
      <c r="A1413" t="s">
        <v>215</v>
      </c>
      <c r="B1413">
        <v>13</v>
      </c>
      <c r="C1413">
        <v>559</v>
      </c>
      <c r="D1413" t="s">
        <v>6014</v>
      </c>
      <c r="E1413" t="s">
        <v>6015</v>
      </c>
      <c r="F1413" t="s">
        <v>6016</v>
      </c>
      <c r="G1413">
        <v>16301</v>
      </c>
      <c r="H1413" t="s">
        <v>3414</v>
      </c>
      <c r="I1413" t="s">
        <v>3391</v>
      </c>
      <c r="J1413" t="s">
        <v>3392</v>
      </c>
      <c r="K1413" t="s">
        <v>3304</v>
      </c>
      <c r="L1413" t="s">
        <v>6778</v>
      </c>
      <c r="M1413" t="s">
        <v>6779</v>
      </c>
      <c r="N1413" t="s">
        <v>6792</v>
      </c>
      <c r="O1413">
        <v>1</v>
      </c>
      <c r="P1413" t="str">
        <f>+BARRAS[[#This Row],[Barra]]&amp;"_"&amp;BARRAS[[#This Row],[Nivel de tensión]]</f>
        <v>CAUQUENES_13</v>
      </c>
    </row>
    <row r="1414" spans="1:16">
      <c r="A1414" t="s">
        <v>215</v>
      </c>
      <c r="B1414">
        <v>66</v>
      </c>
      <c r="C1414">
        <v>1</v>
      </c>
      <c r="D1414" t="s">
        <v>3397</v>
      </c>
      <c r="E1414" t="s">
        <v>6017</v>
      </c>
      <c r="F1414" t="s">
        <v>3420</v>
      </c>
      <c r="G1414">
        <v>16301</v>
      </c>
      <c r="H1414" t="s">
        <v>3414</v>
      </c>
      <c r="I1414" t="s">
        <v>3391</v>
      </c>
      <c r="J1414" t="s">
        <v>3392</v>
      </c>
      <c r="K1414" t="s">
        <v>3304</v>
      </c>
      <c r="L1414" t="s">
        <v>6778</v>
      </c>
      <c r="M1414" t="s">
        <v>6779</v>
      </c>
      <c r="N1414" t="s">
        <v>6792</v>
      </c>
      <c r="O1414">
        <v>1</v>
      </c>
      <c r="P1414" t="str">
        <f>+BARRAS[[#This Row],[Barra]]&amp;"_"&amp;BARRAS[[#This Row],[Nivel de tensión]]</f>
        <v>CAUQUENES_66</v>
      </c>
    </row>
    <row r="1415" spans="1:16">
      <c r="A1415" t="s">
        <v>218</v>
      </c>
      <c r="B1415">
        <v>220</v>
      </c>
      <c r="C1415">
        <v>469</v>
      </c>
      <c r="D1415" t="s">
        <v>6018</v>
      </c>
      <c r="E1415" t="s">
        <v>6019</v>
      </c>
      <c r="F1415" t="s">
        <v>6020</v>
      </c>
      <c r="G1415">
        <v>16301</v>
      </c>
      <c r="H1415" t="s">
        <v>3701</v>
      </c>
      <c r="I1415" t="s">
        <v>3391</v>
      </c>
      <c r="J1415" t="s">
        <v>3392</v>
      </c>
      <c r="K1415" t="s">
        <v>6315</v>
      </c>
      <c r="L1415" t="s">
        <v>6778</v>
      </c>
      <c r="M1415" t="s">
        <v>6779</v>
      </c>
      <c r="N1415" t="s">
        <v>6792</v>
      </c>
      <c r="O1415">
        <v>1</v>
      </c>
      <c r="P1415" t="str">
        <f>+BARRAS[[#This Row],[Barra]]&amp;"_"&amp;BARRAS[[#This Row],[Nivel de tensión]]</f>
        <v>CAUTIN_220</v>
      </c>
    </row>
    <row r="1416" spans="1:16">
      <c r="A1416" t="s">
        <v>6021</v>
      </c>
      <c r="B1416">
        <v>13</v>
      </c>
      <c r="C1416">
        <v>1932</v>
      </c>
      <c r="D1416" t="s">
        <v>6022</v>
      </c>
      <c r="E1416" t="s">
        <v>6023</v>
      </c>
      <c r="F1416" t="s">
        <v>6024</v>
      </c>
      <c r="G1416">
        <v>16301</v>
      </c>
      <c r="H1416" t="s">
        <v>3405</v>
      </c>
      <c r="I1416" t="s">
        <v>3391</v>
      </c>
      <c r="J1416" t="s">
        <v>3392</v>
      </c>
      <c r="K1416" t="s">
        <v>6315</v>
      </c>
      <c r="L1416" t="s">
        <v>6778</v>
      </c>
      <c r="M1416" t="s">
        <v>6779</v>
      </c>
      <c r="N1416" t="s">
        <v>6792</v>
      </c>
      <c r="O1416">
        <v>1</v>
      </c>
      <c r="P1416" t="str">
        <f>+BARRAS[[#This Row],[Barra]]&amp;"_"&amp;BARRAS[[#This Row],[Nivel de tensión]]</f>
        <v>CD.ARICA_13</v>
      </c>
    </row>
    <row r="1417" spans="1:16">
      <c r="A1417" t="s">
        <v>6021</v>
      </c>
      <c r="B1417">
        <v>66</v>
      </c>
      <c r="C1417">
        <v>1</v>
      </c>
      <c r="D1417" t="s">
        <v>3397</v>
      </c>
      <c r="E1417" t="s">
        <v>6025</v>
      </c>
      <c r="F1417" t="s">
        <v>3420</v>
      </c>
      <c r="G1417">
        <v>16301</v>
      </c>
      <c r="H1417" t="s">
        <v>3405</v>
      </c>
      <c r="I1417" t="s">
        <v>3391</v>
      </c>
      <c r="J1417" t="s">
        <v>3392</v>
      </c>
      <c r="K1417" t="s">
        <v>6315</v>
      </c>
      <c r="L1417" t="s">
        <v>6778</v>
      </c>
      <c r="M1417" t="s">
        <v>6779</v>
      </c>
      <c r="N1417" t="s">
        <v>6792</v>
      </c>
      <c r="O1417">
        <v>1</v>
      </c>
      <c r="P1417" t="str">
        <f>+BARRAS[[#This Row],[Barra]]&amp;"_"&amp;BARRAS[[#This Row],[Nivel de tensión]]</f>
        <v>CD.ARICA_66</v>
      </c>
    </row>
    <row r="1418" spans="1:16">
      <c r="A1418" t="s">
        <v>6026</v>
      </c>
      <c r="B1418">
        <v>110</v>
      </c>
      <c r="C1418">
        <v>1</v>
      </c>
      <c r="D1418" t="s">
        <v>3397</v>
      </c>
      <c r="E1418" t="s">
        <v>6027</v>
      </c>
      <c r="F1418" t="s">
        <v>3420</v>
      </c>
      <c r="G1418">
        <v>16301</v>
      </c>
      <c r="H1418" t="s">
        <v>3396</v>
      </c>
      <c r="I1418" t="s">
        <v>3391</v>
      </c>
      <c r="J1418" t="s">
        <v>3392</v>
      </c>
      <c r="K1418" t="s">
        <v>6315</v>
      </c>
      <c r="L1418" t="s">
        <v>6778</v>
      </c>
      <c r="M1418" t="s">
        <v>6779</v>
      </c>
      <c r="N1418" t="s">
        <v>6792</v>
      </c>
      <c r="O1418">
        <v>1</v>
      </c>
      <c r="P1418" t="str">
        <f>+BARRAS[[#This Row],[Barra]]&amp;"_"&amp;BARRAS[[#This Row],[Nivel de tensión]]</f>
        <v>CD.TAMAYA_110</v>
      </c>
    </row>
    <row r="1419" spans="1:16">
      <c r="A1419" t="s">
        <v>6421</v>
      </c>
      <c r="B1419">
        <v>13</v>
      </c>
      <c r="C1419">
        <v>1115</v>
      </c>
      <c r="D1419" t="s">
        <v>3397</v>
      </c>
      <c r="E1419" t="s">
        <v>3419</v>
      </c>
      <c r="F1419" t="s">
        <v>6422</v>
      </c>
      <c r="G1419">
        <v>9202</v>
      </c>
      <c r="H1419" t="s">
        <v>3414</v>
      </c>
      <c r="I1419" t="s">
        <v>3391</v>
      </c>
      <c r="J1419" t="s">
        <v>2030</v>
      </c>
      <c r="K1419" t="s">
        <v>3304</v>
      </c>
      <c r="L1419" t="s">
        <v>6778</v>
      </c>
      <c r="M1419" t="s">
        <v>6779</v>
      </c>
      <c r="N1419" t="s">
        <v>6792</v>
      </c>
      <c r="O1419">
        <v>1</v>
      </c>
      <c r="P1419" t="str">
        <f>+BARRAS[[#This Row],[Barra]]&amp;"_"&amp;BARRAS[[#This Row],[Nivel de tensión]]</f>
        <v>CELPACIFICO_13</v>
      </c>
    </row>
    <row r="1420" spans="1:16">
      <c r="A1420" t="s">
        <v>6421</v>
      </c>
      <c r="B1420">
        <v>220</v>
      </c>
      <c r="C1420">
        <v>1773</v>
      </c>
      <c r="D1420" t="s">
        <v>6423</v>
      </c>
      <c r="E1420" t="s">
        <v>6424</v>
      </c>
      <c r="F1420" t="s">
        <v>6422</v>
      </c>
      <c r="G1420">
        <v>9202</v>
      </c>
      <c r="H1420" t="s">
        <v>3414</v>
      </c>
      <c r="I1420" t="s">
        <v>3391</v>
      </c>
      <c r="J1420" t="s">
        <v>2030</v>
      </c>
      <c r="K1420" t="s">
        <v>3304</v>
      </c>
      <c r="L1420" t="s">
        <v>6778</v>
      </c>
      <c r="M1420" t="s">
        <v>6779</v>
      </c>
      <c r="N1420" t="s">
        <v>6792</v>
      </c>
      <c r="O1420">
        <v>1</v>
      </c>
      <c r="P1420" t="str">
        <f>+BARRAS[[#This Row],[Barra]]&amp;"_"&amp;BARRAS[[#This Row],[Nivel de tensión]]</f>
        <v>CELPACIFICO_220</v>
      </c>
    </row>
    <row r="1421" spans="1:16">
      <c r="A1421" t="s">
        <v>6434</v>
      </c>
      <c r="B1421">
        <v>220</v>
      </c>
      <c r="D1421" t="s">
        <v>3680</v>
      </c>
      <c r="E1421" t="s">
        <v>3925</v>
      </c>
      <c r="F1421" t="s">
        <v>6435</v>
      </c>
      <c r="G1421">
        <v>4204</v>
      </c>
      <c r="H1421" t="s">
        <v>3405</v>
      </c>
      <c r="I1421" t="s">
        <v>3683</v>
      </c>
      <c r="J1421" t="s">
        <v>6436</v>
      </c>
      <c r="K1421" t="s">
        <v>6315</v>
      </c>
      <c r="L1421" t="s">
        <v>6778</v>
      </c>
      <c r="M1421" t="s">
        <v>6779</v>
      </c>
      <c r="N1421" t="s">
        <v>6792</v>
      </c>
      <c r="O1421">
        <v>1</v>
      </c>
      <c r="P1421" t="str">
        <f>+BARRAS[[#This Row],[Barra]]&amp;"_"&amp;BARRAS[[#This Row],[Nivel de tensión]]</f>
        <v>CENTELLA_220</v>
      </c>
    </row>
    <row r="1422" spans="1:16">
      <c r="A1422" t="s">
        <v>6028</v>
      </c>
      <c r="B1422">
        <v>220</v>
      </c>
      <c r="C1422">
        <v>1</v>
      </c>
      <c r="D1422" t="s">
        <v>3397</v>
      </c>
      <c r="E1422" t="s">
        <v>6029</v>
      </c>
      <c r="F1422" t="s">
        <v>3420</v>
      </c>
      <c r="G1422">
        <v>16301</v>
      </c>
      <c r="H1422" t="s">
        <v>3409</v>
      </c>
      <c r="I1422" t="s">
        <v>3391</v>
      </c>
      <c r="J1422" t="s">
        <v>3392</v>
      </c>
      <c r="K1422" t="s">
        <v>6315</v>
      </c>
      <c r="L1422" t="s">
        <v>6778</v>
      </c>
      <c r="M1422" t="s">
        <v>6779</v>
      </c>
      <c r="N1422" t="s">
        <v>6792</v>
      </c>
      <c r="O1422">
        <v>1</v>
      </c>
      <c r="P1422" t="str">
        <f>+BARRAS[[#This Row],[Barra]]&amp;"_"&amp;BARRAS[[#This Row],[Nivel de tensión]]</f>
        <v>CENTINELA_220</v>
      </c>
    </row>
    <row r="1423" spans="1:16">
      <c r="A1423" t="s">
        <v>6030</v>
      </c>
      <c r="B1423">
        <v>13</v>
      </c>
      <c r="C1423">
        <v>1</v>
      </c>
      <c r="D1423" t="s">
        <v>4748</v>
      </c>
      <c r="E1423" t="s">
        <v>3419</v>
      </c>
      <c r="F1423" t="s">
        <v>3420</v>
      </c>
      <c r="G1423">
        <v>16301</v>
      </c>
      <c r="H1423" t="s">
        <v>3405</v>
      </c>
      <c r="I1423" t="s">
        <v>3391</v>
      </c>
      <c r="J1423" t="s">
        <v>3392</v>
      </c>
      <c r="K1423" t="s">
        <v>6315</v>
      </c>
      <c r="L1423" t="s">
        <v>6778</v>
      </c>
      <c r="M1423" t="s">
        <v>6779</v>
      </c>
      <c r="N1423" t="s">
        <v>6792</v>
      </c>
      <c r="O1423">
        <v>1</v>
      </c>
      <c r="P1423" t="str">
        <f>+BARRAS[[#This Row],[Barra]]&amp;"_"&amp;BARRAS[[#This Row],[Nivel de tensión]]</f>
        <v>CENTRAL_ELEC_13</v>
      </c>
    </row>
    <row r="1424" spans="1:16">
      <c r="A1424" t="s">
        <v>6084</v>
      </c>
      <c r="B1424">
        <v>220</v>
      </c>
      <c r="C1424">
        <v>1</v>
      </c>
      <c r="D1424" t="s">
        <v>3397</v>
      </c>
      <c r="E1424" t="s">
        <v>6088</v>
      </c>
      <c r="F1424" t="s">
        <v>3420</v>
      </c>
      <c r="G1424">
        <v>16301</v>
      </c>
      <c r="H1424" t="s">
        <v>3469</v>
      </c>
      <c r="I1424" t="s">
        <v>3391</v>
      </c>
      <c r="J1424" t="s">
        <v>3392</v>
      </c>
      <c r="K1424" t="s">
        <v>3303</v>
      </c>
      <c r="L1424" t="s">
        <v>6778</v>
      </c>
      <c r="M1424" t="s">
        <v>6779</v>
      </c>
      <c r="N1424" t="s">
        <v>6792</v>
      </c>
      <c r="O1424">
        <v>1</v>
      </c>
      <c r="P1424" t="str">
        <f>+BARRAS[[#This Row],[Barra]]&amp;"_"&amp;BARRAS[[#This Row],[Nivel de tensión]]</f>
        <v>CHICUREO_220</v>
      </c>
    </row>
    <row r="1425" spans="1:16">
      <c r="A1425" t="s">
        <v>6089</v>
      </c>
      <c r="B1425">
        <v>15</v>
      </c>
      <c r="C1425">
        <v>147</v>
      </c>
      <c r="D1425" t="s">
        <v>6090</v>
      </c>
      <c r="E1425" t="s">
        <v>6091</v>
      </c>
      <c r="F1425" t="s">
        <v>6092</v>
      </c>
      <c r="G1425">
        <v>16301</v>
      </c>
      <c r="H1425" t="s">
        <v>3414</v>
      </c>
      <c r="I1425" t="s">
        <v>3391</v>
      </c>
      <c r="J1425" t="s">
        <v>3392</v>
      </c>
      <c r="K1425" t="s">
        <v>3304</v>
      </c>
      <c r="L1425" t="s">
        <v>6778</v>
      </c>
      <c r="M1425" t="s">
        <v>6779</v>
      </c>
      <c r="N1425" t="s">
        <v>6792</v>
      </c>
      <c r="O1425">
        <v>1</v>
      </c>
      <c r="P1425" t="str">
        <f>+BARRAS[[#This Row],[Barra]]&amp;"_"&amp;BARRAS[[#This Row],[Nivel de tensión]]</f>
        <v>CHIGUAYANTE_15</v>
      </c>
    </row>
    <row r="1426" spans="1:16">
      <c r="A1426" t="s">
        <v>6089</v>
      </c>
      <c r="B1426">
        <v>66</v>
      </c>
      <c r="C1426">
        <v>253</v>
      </c>
      <c r="D1426" t="s">
        <v>6093</v>
      </c>
      <c r="E1426" t="s">
        <v>6094</v>
      </c>
      <c r="F1426" t="s">
        <v>6092</v>
      </c>
      <c r="G1426">
        <v>16301</v>
      </c>
      <c r="H1426" t="s">
        <v>3414</v>
      </c>
      <c r="I1426" t="s">
        <v>3391</v>
      </c>
      <c r="J1426" t="s">
        <v>3392</v>
      </c>
      <c r="K1426" t="s">
        <v>3304</v>
      </c>
      <c r="L1426" t="s">
        <v>6778</v>
      </c>
      <c r="M1426" t="s">
        <v>6779</v>
      </c>
      <c r="N1426" t="s">
        <v>6792</v>
      </c>
      <c r="O1426">
        <v>1</v>
      </c>
      <c r="P1426" t="str">
        <f>+BARRAS[[#This Row],[Barra]]&amp;"_"&amp;BARRAS[[#This Row],[Nivel de tensión]]</f>
        <v>CHIGUAYANTE_66</v>
      </c>
    </row>
    <row r="1427" spans="1:16">
      <c r="A1427" t="s">
        <v>258</v>
      </c>
      <c r="B1427">
        <v>13</v>
      </c>
      <c r="C1427">
        <v>136</v>
      </c>
      <c r="D1427" t="s">
        <v>6095</v>
      </c>
      <c r="E1427" t="s">
        <v>6096</v>
      </c>
      <c r="F1427" t="s">
        <v>6097</v>
      </c>
      <c r="G1427">
        <v>16301</v>
      </c>
      <c r="H1427" t="s">
        <v>3414</v>
      </c>
      <c r="I1427" t="s">
        <v>3391</v>
      </c>
      <c r="J1427" t="s">
        <v>3392</v>
      </c>
      <c r="K1427" t="s">
        <v>3304</v>
      </c>
      <c r="L1427" t="s">
        <v>6778</v>
      </c>
      <c r="M1427" t="s">
        <v>6779</v>
      </c>
      <c r="N1427" t="s">
        <v>6792</v>
      </c>
      <c r="O1427">
        <v>1</v>
      </c>
      <c r="P1427" t="str">
        <f>+BARRAS[[#This Row],[Barra]]&amp;"_"&amp;BARRAS[[#This Row],[Nivel de tensión]]</f>
        <v>CHILLAN_13</v>
      </c>
    </row>
    <row r="1428" spans="1:16">
      <c r="A1428" t="s">
        <v>258</v>
      </c>
      <c r="B1428">
        <v>66</v>
      </c>
      <c r="C1428">
        <v>1</v>
      </c>
      <c r="D1428" t="s">
        <v>3397</v>
      </c>
      <c r="E1428" t="s">
        <v>6098</v>
      </c>
      <c r="F1428" t="s">
        <v>3420</v>
      </c>
      <c r="G1428">
        <v>16301</v>
      </c>
      <c r="H1428" t="s">
        <v>3414</v>
      </c>
      <c r="I1428" t="s">
        <v>3391</v>
      </c>
      <c r="J1428" t="s">
        <v>3392</v>
      </c>
      <c r="K1428" t="s">
        <v>3304</v>
      </c>
      <c r="L1428" t="s">
        <v>6778</v>
      </c>
      <c r="M1428" t="s">
        <v>6779</v>
      </c>
      <c r="N1428" t="s">
        <v>6792</v>
      </c>
      <c r="O1428">
        <v>1</v>
      </c>
      <c r="P1428" t="str">
        <f>+BARRAS[[#This Row],[Barra]]&amp;"_"&amp;BARRAS[[#This Row],[Nivel de tensión]]</f>
        <v>CHILLAN_66</v>
      </c>
    </row>
    <row r="1429" spans="1:16">
      <c r="A1429" t="s">
        <v>258</v>
      </c>
      <c r="B1429">
        <v>154</v>
      </c>
      <c r="C1429">
        <v>1</v>
      </c>
      <c r="D1429" t="s">
        <v>3397</v>
      </c>
      <c r="E1429" t="s">
        <v>6099</v>
      </c>
      <c r="F1429" t="s">
        <v>3420</v>
      </c>
      <c r="G1429">
        <v>16301</v>
      </c>
      <c r="H1429" t="s">
        <v>3414</v>
      </c>
      <c r="I1429" t="s">
        <v>3391</v>
      </c>
      <c r="J1429" t="s">
        <v>3392</v>
      </c>
      <c r="K1429" t="s">
        <v>3304</v>
      </c>
      <c r="L1429" t="s">
        <v>6778</v>
      </c>
      <c r="M1429" t="s">
        <v>6779</v>
      </c>
      <c r="N1429" t="s">
        <v>6792</v>
      </c>
      <c r="O1429">
        <v>1</v>
      </c>
      <c r="P1429" t="str">
        <f>+BARRAS[[#This Row],[Barra]]&amp;"_"&amp;BARRAS[[#This Row],[Nivel de tensión]]</f>
        <v>CHILLAN_154</v>
      </c>
    </row>
    <row r="1430" spans="1:16">
      <c r="A1430" t="s">
        <v>262</v>
      </c>
      <c r="B1430">
        <v>110</v>
      </c>
      <c r="C1430">
        <v>1</v>
      </c>
      <c r="D1430" t="s">
        <v>3397</v>
      </c>
      <c r="E1430" t="s">
        <v>6100</v>
      </c>
      <c r="F1430" t="s">
        <v>3420</v>
      </c>
      <c r="G1430">
        <v>16301</v>
      </c>
      <c r="H1430" t="s">
        <v>3405</v>
      </c>
      <c r="I1430" t="s">
        <v>3391</v>
      </c>
      <c r="J1430" t="s">
        <v>3392</v>
      </c>
      <c r="K1430" t="s">
        <v>6315</v>
      </c>
      <c r="L1430" t="s">
        <v>6778</v>
      </c>
      <c r="M1430" t="s">
        <v>6779</v>
      </c>
      <c r="N1430" t="s">
        <v>6792</v>
      </c>
      <c r="O1430">
        <v>1</v>
      </c>
      <c r="P1430" t="str">
        <f>+BARRAS[[#This Row],[Barra]]&amp;"_"&amp;BARRAS[[#This Row],[Nivel de tensión]]</f>
        <v>CHILOE_110</v>
      </c>
    </row>
    <row r="1431" spans="1:16">
      <c r="A1431" t="s">
        <v>262</v>
      </c>
      <c r="B1431">
        <v>220</v>
      </c>
      <c r="C1431">
        <v>1</v>
      </c>
      <c r="D1431" t="s">
        <v>3397</v>
      </c>
      <c r="E1431" t="s">
        <v>6101</v>
      </c>
      <c r="F1431" t="s">
        <v>3420</v>
      </c>
      <c r="G1431">
        <v>16301</v>
      </c>
      <c r="H1431" t="s">
        <v>3390</v>
      </c>
      <c r="I1431" t="s">
        <v>3391</v>
      </c>
      <c r="J1431" t="s">
        <v>3392</v>
      </c>
      <c r="K1431" t="s">
        <v>3305</v>
      </c>
      <c r="L1431" t="s">
        <v>6778</v>
      </c>
      <c r="M1431" t="s">
        <v>6779</v>
      </c>
      <c r="N1431" t="s">
        <v>6792</v>
      </c>
      <c r="O1431">
        <v>1</v>
      </c>
      <c r="P1431" t="str">
        <f>+BARRAS[[#This Row],[Barra]]&amp;"_"&amp;BARRAS[[#This Row],[Nivel de tensión]]</f>
        <v>CHILOE_220</v>
      </c>
    </row>
    <row r="1432" spans="1:16">
      <c r="A1432" t="s">
        <v>265</v>
      </c>
      <c r="B1432">
        <v>13</v>
      </c>
      <c r="C1432">
        <v>149</v>
      </c>
      <c r="D1432" t="s">
        <v>6102</v>
      </c>
      <c r="E1432" t="s">
        <v>6103</v>
      </c>
      <c r="F1432" t="s">
        <v>6104</v>
      </c>
      <c r="G1432">
        <v>16301</v>
      </c>
      <c r="H1432" t="s">
        <v>3414</v>
      </c>
      <c r="I1432" t="s">
        <v>3391</v>
      </c>
      <c r="J1432" t="s">
        <v>3392</v>
      </c>
      <c r="K1432" t="s">
        <v>3304</v>
      </c>
      <c r="L1432" t="s">
        <v>6778</v>
      </c>
      <c r="M1432" t="s">
        <v>6779</v>
      </c>
      <c r="N1432" t="s">
        <v>6792</v>
      </c>
      <c r="O1432">
        <v>1</v>
      </c>
      <c r="P1432" t="str">
        <f>+BARRAS[[#This Row],[Barra]]&amp;"_"&amp;BARRAS[[#This Row],[Nivel de tensión]]</f>
        <v>CHIMBARONGO_13</v>
      </c>
    </row>
    <row r="1433" spans="1:16">
      <c r="A1433" t="s">
        <v>265</v>
      </c>
      <c r="B1433">
        <v>66</v>
      </c>
      <c r="C1433">
        <v>1</v>
      </c>
      <c r="D1433" t="s">
        <v>3397</v>
      </c>
      <c r="E1433" t="s">
        <v>6105</v>
      </c>
      <c r="F1433" t="s">
        <v>3420</v>
      </c>
      <c r="G1433">
        <v>16301</v>
      </c>
      <c r="H1433" t="s">
        <v>3414</v>
      </c>
      <c r="I1433" t="s">
        <v>3391</v>
      </c>
      <c r="J1433" t="s">
        <v>3392</v>
      </c>
      <c r="K1433" t="s">
        <v>3304</v>
      </c>
      <c r="L1433" t="s">
        <v>6778</v>
      </c>
      <c r="M1433" t="s">
        <v>6779</v>
      </c>
      <c r="N1433" t="s">
        <v>6792</v>
      </c>
      <c r="O1433">
        <v>1</v>
      </c>
      <c r="P1433" t="str">
        <f>+BARRAS[[#This Row],[Barra]]&amp;"_"&amp;BARRAS[[#This Row],[Nivel de tensión]]</f>
        <v>CHIMBARONGO_66</v>
      </c>
    </row>
    <row r="1434" spans="1:16">
      <c r="A1434" t="s">
        <v>6106</v>
      </c>
      <c r="B1434">
        <v>220</v>
      </c>
      <c r="C1434">
        <v>2024</v>
      </c>
      <c r="D1434" t="s">
        <v>3402</v>
      </c>
      <c r="E1434" t="s">
        <v>6107</v>
      </c>
      <c r="F1434" t="s">
        <v>6108</v>
      </c>
      <c r="G1434">
        <v>16301</v>
      </c>
      <c r="H1434" t="s">
        <v>3396</v>
      </c>
      <c r="I1434" t="s">
        <v>3391</v>
      </c>
      <c r="J1434" t="s">
        <v>3392</v>
      </c>
      <c r="K1434" t="s">
        <v>6315</v>
      </c>
      <c r="L1434" t="s">
        <v>6778</v>
      </c>
      <c r="M1434" t="s">
        <v>6779</v>
      </c>
      <c r="N1434" t="s">
        <v>6792</v>
      </c>
      <c r="O1434">
        <v>1</v>
      </c>
      <c r="P1434" t="str">
        <f>+BARRAS[[#This Row],[Barra]]&amp;"_"&amp;BARRAS[[#This Row],[Nivel de tensión]]</f>
        <v>CHIMBORAZO_220</v>
      </c>
    </row>
    <row r="1435" spans="1:16">
      <c r="A1435" t="s">
        <v>6109</v>
      </c>
      <c r="B1435">
        <v>13</v>
      </c>
      <c r="C1435">
        <v>2027</v>
      </c>
      <c r="D1435" t="s">
        <v>6110</v>
      </c>
      <c r="E1435" t="s">
        <v>6111</v>
      </c>
      <c r="F1435" t="s">
        <v>6112</v>
      </c>
      <c r="G1435">
        <v>16301</v>
      </c>
      <c r="H1435" t="s">
        <v>3443</v>
      </c>
      <c r="I1435" t="s">
        <v>3391</v>
      </c>
      <c r="J1435" t="s">
        <v>3392</v>
      </c>
      <c r="K1435" t="s">
        <v>3300</v>
      </c>
      <c r="L1435" t="s">
        <v>6778</v>
      </c>
      <c r="M1435" t="s">
        <v>6779</v>
      </c>
      <c r="N1435" t="s">
        <v>6792</v>
      </c>
      <c r="O1435">
        <v>1</v>
      </c>
      <c r="P1435" t="str">
        <f>+BARRAS[[#This Row],[Barra]]&amp;"_"&amp;BARRAS[[#This Row],[Nivel de tensión]]</f>
        <v>CHINCHORRO_13</v>
      </c>
    </row>
    <row r="1436" spans="1:16">
      <c r="A1436" t="s">
        <v>6109</v>
      </c>
      <c r="B1436">
        <v>66</v>
      </c>
      <c r="C1436">
        <v>2028</v>
      </c>
      <c r="D1436" t="s">
        <v>6113</v>
      </c>
      <c r="E1436" t="s">
        <v>6114</v>
      </c>
      <c r="F1436" t="s">
        <v>6112</v>
      </c>
      <c r="G1436">
        <v>16301</v>
      </c>
      <c r="H1436" t="s">
        <v>3443</v>
      </c>
      <c r="I1436" t="s">
        <v>3391</v>
      </c>
      <c r="J1436" t="s">
        <v>3392</v>
      </c>
      <c r="K1436" t="s">
        <v>3300</v>
      </c>
      <c r="L1436" t="s">
        <v>6778</v>
      </c>
      <c r="M1436" t="s">
        <v>6779</v>
      </c>
      <c r="N1436" t="s">
        <v>6792</v>
      </c>
      <c r="O1436">
        <v>1</v>
      </c>
      <c r="P1436" t="str">
        <f>+BARRAS[[#This Row],[Barra]]&amp;"_"&amp;BARRAS[[#This Row],[Nivel de tensión]]</f>
        <v>CHINCHORRO_66</v>
      </c>
    </row>
    <row r="1437" spans="1:16">
      <c r="A1437" t="s">
        <v>271</v>
      </c>
      <c r="B1437">
        <v>23</v>
      </c>
      <c r="C1437">
        <v>2921</v>
      </c>
      <c r="D1437" t="s">
        <v>3397</v>
      </c>
      <c r="E1437" t="s">
        <v>6115</v>
      </c>
      <c r="F1437" t="s">
        <v>6116</v>
      </c>
      <c r="G1437">
        <v>16301</v>
      </c>
      <c r="H1437" t="s">
        <v>3390</v>
      </c>
      <c r="I1437" t="s">
        <v>3391</v>
      </c>
      <c r="J1437" t="s">
        <v>3392</v>
      </c>
      <c r="K1437" t="s">
        <v>3305</v>
      </c>
      <c r="L1437" t="s">
        <v>6778</v>
      </c>
      <c r="M1437" t="s">
        <v>6779</v>
      </c>
      <c r="N1437" t="s">
        <v>6792</v>
      </c>
      <c r="O1437">
        <v>1</v>
      </c>
      <c r="P1437" t="str">
        <f>+BARRAS[[#This Row],[Barra]]&amp;"_"&amp;BARRAS[[#This Row],[Nivel de tensión]]</f>
        <v>CHIRRE_23</v>
      </c>
    </row>
    <row r="1438" spans="1:16">
      <c r="A1438" t="s">
        <v>271</v>
      </c>
      <c r="B1438">
        <v>110</v>
      </c>
      <c r="C1438">
        <v>1</v>
      </c>
      <c r="D1438" t="s">
        <v>3397</v>
      </c>
      <c r="E1438" t="s">
        <v>6117</v>
      </c>
      <c r="F1438" t="s">
        <v>3420</v>
      </c>
      <c r="G1438">
        <v>16301</v>
      </c>
      <c r="H1438" t="s">
        <v>3390</v>
      </c>
      <c r="I1438" t="s">
        <v>3391</v>
      </c>
      <c r="J1438" t="s">
        <v>3392</v>
      </c>
      <c r="K1438" t="s">
        <v>3305</v>
      </c>
      <c r="L1438" t="s">
        <v>6778</v>
      </c>
      <c r="M1438" t="s">
        <v>6779</v>
      </c>
      <c r="N1438" t="s">
        <v>6792</v>
      </c>
      <c r="O1438">
        <v>1</v>
      </c>
      <c r="P1438" t="str">
        <f>+BARRAS[[#This Row],[Barra]]&amp;"_"&amp;BARRAS[[#This Row],[Nivel de tensión]]</f>
        <v>CHIRRE_110</v>
      </c>
    </row>
    <row r="1439" spans="1:16">
      <c r="A1439" t="s">
        <v>6118</v>
      </c>
      <c r="B1439">
        <v>110</v>
      </c>
      <c r="C1439">
        <v>1</v>
      </c>
      <c r="D1439" t="s">
        <v>3397</v>
      </c>
      <c r="E1439" t="s">
        <v>3419</v>
      </c>
      <c r="F1439" t="s">
        <v>3420</v>
      </c>
      <c r="G1439">
        <v>16301</v>
      </c>
      <c r="H1439" t="s">
        <v>3405</v>
      </c>
      <c r="I1439" t="s">
        <v>3391</v>
      </c>
      <c r="J1439" t="s">
        <v>3392</v>
      </c>
      <c r="K1439" t="s">
        <v>6315</v>
      </c>
      <c r="L1439" t="s">
        <v>6778</v>
      </c>
      <c r="M1439" t="s">
        <v>6779</v>
      </c>
      <c r="N1439" t="s">
        <v>6792</v>
      </c>
      <c r="O1439">
        <v>1</v>
      </c>
      <c r="P1439" t="str">
        <f>+BARRAS[[#This Row],[Barra]]&amp;"_"&amp;BARRAS[[#This Row],[Nivel de tensión]]</f>
        <v>CHIU_CHIU_110</v>
      </c>
    </row>
    <row r="1440" spans="1:16">
      <c r="A1440" t="s">
        <v>6119</v>
      </c>
      <c r="B1440">
        <v>13</v>
      </c>
      <c r="C1440">
        <v>150</v>
      </c>
      <c r="D1440" t="s">
        <v>6120</v>
      </c>
      <c r="E1440" t="s">
        <v>6121</v>
      </c>
      <c r="F1440" t="s">
        <v>6122</v>
      </c>
      <c r="G1440">
        <v>16301</v>
      </c>
      <c r="H1440" t="s">
        <v>3414</v>
      </c>
      <c r="I1440" t="s">
        <v>3391</v>
      </c>
      <c r="J1440" t="s">
        <v>3392</v>
      </c>
      <c r="K1440" t="s">
        <v>3304</v>
      </c>
      <c r="L1440" t="s">
        <v>6778</v>
      </c>
      <c r="M1440" t="s">
        <v>6779</v>
      </c>
      <c r="N1440" t="s">
        <v>6792</v>
      </c>
      <c r="O1440">
        <v>1</v>
      </c>
      <c r="P1440" t="str">
        <f>+BARRAS[[#This Row],[Barra]]&amp;"_"&amp;BARRAS[[#This Row],[Nivel de tensión]]</f>
        <v>CHIVILCAN_13</v>
      </c>
    </row>
    <row r="1441" spans="1:16">
      <c r="A1441" t="s">
        <v>6119</v>
      </c>
      <c r="B1441">
        <v>66</v>
      </c>
      <c r="C1441">
        <v>1</v>
      </c>
      <c r="D1441" t="s">
        <v>3397</v>
      </c>
      <c r="E1441" t="s">
        <v>6123</v>
      </c>
      <c r="F1441" t="s">
        <v>3420</v>
      </c>
      <c r="G1441">
        <v>16301</v>
      </c>
      <c r="H1441" t="s">
        <v>3414</v>
      </c>
      <c r="I1441" t="s">
        <v>3391</v>
      </c>
      <c r="J1441" t="s">
        <v>3392</v>
      </c>
      <c r="K1441" t="s">
        <v>3304</v>
      </c>
      <c r="L1441" t="s">
        <v>6778</v>
      </c>
      <c r="M1441" t="s">
        <v>6779</v>
      </c>
      <c r="N1441" t="s">
        <v>6792</v>
      </c>
      <c r="O1441">
        <v>1</v>
      </c>
      <c r="P1441" t="str">
        <f>+BARRAS[[#This Row],[Barra]]&amp;"_"&amp;BARRAS[[#This Row],[Nivel de tensión]]</f>
        <v>CHIVILCAN_66</v>
      </c>
    </row>
    <row r="1442" spans="1:16">
      <c r="A1442" t="s">
        <v>6124</v>
      </c>
      <c r="B1442">
        <v>110</v>
      </c>
      <c r="C1442">
        <v>1</v>
      </c>
      <c r="D1442" t="s">
        <v>3397</v>
      </c>
      <c r="E1442" t="s">
        <v>6125</v>
      </c>
      <c r="F1442" t="s">
        <v>3420</v>
      </c>
      <c r="G1442">
        <v>16301</v>
      </c>
      <c r="H1442" t="s">
        <v>3400</v>
      </c>
      <c r="I1442" t="s">
        <v>3391</v>
      </c>
      <c r="J1442" t="s">
        <v>3392</v>
      </c>
      <c r="K1442" t="s">
        <v>3301</v>
      </c>
      <c r="L1442" t="s">
        <v>6778</v>
      </c>
      <c r="M1442" t="s">
        <v>6779</v>
      </c>
      <c r="N1442" t="s">
        <v>6792</v>
      </c>
      <c r="O1442">
        <v>1</v>
      </c>
      <c r="P1442" t="str">
        <f>+BARRAS[[#This Row],[Barra]]&amp;"_"&amp;BARRAS[[#This Row],[Nivel de tensión]]</f>
        <v>CHOAPA_110</v>
      </c>
    </row>
    <row r="1443" spans="1:16">
      <c r="A1443" t="s">
        <v>278</v>
      </c>
      <c r="B1443">
        <v>13</v>
      </c>
      <c r="C1443">
        <v>562</v>
      </c>
      <c r="D1443" t="s">
        <v>3421</v>
      </c>
      <c r="E1443" t="s">
        <v>3422</v>
      </c>
      <c r="F1443" t="s">
        <v>3423</v>
      </c>
      <c r="G1443">
        <v>16301</v>
      </c>
      <c r="H1443" t="s">
        <v>3414</v>
      </c>
      <c r="I1443" t="s">
        <v>3391</v>
      </c>
      <c r="J1443" t="s">
        <v>3392</v>
      </c>
      <c r="K1443" t="s">
        <v>3304</v>
      </c>
      <c r="L1443" t="s">
        <v>6778</v>
      </c>
      <c r="M1443" t="s">
        <v>6779</v>
      </c>
      <c r="N1443" t="s">
        <v>6792</v>
      </c>
      <c r="O1443">
        <v>1</v>
      </c>
      <c r="P1443" t="str">
        <f>+BARRAS[[#This Row],[Barra]]&amp;"_"&amp;BARRAS[[#This Row],[Nivel de tensión]]</f>
        <v>CHOCALAN_13</v>
      </c>
    </row>
    <row r="1444" spans="1:16">
      <c r="A1444" t="s">
        <v>278</v>
      </c>
      <c r="B1444">
        <v>66</v>
      </c>
      <c r="C1444">
        <v>1</v>
      </c>
      <c r="D1444" t="s">
        <v>3397</v>
      </c>
      <c r="E1444" t="s">
        <v>6126</v>
      </c>
      <c r="F1444" t="s">
        <v>3420</v>
      </c>
      <c r="G1444">
        <v>16301</v>
      </c>
      <c r="H1444" t="s">
        <v>3414</v>
      </c>
      <c r="I1444" t="s">
        <v>3391</v>
      </c>
      <c r="J1444" t="s">
        <v>3392</v>
      </c>
      <c r="K1444" t="s">
        <v>3304</v>
      </c>
      <c r="L1444" t="s">
        <v>6778</v>
      </c>
      <c r="M1444" t="s">
        <v>6779</v>
      </c>
      <c r="N1444" t="s">
        <v>6792</v>
      </c>
      <c r="O1444">
        <v>1</v>
      </c>
      <c r="P1444" t="str">
        <f>+BARRAS[[#This Row],[Barra]]&amp;"_"&amp;BARRAS[[#This Row],[Nivel de tensión]]</f>
        <v>CHOCALAN_66</v>
      </c>
    </row>
    <row r="1445" spans="1:16">
      <c r="A1445" t="s">
        <v>281</v>
      </c>
      <c r="B1445">
        <v>13</v>
      </c>
      <c r="C1445">
        <v>403</v>
      </c>
      <c r="D1445" t="s">
        <v>6127</v>
      </c>
      <c r="E1445" t="s">
        <v>6128</v>
      </c>
      <c r="F1445" t="s">
        <v>6129</v>
      </c>
      <c r="G1445">
        <v>16301</v>
      </c>
      <c r="H1445" t="s">
        <v>3414</v>
      </c>
      <c r="I1445" t="s">
        <v>3391</v>
      </c>
      <c r="J1445" t="s">
        <v>3392</v>
      </c>
      <c r="K1445" t="s">
        <v>3304</v>
      </c>
      <c r="L1445" t="s">
        <v>6778</v>
      </c>
      <c r="M1445" t="s">
        <v>6779</v>
      </c>
      <c r="N1445" t="s">
        <v>6792</v>
      </c>
      <c r="O1445">
        <v>1</v>
      </c>
      <c r="P1445" t="str">
        <f>+BARRAS[[#This Row],[Barra]]&amp;"_"&amp;BARRAS[[#This Row],[Nivel de tensión]]</f>
        <v>CHOLGUAN_13</v>
      </c>
    </row>
    <row r="1446" spans="1:16">
      <c r="A1446" t="s">
        <v>281</v>
      </c>
      <c r="B1446">
        <v>66</v>
      </c>
      <c r="C1446">
        <v>404</v>
      </c>
      <c r="D1446" t="s">
        <v>6130</v>
      </c>
      <c r="E1446" t="s">
        <v>6131</v>
      </c>
      <c r="F1446" t="s">
        <v>6129</v>
      </c>
      <c r="G1446">
        <v>16301</v>
      </c>
      <c r="H1446" t="s">
        <v>3405</v>
      </c>
      <c r="I1446" t="s">
        <v>3391</v>
      </c>
      <c r="J1446" t="s">
        <v>3392</v>
      </c>
      <c r="K1446" t="s">
        <v>6315</v>
      </c>
      <c r="L1446" t="s">
        <v>6778</v>
      </c>
      <c r="M1446" t="s">
        <v>6779</v>
      </c>
      <c r="N1446" t="s">
        <v>6792</v>
      </c>
      <c r="O1446">
        <v>1</v>
      </c>
      <c r="P1446" t="str">
        <f>+BARRAS[[#This Row],[Barra]]&amp;"_"&amp;BARRAS[[#This Row],[Nivel de tensión]]</f>
        <v>CHOLGUAN_66</v>
      </c>
    </row>
    <row r="1447" spans="1:16">
      <c r="A1447" t="s">
        <v>281</v>
      </c>
      <c r="B1447">
        <v>220</v>
      </c>
      <c r="C1447">
        <v>1</v>
      </c>
      <c r="D1447" t="s">
        <v>3397</v>
      </c>
      <c r="E1447" t="s">
        <v>6132</v>
      </c>
      <c r="F1447" t="s">
        <v>3420</v>
      </c>
      <c r="G1447">
        <v>16301</v>
      </c>
      <c r="H1447" t="s">
        <v>3405</v>
      </c>
      <c r="I1447" t="s">
        <v>3391</v>
      </c>
      <c r="J1447" t="s">
        <v>3392</v>
      </c>
      <c r="K1447" t="s">
        <v>6315</v>
      </c>
      <c r="L1447" t="s">
        <v>6778</v>
      </c>
      <c r="M1447" t="s">
        <v>6779</v>
      </c>
      <c r="N1447" t="s">
        <v>6792</v>
      </c>
      <c r="O1447">
        <v>1</v>
      </c>
      <c r="P1447" t="str">
        <f>+BARRAS[[#This Row],[Barra]]&amp;"_"&amp;BARRAS[[#This Row],[Nivel de tensión]]</f>
        <v>CHOLGUAN_220</v>
      </c>
    </row>
    <row r="1448" spans="1:16">
      <c r="A1448" t="s">
        <v>285</v>
      </c>
      <c r="B1448">
        <v>13</v>
      </c>
      <c r="C1448">
        <v>406</v>
      </c>
      <c r="D1448" t="s">
        <v>6133</v>
      </c>
      <c r="E1448" t="s">
        <v>6134</v>
      </c>
      <c r="F1448" t="s">
        <v>6135</v>
      </c>
      <c r="G1448">
        <v>16301</v>
      </c>
      <c r="H1448" t="s">
        <v>3390</v>
      </c>
      <c r="I1448" t="s">
        <v>3391</v>
      </c>
      <c r="J1448" t="s">
        <v>3392</v>
      </c>
      <c r="K1448" t="s">
        <v>3305</v>
      </c>
      <c r="L1448" t="s">
        <v>6778</v>
      </c>
      <c r="M1448" t="s">
        <v>6779</v>
      </c>
      <c r="N1448" t="s">
        <v>6792</v>
      </c>
      <c r="O1448">
        <v>1</v>
      </c>
      <c r="P1448" t="str">
        <f>+BARRAS[[#This Row],[Barra]]&amp;"_"&amp;BARRAS[[#This Row],[Nivel de tensión]]</f>
        <v>CHONCHI_13</v>
      </c>
    </row>
    <row r="1449" spans="1:16">
      <c r="A1449" t="s">
        <v>285</v>
      </c>
      <c r="B1449">
        <v>110</v>
      </c>
      <c r="C1449">
        <v>1</v>
      </c>
      <c r="D1449" t="s">
        <v>3397</v>
      </c>
      <c r="E1449" t="s">
        <v>6136</v>
      </c>
      <c r="F1449" t="s">
        <v>3420</v>
      </c>
      <c r="G1449">
        <v>16301</v>
      </c>
      <c r="H1449" t="s">
        <v>3390</v>
      </c>
      <c r="I1449" t="s">
        <v>3391</v>
      </c>
      <c r="J1449" t="s">
        <v>3392</v>
      </c>
      <c r="K1449" t="s">
        <v>3305</v>
      </c>
      <c r="L1449" t="s">
        <v>6778</v>
      </c>
      <c r="M1449" t="s">
        <v>6779</v>
      </c>
      <c r="N1449" t="s">
        <v>6792</v>
      </c>
      <c r="O1449">
        <v>1</v>
      </c>
      <c r="P1449" t="str">
        <f>+BARRAS[[#This Row],[Barra]]&amp;"_"&amp;BARRAS[[#This Row],[Nivel de tensión]]</f>
        <v>CHONCHI_110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A0534-5095-47F9-851E-212788AFA9E9}">
  <sheetPr codeName="Hoja9"/>
  <dimension ref="A1:E7"/>
  <sheetViews>
    <sheetView workbookViewId="0">
      <selection activeCell="D13" sqref="D13"/>
    </sheetView>
  </sheetViews>
  <sheetFormatPr baseColWidth="10" defaultRowHeight="15"/>
  <cols>
    <col min="2" max="2" width="18.7109375" customWidth="1"/>
    <col min="3" max="3" width="29.85546875" bestFit="1" customWidth="1"/>
    <col min="4" max="4" width="27.7109375" bestFit="1" customWidth="1"/>
    <col min="5" max="5" width="15" customWidth="1"/>
  </cols>
  <sheetData>
    <row r="1" spans="1:5">
      <c r="A1" s="47" t="s">
        <v>1561</v>
      </c>
      <c r="B1" s="47" t="s">
        <v>1562</v>
      </c>
      <c r="C1" s="47" t="s">
        <v>6630</v>
      </c>
      <c r="D1" s="47" t="s">
        <v>6631</v>
      </c>
      <c r="E1" s="47" t="s">
        <v>6632</v>
      </c>
    </row>
    <row r="2" spans="1:5">
      <c r="A2" s="46" t="s">
        <v>6617</v>
      </c>
      <c r="B2" s="46">
        <v>0</v>
      </c>
      <c r="C2" s="46" t="s">
        <v>6633</v>
      </c>
      <c r="D2" s="46" t="s">
        <v>6646</v>
      </c>
      <c r="E2" s="46" t="s">
        <v>1758</v>
      </c>
    </row>
    <row r="3" spans="1:5">
      <c r="A3" s="46" t="s">
        <v>6485</v>
      </c>
      <c r="B3" s="46">
        <v>0</v>
      </c>
      <c r="C3" s="46" t="s">
        <v>6634</v>
      </c>
      <c r="D3" s="46" t="s">
        <v>6635</v>
      </c>
      <c r="E3" s="46" t="s">
        <v>1758</v>
      </c>
    </row>
    <row r="4" spans="1:5">
      <c r="A4" s="46" t="s">
        <v>6643</v>
      </c>
      <c r="B4" s="46">
        <v>0</v>
      </c>
      <c r="C4" s="46" t="s">
        <v>6644</v>
      </c>
      <c r="D4" s="46" t="s">
        <v>6645</v>
      </c>
      <c r="E4" s="46" t="s">
        <v>1758</v>
      </c>
    </row>
    <row r="5" spans="1:5">
      <c r="A5" s="46" t="s">
        <v>6636</v>
      </c>
      <c r="B5" s="46">
        <v>0</v>
      </c>
      <c r="C5" s="46" t="s">
        <v>6637</v>
      </c>
      <c r="D5" s="46" t="s">
        <v>6638</v>
      </c>
      <c r="E5" s="46" t="s">
        <v>1583</v>
      </c>
    </row>
    <row r="6" spans="1:5">
      <c r="A6" s="46" t="s">
        <v>6639</v>
      </c>
      <c r="B6" s="46">
        <v>0</v>
      </c>
      <c r="C6" s="46" t="s">
        <v>6640</v>
      </c>
      <c r="D6" s="46" t="s">
        <v>6641</v>
      </c>
      <c r="E6" s="46" t="s">
        <v>1583</v>
      </c>
    </row>
    <row r="7" spans="1:5">
      <c r="A7" s="46" t="s">
        <v>6515</v>
      </c>
      <c r="B7" s="46">
        <v>0</v>
      </c>
      <c r="C7" s="46" t="s">
        <v>6642</v>
      </c>
      <c r="D7" s="46" t="s">
        <v>6646</v>
      </c>
      <c r="E7" s="46" t="s">
        <v>1583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D259CE-001A-4E9D-984F-44997E9F8A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PMG(D) segun remuneracion</vt:lpstr>
      <vt:lpstr>PNCP_HOMOLOGADO</vt:lpstr>
      <vt:lpstr>DECRETOS PNCP</vt:lpstr>
      <vt:lpstr>DECRETOS PESTABILIZADO</vt:lpstr>
      <vt:lpstr>FACTORES DE REFERENCIACION</vt:lpstr>
      <vt:lpstr>FACTORES DE PERDIDAS</vt:lpstr>
      <vt:lpstr>PRECIOS ESTABILIZADOS</vt:lpstr>
      <vt:lpstr>ZONA_TRANSMISIÓN</vt:lpstr>
      <vt:lpstr>DECRETOS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Ricardo Iván  Peña Pascual</cp:lastModifiedBy>
  <dcterms:created xsi:type="dcterms:W3CDTF">2015-06-05T18:19:34Z</dcterms:created>
  <dcterms:modified xsi:type="dcterms:W3CDTF">2026-10-22T20:49:33Z</dcterms:modified>
</cp:coreProperties>
</file>